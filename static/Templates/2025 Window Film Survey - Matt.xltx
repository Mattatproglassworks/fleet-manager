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\AppData\Roaming\Microsoft\Templates\"/>
    </mc:Choice>
  </mc:AlternateContent>
  <xr:revisionPtr revIDLastSave="0" documentId="8_{55636E5B-15F7-489E-8BF8-CFF051B7CA06}" xr6:coauthVersionLast="47" xr6:coauthVersionMax="47" xr10:uidLastSave="{00000000-0000-0000-0000-000000000000}"/>
  <bookViews>
    <workbookView xWindow="-96" yWindow="-96" windowWidth="23232" windowHeight="13152" xr2:uid="{D8224B65-E440-2B44-AE58-6F72BA703DA9}"/>
  </bookViews>
  <sheets>
    <sheet name="Attachmen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154" i="1" l="1"/>
  <c r="CL153" i="1"/>
  <c r="CL152" i="1"/>
  <c r="CL151" i="1"/>
  <c r="CL150" i="1"/>
  <c r="CL149" i="1"/>
  <c r="CL148" i="1"/>
  <c r="CL147" i="1"/>
  <c r="CL146" i="1"/>
  <c r="CL145" i="1"/>
  <c r="CL144" i="1"/>
  <c r="CL143" i="1"/>
  <c r="CL142" i="1"/>
  <c r="CL141" i="1"/>
  <c r="CL140" i="1"/>
  <c r="CL139" i="1"/>
  <c r="CL138" i="1"/>
  <c r="CL137" i="1"/>
  <c r="CL136" i="1"/>
  <c r="CL135" i="1"/>
  <c r="CL134" i="1"/>
  <c r="CL133" i="1"/>
  <c r="CL132" i="1"/>
  <c r="CL131" i="1"/>
  <c r="CL130" i="1"/>
  <c r="CL129" i="1"/>
  <c r="CL128" i="1"/>
  <c r="CL127" i="1"/>
  <c r="CL126" i="1"/>
  <c r="CL125" i="1"/>
  <c r="CL124" i="1"/>
  <c r="CL123" i="1"/>
  <c r="CL122" i="1"/>
  <c r="CL121" i="1"/>
  <c r="CL120" i="1"/>
  <c r="CL119" i="1"/>
  <c r="CL118" i="1"/>
  <c r="CL117" i="1"/>
  <c r="CL116" i="1"/>
  <c r="CL115" i="1"/>
  <c r="CL114" i="1"/>
  <c r="CL113" i="1"/>
  <c r="CL112" i="1"/>
  <c r="CL111" i="1"/>
  <c r="CL110" i="1"/>
  <c r="CL109" i="1"/>
  <c r="CL108" i="1"/>
  <c r="CL107" i="1"/>
  <c r="CL106" i="1"/>
  <c r="CL105" i="1"/>
  <c r="CL104" i="1"/>
  <c r="CL103" i="1"/>
  <c r="CL102" i="1"/>
  <c r="CL101" i="1"/>
  <c r="CL100" i="1"/>
  <c r="CL99" i="1"/>
  <c r="CL98" i="1"/>
  <c r="CL97" i="1"/>
  <c r="CL96" i="1"/>
  <c r="CL95" i="1"/>
  <c r="CL94" i="1"/>
  <c r="CL93" i="1"/>
  <c r="CL92" i="1"/>
  <c r="CL91" i="1"/>
  <c r="CL90" i="1"/>
  <c r="CL89" i="1"/>
  <c r="CL88" i="1"/>
  <c r="CL87" i="1"/>
  <c r="CL86" i="1"/>
  <c r="CL85" i="1"/>
  <c r="CL84" i="1"/>
  <c r="CL83" i="1"/>
  <c r="CL82" i="1"/>
  <c r="CL81" i="1"/>
  <c r="CL80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L64" i="1"/>
  <c r="CL63" i="1"/>
  <c r="CL62" i="1"/>
  <c r="CL61" i="1"/>
  <c r="CL60" i="1"/>
  <c r="CL59" i="1"/>
  <c r="CL58" i="1"/>
  <c r="CL57" i="1"/>
  <c r="CL56" i="1"/>
  <c r="CL55" i="1"/>
  <c r="CL54" i="1"/>
  <c r="CL53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6" i="1"/>
  <c r="CL15" i="1"/>
  <c r="CL14" i="1"/>
  <c r="CL13" i="1"/>
  <c r="CL12" i="1"/>
  <c r="CO11" i="1"/>
  <c r="CL11" i="1"/>
  <c r="CL10" i="1"/>
  <c r="CL9" i="1"/>
  <c r="CL8" i="1"/>
  <c r="CL7" i="1"/>
  <c r="CL159" i="1" s="1"/>
  <c r="AK164" i="1"/>
  <c r="AK165" i="1"/>
  <c r="AK166" i="1"/>
  <c r="AK167" i="1"/>
  <c r="AK168" i="1"/>
  <c r="AK169" i="1"/>
  <c r="AK170" i="1"/>
  <c r="V169" i="1"/>
  <c r="S166" i="1"/>
  <c r="AK171" i="1"/>
  <c r="V166" i="1"/>
  <c r="V167" i="1"/>
  <c r="V168" i="1"/>
  <c r="U168" i="1"/>
  <c r="U166" i="1"/>
  <c r="AY7" i="1"/>
  <c r="AZ7" i="1"/>
  <c r="BB7" i="1" s="1"/>
  <c r="BC7" i="1" s="1"/>
  <c r="BF7" i="1" s="1"/>
  <c r="BA7" i="1"/>
  <c r="BG7" i="1"/>
  <c r="BJ7" i="1"/>
  <c r="BH7" i="1" s="1"/>
  <c r="AY21" i="1"/>
  <c r="AZ21" i="1"/>
  <c r="BB21" i="1" s="1"/>
  <c r="BC21" i="1" s="1"/>
  <c r="BA21" i="1"/>
  <c r="BG21" i="1"/>
  <c r="BJ21" i="1"/>
  <c r="BH21" i="1" s="1"/>
  <c r="AY22" i="1"/>
  <c r="AZ22" i="1"/>
  <c r="BA22" i="1"/>
  <c r="BB22" i="1"/>
  <c r="BC22" i="1"/>
  <c r="BF22" i="1"/>
  <c r="BG22" i="1"/>
  <c r="BJ22" i="1"/>
  <c r="BH22" i="1" s="1"/>
  <c r="AY23" i="1"/>
  <c r="AZ23" i="1"/>
  <c r="BA23" i="1"/>
  <c r="BB23" i="1"/>
  <c r="BC23" i="1"/>
  <c r="BF23" i="1"/>
  <c r="AY24" i="1"/>
  <c r="AZ24" i="1"/>
  <c r="BA24" i="1"/>
  <c r="BB24" i="1"/>
  <c r="BC24" i="1" s="1"/>
  <c r="AY25" i="1"/>
  <c r="AZ25" i="1"/>
  <c r="BB25" i="1" s="1"/>
  <c r="BC25" i="1" s="1"/>
  <c r="BA25" i="1"/>
  <c r="AY26" i="1"/>
  <c r="AZ26" i="1"/>
  <c r="BB26" i="1" s="1"/>
  <c r="BC26" i="1" s="1"/>
  <c r="BF26" i="1" s="1"/>
  <c r="BA26" i="1"/>
  <c r="AY27" i="1"/>
  <c r="AZ27" i="1"/>
  <c r="BA27" i="1"/>
  <c r="BB27" i="1"/>
  <c r="BC27" i="1"/>
  <c r="BF27" i="1"/>
  <c r="AY28" i="1"/>
  <c r="AZ28" i="1"/>
  <c r="BA28" i="1"/>
  <c r="BB28" i="1"/>
  <c r="BC28" i="1"/>
  <c r="BF28" i="1" s="1"/>
  <c r="AY29" i="1"/>
  <c r="AZ29" i="1"/>
  <c r="BB29" i="1" s="1"/>
  <c r="BC29" i="1" s="1"/>
  <c r="BA29" i="1"/>
  <c r="AY30" i="1"/>
  <c r="AZ30" i="1"/>
  <c r="BA30" i="1"/>
  <c r="BB30" i="1"/>
  <c r="BC30" i="1" s="1"/>
  <c r="AY31" i="1"/>
  <c r="AZ31" i="1"/>
  <c r="BB31" i="1" s="1"/>
  <c r="BC31" i="1" s="1"/>
  <c r="BF31" i="1" s="1"/>
  <c r="BA31" i="1"/>
  <c r="AY32" i="1"/>
  <c r="AZ32" i="1"/>
  <c r="BA32" i="1"/>
  <c r="BB32" i="1" s="1"/>
  <c r="BC32" i="1" s="1"/>
  <c r="BF32" i="1"/>
  <c r="AY33" i="1"/>
  <c r="AZ33" i="1"/>
  <c r="BA33" i="1"/>
  <c r="AY34" i="1"/>
  <c r="AZ34" i="1"/>
  <c r="BA34" i="1"/>
  <c r="BB34" i="1" s="1"/>
  <c r="BC34" i="1" s="1"/>
  <c r="BG23" i="1"/>
  <c r="BJ23" i="1"/>
  <c r="BH23" i="1" s="1"/>
  <c r="BG24" i="1"/>
  <c r="BJ24" i="1"/>
  <c r="BH24" i="1"/>
  <c r="BG25" i="1"/>
  <c r="BJ25" i="1"/>
  <c r="BH25" i="1"/>
  <c r="BG26" i="1"/>
  <c r="BJ26" i="1"/>
  <c r="AO26" i="1" s="1"/>
  <c r="BH26" i="1"/>
  <c r="BG27" i="1"/>
  <c r="BJ27" i="1"/>
  <c r="BH27" i="1" s="1"/>
  <c r="BG28" i="1"/>
  <c r="BJ28" i="1"/>
  <c r="BH28" i="1" s="1"/>
  <c r="BG29" i="1"/>
  <c r="BJ29" i="1"/>
  <c r="BH29" i="1"/>
  <c r="BG30" i="1"/>
  <c r="BJ30" i="1"/>
  <c r="BH30" i="1" s="1"/>
  <c r="BG31" i="1"/>
  <c r="BJ31" i="1"/>
  <c r="BH31" i="1" s="1"/>
  <c r="BG32" i="1"/>
  <c r="BJ32" i="1"/>
  <c r="BH32" i="1" s="1"/>
  <c r="BG33" i="1"/>
  <c r="BJ33" i="1"/>
  <c r="BH33" i="1" s="1"/>
  <c r="BG34" i="1"/>
  <c r="BJ34" i="1"/>
  <c r="BH34" i="1"/>
  <c r="AY35" i="1"/>
  <c r="AZ35" i="1"/>
  <c r="BA35" i="1"/>
  <c r="BB35" i="1"/>
  <c r="BC35" i="1" s="1"/>
  <c r="BF35" i="1" s="1"/>
  <c r="BG35" i="1"/>
  <c r="BJ35" i="1"/>
  <c r="BH35" i="1"/>
  <c r="AY36" i="1"/>
  <c r="AZ36" i="1"/>
  <c r="BA36" i="1"/>
  <c r="BB36" i="1"/>
  <c r="BC36" i="1" s="1"/>
  <c r="BG36" i="1"/>
  <c r="BJ36" i="1"/>
  <c r="BH36" i="1" s="1"/>
  <c r="AY8" i="1"/>
  <c r="AZ8" i="1"/>
  <c r="BA8" i="1"/>
  <c r="BB8" i="1"/>
  <c r="BC8" i="1" s="1"/>
  <c r="BF8" i="1" s="1"/>
  <c r="BG8" i="1"/>
  <c r="BJ8" i="1"/>
  <c r="BH8" i="1"/>
  <c r="AY9" i="1"/>
  <c r="AZ9" i="1"/>
  <c r="BA9" i="1"/>
  <c r="BB9" i="1" s="1"/>
  <c r="BC9" i="1" s="1"/>
  <c r="BF9" i="1"/>
  <c r="BG9" i="1"/>
  <c r="BJ9" i="1"/>
  <c r="BH9" i="1"/>
  <c r="AY10" i="1"/>
  <c r="AZ10" i="1"/>
  <c r="BA10" i="1"/>
  <c r="BB10" i="1"/>
  <c r="BC10" i="1" s="1"/>
  <c r="BG10" i="1"/>
  <c r="BJ10" i="1"/>
  <c r="BH10" i="1"/>
  <c r="AY11" i="1"/>
  <c r="AZ11" i="1"/>
  <c r="BA11" i="1"/>
  <c r="BB11" i="1" s="1"/>
  <c r="BC11" i="1"/>
  <c r="AO11" i="1" s="1"/>
  <c r="BF11" i="1"/>
  <c r="AY12" i="1"/>
  <c r="AZ12" i="1"/>
  <c r="BB12" i="1" s="1"/>
  <c r="BC12" i="1" s="1"/>
  <c r="BA12" i="1"/>
  <c r="AY13" i="1"/>
  <c r="AZ13" i="1"/>
  <c r="BB13" i="1" s="1"/>
  <c r="BC13" i="1" s="1"/>
  <c r="BA13" i="1"/>
  <c r="AY14" i="1"/>
  <c r="AZ14" i="1"/>
  <c r="BA14" i="1"/>
  <c r="AY15" i="1"/>
  <c r="AZ15" i="1"/>
  <c r="BA15" i="1"/>
  <c r="AY16" i="1"/>
  <c r="AZ16" i="1"/>
  <c r="BA16" i="1"/>
  <c r="BB16" i="1"/>
  <c r="BC16" i="1"/>
  <c r="AO16" i="1" s="1"/>
  <c r="BF16" i="1"/>
  <c r="AY17" i="1"/>
  <c r="AZ17" i="1"/>
  <c r="BB17" i="1" s="1"/>
  <c r="BC17" i="1" s="1"/>
  <c r="BA17" i="1"/>
  <c r="AY18" i="1"/>
  <c r="AZ18" i="1"/>
  <c r="BB18" i="1" s="1"/>
  <c r="BC18" i="1" s="1"/>
  <c r="BF18" i="1" s="1"/>
  <c r="BA18" i="1"/>
  <c r="AY19" i="1"/>
  <c r="AZ19" i="1"/>
  <c r="BA19" i="1"/>
  <c r="BB19" i="1"/>
  <c r="BC19" i="1"/>
  <c r="BF19" i="1" s="1"/>
  <c r="AY20" i="1"/>
  <c r="AZ20" i="1"/>
  <c r="BA20" i="1"/>
  <c r="BB20" i="1"/>
  <c r="BC20" i="1"/>
  <c r="BG11" i="1"/>
  <c r="BJ11" i="1"/>
  <c r="BH11" i="1"/>
  <c r="BG12" i="1"/>
  <c r="BJ12" i="1"/>
  <c r="BH12" i="1"/>
  <c r="BG13" i="1"/>
  <c r="BJ13" i="1"/>
  <c r="BH13" i="1"/>
  <c r="BG14" i="1"/>
  <c r="BJ14" i="1"/>
  <c r="BH14" i="1"/>
  <c r="BG15" i="1"/>
  <c r="BJ15" i="1"/>
  <c r="BH15" i="1"/>
  <c r="BG16" i="1"/>
  <c r="BJ16" i="1"/>
  <c r="BH16" i="1"/>
  <c r="BG17" i="1"/>
  <c r="BJ17" i="1"/>
  <c r="BH17" i="1"/>
  <c r="BG18" i="1"/>
  <c r="BJ18" i="1"/>
  <c r="BH18" i="1"/>
  <c r="BG19" i="1"/>
  <c r="BJ19" i="1"/>
  <c r="BH19" i="1"/>
  <c r="BG20" i="1"/>
  <c r="BJ20" i="1"/>
  <c r="BH20" i="1"/>
  <c r="AY37" i="1"/>
  <c r="AZ37" i="1"/>
  <c r="BB37" i="1" s="1"/>
  <c r="BC37" i="1" s="1"/>
  <c r="BA37" i="1"/>
  <c r="BE37" i="1"/>
  <c r="BG37" i="1"/>
  <c r="BJ37" i="1"/>
  <c r="BH37" i="1"/>
  <c r="AY38" i="1"/>
  <c r="AZ38" i="1"/>
  <c r="BB38" i="1" s="1"/>
  <c r="BA38" i="1"/>
  <c r="BC38" i="1"/>
  <c r="AO38" i="1" s="1"/>
  <c r="BE38" i="1"/>
  <c r="BG38" i="1"/>
  <c r="BJ38" i="1"/>
  <c r="BH38" i="1"/>
  <c r="AY39" i="1"/>
  <c r="AZ39" i="1"/>
  <c r="BA39" i="1"/>
  <c r="BB39" i="1" s="1"/>
  <c r="BC39" i="1" s="1"/>
  <c r="BF39" i="1" s="1"/>
  <c r="BE39" i="1"/>
  <c r="AY40" i="1"/>
  <c r="AZ40" i="1"/>
  <c r="BB40" i="1" s="1"/>
  <c r="BC40" i="1" s="1"/>
  <c r="BA40" i="1"/>
  <c r="BE40" i="1"/>
  <c r="AY41" i="1"/>
  <c r="AZ41" i="1"/>
  <c r="BA41" i="1"/>
  <c r="BB41" i="1"/>
  <c r="BC41" i="1" s="1"/>
  <c r="AO41" i="1" s="1"/>
  <c r="BE41" i="1"/>
  <c r="AY42" i="1"/>
  <c r="AZ42" i="1"/>
  <c r="BB42" i="1" s="1"/>
  <c r="BC42" i="1" s="1"/>
  <c r="BF42" i="1" s="1"/>
  <c r="BA42" i="1"/>
  <c r="BE42" i="1"/>
  <c r="AY43" i="1"/>
  <c r="AZ43" i="1"/>
  <c r="BA43" i="1"/>
  <c r="BB43" i="1"/>
  <c r="BC43" i="1" s="1"/>
  <c r="BE43" i="1"/>
  <c r="AY44" i="1"/>
  <c r="AZ44" i="1"/>
  <c r="BA44" i="1"/>
  <c r="BB44" i="1" s="1"/>
  <c r="BC44" i="1" s="1"/>
  <c r="AO44" i="1" s="1"/>
  <c r="BE44" i="1"/>
  <c r="AY45" i="1"/>
  <c r="AZ45" i="1"/>
  <c r="BB45" i="1" s="1"/>
  <c r="BC45" i="1" s="1"/>
  <c r="BA45" i="1"/>
  <c r="BE45" i="1"/>
  <c r="AY46" i="1"/>
  <c r="AZ46" i="1"/>
  <c r="BA46" i="1"/>
  <c r="BB46" i="1"/>
  <c r="BC46" i="1"/>
  <c r="AO46" i="1" s="1"/>
  <c r="BE46" i="1"/>
  <c r="AY47" i="1"/>
  <c r="AZ47" i="1"/>
  <c r="BA47" i="1"/>
  <c r="BB47" i="1"/>
  <c r="BC47" i="1" s="1"/>
  <c r="BE47" i="1"/>
  <c r="AY48" i="1"/>
  <c r="AZ48" i="1"/>
  <c r="BA48" i="1"/>
  <c r="BB48" i="1"/>
  <c r="BC48" i="1" s="1"/>
  <c r="BE48" i="1"/>
  <c r="AY49" i="1"/>
  <c r="AZ49" i="1"/>
  <c r="BA49" i="1"/>
  <c r="BB49" i="1" s="1"/>
  <c r="BC49" i="1"/>
  <c r="BF49" i="1" s="1"/>
  <c r="BE49" i="1"/>
  <c r="AY50" i="1"/>
  <c r="AZ50" i="1"/>
  <c r="BB50" i="1" s="1"/>
  <c r="BC50" i="1" s="1"/>
  <c r="BF50" i="1" s="1"/>
  <c r="BA50" i="1"/>
  <c r="BE50" i="1"/>
  <c r="AY51" i="1"/>
  <c r="AZ51" i="1"/>
  <c r="BA51" i="1"/>
  <c r="BB51" i="1" s="1"/>
  <c r="BC51" i="1" s="1"/>
  <c r="AO51" i="1" s="1"/>
  <c r="BE51" i="1"/>
  <c r="BF51" i="1"/>
  <c r="AY52" i="1"/>
  <c r="AZ52" i="1"/>
  <c r="BB52" i="1" s="1"/>
  <c r="BC52" i="1" s="1"/>
  <c r="BF52" i="1" s="1"/>
  <c r="BA52" i="1"/>
  <c r="BE52" i="1"/>
  <c r="AY53" i="1"/>
  <c r="AZ53" i="1"/>
  <c r="BA53" i="1"/>
  <c r="BB53" i="1"/>
  <c r="BC53" i="1" s="1"/>
  <c r="AO53" i="1" s="1"/>
  <c r="BE53" i="1"/>
  <c r="BF53" i="1"/>
  <c r="AY54" i="1"/>
  <c r="AZ54" i="1"/>
  <c r="BA54" i="1"/>
  <c r="BB54" i="1"/>
  <c r="BC54" i="1"/>
  <c r="BF54" i="1" s="1"/>
  <c r="BE54" i="1"/>
  <c r="AY55" i="1"/>
  <c r="AZ55" i="1"/>
  <c r="BA55" i="1"/>
  <c r="BB55" i="1"/>
  <c r="BC55" i="1"/>
  <c r="BE55" i="1"/>
  <c r="BF55" i="1"/>
  <c r="AY56" i="1"/>
  <c r="AZ56" i="1"/>
  <c r="BA56" i="1"/>
  <c r="BB56" i="1" s="1"/>
  <c r="BC56" i="1" s="1"/>
  <c r="AO56" i="1" s="1"/>
  <c r="BE56" i="1"/>
  <c r="AY57" i="1"/>
  <c r="AZ57" i="1"/>
  <c r="BB57" i="1" s="1"/>
  <c r="BC57" i="1" s="1"/>
  <c r="BA57" i="1"/>
  <c r="BE57" i="1"/>
  <c r="AY58" i="1"/>
  <c r="AZ58" i="1"/>
  <c r="BA58" i="1"/>
  <c r="BB58" i="1"/>
  <c r="BC58" i="1"/>
  <c r="BE58" i="1"/>
  <c r="AY59" i="1"/>
  <c r="AZ59" i="1"/>
  <c r="BA59" i="1"/>
  <c r="BE59" i="1"/>
  <c r="AY60" i="1"/>
  <c r="AZ60" i="1"/>
  <c r="BA60" i="1"/>
  <c r="BB60" i="1"/>
  <c r="BC60" i="1"/>
  <c r="BE60" i="1"/>
  <c r="AY61" i="1"/>
  <c r="AZ61" i="1"/>
  <c r="BB61" i="1" s="1"/>
  <c r="BC61" i="1" s="1"/>
  <c r="BA61" i="1"/>
  <c r="BE61" i="1"/>
  <c r="AY62" i="1"/>
  <c r="AZ62" i="1"/>
  <c r="BA62" i="1"/>
  <c r="BB62" i="1"/>
  <c r="BC62" i="1"/>
  <c r="BE62" i="1"/>
  <c r="AY63" i="1"/>
  <c r="AZ63" i="1"/>
  <c r="BA63" i="1"/>
  <c r="BE63" i="1"/>
  <c r="AY64" i="1"/>
  <c r="AZ64" i="1"/>
  <c r="BA64" i="1"/>
  <c r="BB64" i="1" s="1"/>
  <c r="BC64" i="1" s="1"/>
  <c r="AO64" i="1" s="1"/>
  <c r="BE64" i="1"/>
  <c r="BF64" i="1"/>
  <c r="AY65" i="1"/>
  <c r="AZ65" i="1"/>
  <c r="BB65" i="1" s="1"/>
  <c r="BC65" i="1" s="1"/>
  <c r="BA65" i="1"/>
  <c r="BE65" i="1"/>
  <c r="AY66" i="1"/>
  <c r="AZ66" i="1"/>
  <c r="BA66" i="1"/>
  <c r="BE66" i="1"/>
  <c r="AY67" i="1"/>
  <c r="AZ67" i="1"/>
  <c r="BA67" i="1"/>
  <c r="BE67" i="1"/>
  <c r="AY68" i="1"/>
  <c r="AZ68" i="1"/>
  <c r="BA68" i="1"/>
  <c r="BB68" i="1"/>
  <c r="BC68" i="1" s="1"/>
  <c r="BE68" i="1"/>
  <c r="AY69" i="1"/>
  <c r="AZ69" i="1"/>
  <c r="BA69" i="1"/>
  <c r="BB69" i="1"/>
  <c r="BC69" i="1"/>
  <c r="BF69" i="1" s="1"/>
  <c r="BE69" i="1"/>
  <c r="AY70" i="1"/>
  <c r="AZ70" i="1"/>
  <c r="BA70" i="1"/>
  <c r="BE70" i="1"/>
  <c r="AY71" i="1"/>
  <c r="AZ71" i="1"/>
  <c r="BA71" i="1"/>
  <c r="BB71" i="1" s="1"/>
  <c r="BC71" i="1" s="1"/>
  <c r="BF71" i="1" s="1"/>
  <c r="BE71" i="1"/>
  <c r="AY72" i="1"/>
  <c r="AZ72" i="1"/>
  <c r="BA72" i="1"/>
  <c r="BE72" i="1"/>
  <c r="AY73" i="1"/>
  <c r="AZ73" i="1"/>
  <c r="BA73" i="1"/>
  <c r="BB73" i="1"/>
  <c r="BC73" i="1" s="1"/>
  <c r="BF73" i="1" s="1"/>
  <c r="BE73" i="1"/>
  <c r="AY74" i="1"/>
  <c r="AZ74" i="1"/>
  <c r="BB74" i="1" s="1"/>
  <c r="BC74" i="1" s="1"/>
  <c r="BF74" i="1" s="1"/>
  <c r="BA74" i="1"/>
  <c r="BE74" i="1"/>
  <c r="AY75" i="1"/>
  <c r="AZ75" i="1"/>
  <c r="BA75" i="1"/>
  <c r="BB75" i="1"/>
  <c r="BC75" i="1" s="1"/>
  <c r="BF75" i="1" s="1"/>
  <c r="BE75" i="1"/>
  <c r="AY76" i="1"/>
  <c r="AZ76" i="1"/>
  <c r="BA76" i="1"/>
  <c r="BB76" i="1" s="1"/>
  <c r="BC76" i="1" s="1"/>
  <c r="AO76" i="1" s="1"/>
  <c r="BE76" i="1"/>
  <c r="BF76" i="1"/>
  <c r="AY77" i="1"/>
  <c r="AZ77" i="1"/>
  <c r="BB77" i="1" s="1"/>
  <c r="BA77" i="1"/>
  <c r="BC77" i="1"/>
  <c r="BE77" i="1"/>
  <c r="AY78" i="1"/>
  <c r="AZ78" i="1"/>
  <c r="BA78" i="1"/>
  <c r="BB78" i="1"/>
  <c r="BC78" i="1"/>
  <c r="BF78" i="1" s="1"/>
  <c r="BE78" i="1"/>
  <c r="AY79" i="1"/>
  <c r="AZ79" i="1"/>
  <c r="BA79" i="1"/>
  <c r="BB79" i="1" s="1"/>
  <c r="BC79" i="1" s="1"/>
  <c r="BE79" i="1"/>
  <c r="AY80" i="1"/>
  <c r="AZ80" i="1"/>
  <c r="BA80" i="1"/>
  <c r="BB80" i="1"/>
  <c r="BC80" i="1" s="1"/>
  <c r="BE80" i="1"/>
  <c r="BF80" i="1"/>
  <c r="AY81" i="1"/>
  <c r="AZ81" i="1"/>
  <c r="BA81" i="1"/>
  <c r="BB81" i="1" s="1"/>
  <c r="BC81" i="1"/>
  <c r="BF81" i="1" s="1"/>
  <c r="BE81" i="1"/>
  <c r="AY82" i="1"/>
  <c r="AZ82" i="1"/>
  <c r="BB82" i="1" s="1"/>
  <c r="BC82" i="1" s="1"/>
  <c r="BF82" i="1" s="1"/>
  <c r="BA82" i="1"/>
  <c r="BE82" i="1"/>
  <c r="AY83" i="1"/>
  <c r="AZ83" i="1"/>
  <c r="BA83" i="1"/>
  <c r="BB83" i="1" s="1"/>
  <c r="BC83" i="1" s="1"/>
  <c r="BE83" i="1"/>
  <c r="BF83" i="1"/>
  <c r="AY84" i="1"/>
  <c r="AZ84" i="1"/>
  <c r="BA84" i="1"/>
  <c r="BB84" i="1"/>
  <c r="BC84" i="1"/>
  <c r="BE84" i="1"/>
  <c r="AY85" i="1"/>
  <c r="AZ85" i="1"/>
  <c r="BA85" i="1"/>
  <c r="BB85" i="1"/>
  <c r="BC85" i="1" s="1"/>
  <c r="BE85" i="1"/>
  <c r="AY86" i="1"/>
  <c r="AZ86" i="1"/>
  <c r="BB86" i="1" s="1"/>
  <c r="BC86" i="1" s="1"/>
  <c r="BA86" i="1"/>
  <c r="BE86" i="1"/>
  <c r="AY87" i="1"/>
  <c r="AZ87" i="1"/>
  <c r="BA87" i="1"/>
  <c r="BB87" i="1"/>
  <c r="BC87" i="1"/>
  <c r="BE87" i="1"/>
  <c r="BF87" i="1"/>
  <c r="AY88" i="1"/>
  <c r="AZ88" i="1"/>
  <c r="BA88" i="1"/>
  <c r="BB88" i="1" s="1"/>
  <c r="BC88" i="1" s="1"/>
  <c r="AO88" i="1" s="1"/>
  <c r="BE88" i="1"/>
  <c r="AY89" i="1"/>
  <c r="AZ89" i="1"/>
  <c r="BB89" i="1" s="1"/>
  <c r="BC89" i="1" s="1"/>
  <c r="BA89" i="1"/>
  <c r="BE89" i="1"/>
  <c r="AY90" i="1"/>
  <c r="AZ90" i="1"/>
  <c r="BA90" i="1"/>
  <c r="BB90" i="1"/>
  <c r="BC90" i="1"/>
  <c r="BF90" i="1" s="1"/>
  <c r="BE90" i="1"/>
  <c r="AY91" i="1"/>
  <c r="AZ91" i="1"/>
  <c r="BB91" i="1" s="1"/>
  <c r="BC91" i="1" s="1"/>
  <c r="BA91" i="1"/>
  <c r="BE91" i="1"/>
  <c r="AY92" i="1"/>
  <c r="AZ92" i="1"/>
  <c r="BB92" i="1" s="1"/>
  <c r="BC92" i="1" s="1"/>
  <c r="BA92" i="1"/>
  <c r="BE92" i="1"/>
  <c r="AY93" i="1"/>
  <c r="AZ93" i="1"/>
  <c r="BB93" i="1" s="1"/>
  <c r="BC93" i="1" s="1"/>
  <c r="BA93" i="1"/>
  <c r="BE93" i="1"/>
  <c r="AY94" i="1"/>
  <c r="AZ94" i="1"/>
  <c r="BA94" i="1"/>
  <c r="BB94" i="1"/>
  <c r="BC94" i="1"/>
  <c r="BE94" i="1"/>
  <c r="AY95" i="1"/>
  <c r="AZ95" i="1"/>
  <c r="BA95" i="1"/>
  <c r="BE95" i="1"/>
  <c r="AY96" i="1"/>
  <c r="AZ96" i="1"/>
  <c r="BB96" i="1" s="1"/>
  <c r="BC96" i="1" s="1"/>
  <c r="BA96" i="1"/>
  <c r="BE96" i="1"/>
  <c r="BF96" i="1"/>
  <c r="AY97" i="1"/>
  <c r="AZ97" i="1"/>
  <c r="BB97" i="1" s="1"/>
  <c r="BA97" i="1"/>
  <c r="BC97" i="1"/>
  <c r="BF97" i="1" s="1"/>
  <c r="BE97" i="1"/>
  <c r="AY98" i="1"/>
  <c r="AZ98" i="1"/>
  <c r="BA98" i="1"/>
  <c r="BE98" i="1"/>
  <c r="AY99" i="1"/>
  <c r="AZ99" i="1"/>
  <c r="BA99" i="1"/>
  <c r="BE99" i="1"/>
  <c r="AY100" i="1"/>
  <c r="AZ100" i="1"/>
  <c r="BB100" i="1" s="1"/>
  <c r="BC100" i="1" s="1"/>
  <c r="BA100" i="1"/>
  <c r="BE100" i="1"/>
  <c r="AY101" i="1"/>
  <c r="AZ101" i="1"/>
  <c r="BA101" i="1"/>
  <c r="BB101" i="1"/>
  <c r="BC101" i="1"/>
  <c r="BF101" i="1" s="1"/>
  <c r="BE101" i="1"/>
  <c r="AY102" i="1"/>
  <c r="AZ102" i="1"/>
  <c r="BB102" i="1" s="1"/>
  <c r="BC102" i="1" s="1"/>
  <c r="BA102" i="1"/>
  <c r="BE102" i="1"/>
  <c r="AY103" i="1"/>
  <c r="AZ103" i="1"/>
  <c r="BA103" i="1"/>
  <c r="BB103" i="1" s="1"/>
  <c r="BC103" i="1" s="1"/>
  <c r="BE103" i="1"/>
  <c r="BF103" i="1"/>
  <c r="AY104" i="1"/>
  <c r="AZ104" i="1"/>
  <c r="BB104" i="1" s="1"/>
  <c r="BC104" i="1" s="1"/>
  <c r="BA104" i="1"/>
  <c r="BE104" i="1"/>
  <c r="AY105" i="1"/>
  <c r="AZ105" i="1"/>
  <c r="BA105" i="1"/>
  <c r="BB105" i="1"/>
  <c r="BC105" i="1" s="1"/>
  <c r="AO105" i="1" s="1"/>
  <c r="BE105" i="1"/>
  <c r="BF105" i="1"/>
  <c r="AY106" i="1"/>
  <c r="AZ106" i="1"/>
  <c r="BB106" i="1" s="1"/>
  <c r="BC106" i="1" s="1"/>
  <c r="BA106" i="1"/>
  <c r="BE106" i="1"/>
  <c r="AY107" i="1"/>
  <c r="AZ107" i="1"/>
  <c r="BA107" i="1"/>
  <c r="BB107" i="1" s="1"/>
  <c r="BC107" i="1" s="1"/>
  <c r="BE107" i="1"/>
  <c r="AY108" i="1"/>
  <c r="AZ108" i="1"/>
  <c r="BA108" i="1"/>
  <c r="BB108" i="1" s="1"/>
  <c r="BC108" i="1" s="1"/>
  <c r="AO108" i="1" s="1"/>
  <c r="BE108" i="1"/>
  <c r="AY109" i="1"/>
  <c r="AZ109" i="1"/>
  <c r="BB109" i="1" s="1"/>
  <c r="BA109" i="1"/>
  <c r="BC109" i="1"/>
  <c r="BE109" i="1"/>
  <c r="AY110" i="1"/>
  <c r="AZ110" i="1"/>
  <c r="BA110" i="1"/>
  <c r="BB110" i="1"/>
  <c r="BC110" i="1"/>
  <c r="BE110" i="1"/>
  <c r="BF110" i="1"/>
  <c r="AY111" i="1"/>
  <c r="AZ111" i="1"/>
  <c r="BA111" i="1"/>
  <c r="BB111" i="1"/>
  <c r="BC111" i="1" s="1"/>
  <c r="BE111" i="1"/>
  <c r="AY112" i="1"/>
  <c r="AZ112" i="1"/>
  <c r="BA112" i="1"/>
  <c r="BB112" i="1"/>
  <c r="BC112" i="1" s="1"/>
  <c r="AO112" i="1" s="1"/>
  <c r="BE112" i="1"/>
  <c r="BF112" i="1"/>
  <c r="AY113" i="1"/>
  <c r="AZ113" i="1"/>
  <c r="BA113" i="1"/>
  <c r="BB113" i="1" s="1"/>
  <c r="BC113" i="1" s="1"/>
  <c r="BE113" i="1"/>
  <c r="AY114" i="1"/>
  <c r="AZ114" i="1"/>
  <c r="BB114" i="1" s="1"/>
  <c r="BC114" i="1" s="1"/>
  <c r="BF114" i="1" s="1"/>
  <c r="BA114" i="1"/>
  <c r="BE114" i="1"/>
  <c r="AY115" i="1"/>
  <c r="AZ115" i="1"/>
  <c r="BA115" i="1"/>
  <c r="BB115" i="1" s="1"/>
  <c r="BC115" i="1" s="1"/>
  <c r="BE115" i="1"/>
  <c r="BF115" i="1"/>
  <c r="AY116" i="1"/>
  <c r="AZ116" i="1"/>
  <c r="BA116" i="1"/>
  <c r="BB116" i="1" s="1"/>
  <c r="BC116" i="1" s="1"/>
  <c r="BE116" i="1"/>
  <c r="AY117" i="1"/>
  <c r="AZ117" i="1"/>
  <c r="BA117" i="1"/>
  <c r="BB117" i="1"/>
  <c r="BC117" i="1" s="1"/>
  <c r="BE117" i="1"/>
  <c r="BF117" i="1"/>
  <c r="AY118" i="1"/>
  <c r="AZ118" i="1"/>
  <c r="BA118" i="1"/>
  <c r="BB118" i="1"/>
  <c r="BC118" i="1" s="1"/>
  <c r="BE118" i="1"/>
  <c r="AY119" i="1"/>
  <c r="AZ119" i="1"/>
  <c r="BA119" i="1"/>
  <c r="BB119" i="1"/>
  <c r="BC119" i="1"/>
  <c r="BE119" i="1"/>
  <c r="BF119" i="1"/>
  <c r="AY120" i="1"/>
  <c r="AZ120" i="1"/>
  <c r="BA120" i="1"/>
  <c r="BB120" i="1" s="1"/>
  <c r="BC120" i="1"/>
  <c r="BE120" i="1"/>
  <c r="BF120" i="1"/>
  <c r="AY121" i="1"/>
  <c r="AZ121" i="1"/>
  <c r="BB121" i="1" s="1"/>
  <c r="BC121" i="1" s="1"/>
  <c r="AO121" i="1" s="1"/>
  <c r="BA121" i="1"/>
  <c r="BE121" i="1"/>
  <c r="BF121" i="1"/>
  <c r="AY122" i="1"/>
  <c r="AZ122" i="1"/>
  <c r="BA122" i="1"/>
  <c r="BB122" i="1"/>
  <c r="BC122" i="1" s="1"/>
  <c r="BE122" i="1"/>
  <c r="BF122" i="1"/>
  <c r="AY123" i="1"/>
  <c r="AZ123" i="1"/>
  <c r="BA123" i="1"/>
  <c r="BE123" i="1"/>
  <c r="AY124" i="1"/>
  <c r="AZ124" i="1"/>
  <c r="BB124" i="1" s="1"/>
  <c r="BC124" i="1" s="1"/>
  <c r="BA124" i="1"/>
  <c r="BE124" i="1"/>
  <c r="AY125" i="1"/>
  <c r="AZ125" i="1"/>
  <c r="BB125" i="1" s="1"/>
  <c r="BC125" i="1" s="1"/>
  <c r="BA125" i="1"/>
  <c r="BE125" i="1"/>
  <c r="AY126" i="1"/>
  <c r="AZ126" i="1"/>
  <c r="BA126" i="1"/>
  <c r="BB126" i="1"/>
  <c r="BC126" i="1"/>
  <c r="BE126" i="1"/>
  <c r="AY127" i="1"/>
  <c r="AZ127" i="1"/>
  <c r="BB127" i="1" s="1"/>
  <c r="BC127" i="1" s="1"/>
  <c r="BA127" i="1"/>
  <c r="BE127" i="1"/>
  <c r="AY128" i="1"/>
  <c r="AZ128" i="1"/>
  <c r="BB128" i="1" s="1"/>
  <c r="BC128" i="1" s="1"/>
  <c r="BA128" i="1"/>
  <c r="BE128" i="1"/>
  <c r="AY129" i="1"/>
  <c r="AZ129" i="1"/>
  <c r="BA129" i="1"/>
  <c r="BB129" i="1"/>
  <c r="BC129" i="1"/>
  <c r="AO129" i="1" s="1"/>
  <c r="BE129" i="1"/>
  <c r="BF129" i="1"/>
  <c r="AY130" i="1"/>
  <c r="AZ130" i="1"/>
  <c r="BA130" i="1"/>
  <c r="BE130" i="1"/>
  <c r="AY131" i="1"/>
  <c r="AZ131" i="1"/>
  <c r="BB131" i="1" s="1"/>
  <c r="BC131" i="1" s="1"/>
  <c r="BA131" i="1"/>
  <c r="BE131" i="1"/>
  <c r="AY132" i="1"/>
  <c r="AZ132" i="1"/>
  <c r="BB132" i="1" s="1"/>
  <c r="BC132" i="1" s="1"/>
  <c r="BA132" i="1"/>
  <c r="BE132" i="1"/>
  <c r="AY133" i="1"/>
  <c r="AZ133" i="1"/>
  <c r="BA133" i="1"/>
  <c r="BB133" i="1"/>
  <c r="BC133" i="1" s="1"/>
  <c r="BE133" i="1"/>
  <c r="AY134" i="1"/>
  <c r="AZ134" i="1"/>
  <c r="BB134" i="1" s="1"/>
  <c r="BC134" i="1" s="1"/>
  <c r="BA134" i="1"/>
  <c r="BE134" i="1"/>
  <c r="AY135" i="1"/>
  <c r="AZ135" i="1"/>
  <c r="BA135" i="1"/>
  <c r="BB135" i="1" s="1"/>
  <c r="BC135" i="1"/>
  <c r="BE135" i="1"/>
  <c r="AY136" i="1"/>
  <c r="AZ136" i="1"/>
  <c r="BA136" i="1"/>
  <c r="BB136" i="1"/>
  <c r="BC136" i="1" s="1"/>
  <c r="AO136" i="1" s="1"/>
  <c r="BE136" i="1"/>
  <c r="AY137" i="1"/>
  <c r="AZ137" i="1"/>
  <c r="BA137" i="1"/>
  <c r="BB137" i="1"/>
  <c r="BC137" i="1" s="1"/>
  <c r="AO137" i="1" s="1"/>
  <c r="BE137" i="1"/>
  <c r="AY138" i="1"/>
  <c r="AZ138" i="1"/>
  <c r="BA138" i="1"/>
  <c r="BE138" i="1"/>
  <c r="AY139" i="1"/>
  <c r="AZ139" i="1"/>
  <c r="BA139" i="1"/>
  <c r="BB139" i="1" s="1"/>
  <c r="BC139" i="1" s="1"/>
  <c r="BF139" i="1" s="1"/>
  <c r="BE139" i="1"/>
  <c r="AY140" i="1"/>
  <c r="AZ140" i="1"/>
  <c r="BA140" i="1"/>
  <c r="BB140" i="1"/>
  <c r="BC140" i="1" s="1"/>
  <c r="AO140" i="1" s="1"/>
  <c r="BE140" i="1"/>
  <c r="AY141" i="1"/>
  <c r="AZ141" i="1"/>
  <c r="BA141" i="1"/>
  <c r="BE141" i="1"/>
  <c r="AY142" i="1"/>
  <c r="AZ142" i="1"/>
  <c r="BA142" i="1"/>
  <c r="BB142" i="1"/>
  <c r="BC142" i="1"/>
  <c r="AO142" i="1" s="1"/>
  <c r="BE142" i="1"/>
  <c r="AY143" i="1"/>
  <c r="AZ143" i="1"/>
  <c r="BB143" i="1" s="1"/>
  <c r="BC143" i="1" s="1"/>
  <c r="BA143" i="1"/>
  <c r="BE143" i="1"/>
  <c r="AY144" i="1"/>
  <c r="AZ144" i="1"/>
  <c r="BA144" i="1"/>
  <c r="BB144" i="1"/>
  <c r="BC144" i="1" s="1"/>
  <c r="BE144" i="1"/>
  <c r="BF144" i="1"/>
  <c r="AY145" i="1"/>
  <c r="AZ145" i="1"/>
  <c r="BA145" i="1"/>
  <c r="BB145" i="1" s="1"/>
  <c r="BC145" i="1" s="1"/>
  <c r="BF145" i="1" s="1"/>
  <c r="BE145" i="1"/>
  <c r="AY146" i="1"/>
  <c r="AZ146" i="1"/>
  <c r="BB146" i="1" s="1"/>
  <c r="BC146" i="1" s="1"/>
  <c r="BF146" i="1" s="1"/>
  <c r="BA146" i="1"/>
  <c r="BE146" i="1"/>
  <c r="AY147" i="1"/>
  <c r="AZ147" i="1"/>
  <c r="BA147" i="1"/>
  <c r="BB147" i="1"/>
  <c r="BC147" i="1" s="1"/>
  <c r="BE147" i="1"/>
  <c r="BF147" i="1"/>
  <c r="AY148" i="1"/>
  <c r="AZ148" i="1"/>
  <c r="BA148" i="1"/>
  <c r="BE148" i="1"/>
  <c r="AY149" i="1"/>
  <c r="AZ149" i="1"/>
  <c r="BA149" i="1"/>
  <c r="BB149" i="1"/>
  <c r="BC149" i="1"/>
  <c r="AO149" i="1" s="1"/>
  <c r="BE149" i="1"/>
  <c r="BF149" i="1"/>
  <c r="AY150" i="1"/>
  <c r="AZ150" i="1"/>
  <c r="BA150" i="1"/>
  <c r="BB150" i="1"/>
  <c r="BC150" i="1" s="1"/>
  <c r="BF150" i="1" s="1"/>
  <c r="BE150" i="1"/>
  <c r="AY151" i="1"/>
  <c r="AZ151" i="1"/>
  <c r="BA151" i="1"/>
  <c r="BB151" i="1"/>
  <c r="BC151" i="1"/>
  <c r="BE151" i="1"/>
  <c r="BF151" i="1"/>
  <c r="AY152" i="1"/>
  <c r="AZ152" i="1"/>
  <c r="BA152" i="1"/>
  <c r="BB152" i="1"/>
  <c r="BC152" i="1"/>
  <c r="BE152" i="1"/>
  <c r="BF152" i="1"/>
  <c r="AY153" i="1"/>
  <c r="AZ153" i="1"/>
  <c r="BB153" i="1" s="1"/>
  <c r="BC153" i="1" s="1"/>
  <c r="BA153" i="1"/>
  <c r="BE153" i="1"/>
  <c r="AY154" i="1"/>
  <c r="AZ154" i="1"/>
  <c r="BA154" i="1"/>
  <c r="BB154" i="1"/>
  <c r="BC154" i="1" s="1"/>
  <c r="BE154" i="1"/>
  <c r="AY155" i="1"/>
  <c r="AZ155" i="1"/>
  <c r="BB155" i="1" s="1"/>
  <c r="BC155" i="1" s="1"/>
  <c r="BF155" i="1" s="1"/>
  <c r="BA155" i="1"/>
  <c r="BE155" i="1"/>
  <c r="AY156" i="1"/>
  <c r="AZ156" i="1"/>
  <c r="BA156" i="1"/>
  <c r="BB156" i="1" s="1"/>
  <c r="BC156" i="1" s="1"/>
  <c r="BE156" i="1"/>
  <c r="AY157" i="1"/>
  <c r="AZ157" i="1"/>
  <c r="BA157" i="1"/>
  <c r="BB157" i="1"/>
  <c r="BC157" i="1" s="1"/>
  <c r="BE157" i="1"/>
  <c r="BG39" i="1"/>
  <c r="BJ39" i="1"/>
  <c r="BH39" i="1" s="1"/>
  <c r="BG40" i="1"/>
  <c r="BJ40" i="1"/>
  <c r="BH40" i="1"/>
  <c r="BG41" i="1"/>
  <c r="BJ41" i="1"/>
  <c r="BH41" i="1"/>
  <c r="BG42" i="1"/>
  <c r="BJ42" i="1"/>
  <c r="BH42" i="1"/>
  <c r="BG43" i="1"/>
  <c r="BJ43" i="1"/>
  <c r="BH43" i="1" s="1"/>
  <c r="BG44" i="1"/>
  <c r="BJ44" i="1"/>
  <c r="BH44" i="1" s="1"/>
  <c r="BG45" i="1"/>
  <c r="BJ45" i="1"/>
  <c r="BH45" i="1"/>
  <c r="BG46" i="1"/>
  <c r="BJ46" i="1"/>
  <c r="BH46" i="1" s="1"/>
  <c r="BG47" i="1"/>
  <c r="BJ47" i="1"/>
  <c r="BH47" i="1" s="1"/>
  <c r="BG48" i="1"/>
  <c r="BJ48" i="1"/>
  <c r="BH48" i="1" s="1"/>
  <c r="BG49" i="1"/>
  <c r="BJ49" i="1"/>
  <c r="BH49" i="1" s="1"/>
  <c r="BG50" i="1"/>
  <c r="BJ50" i="1"/>
  <c r="BH50" i="1"/>
  <c r="BG51" i="1"/>
  <c r="BJ51" i="1"/>
  <c r="BH51" i="1" s="1"/>
  <c r="BG52" i="1"/>
  <c r="BJ52" i="1"/>
  <c r="BH52" i="1" s="1"/>
  <c r="BG53" i="1"/>
  <c r="BJ53" i="1"/>
  <c r="BH53" i="1"/>
  <c r="BG54" i="1"/>
  <c r="BJ54" i="1"/>
  <c r="BH54" i="1" s="1"/>
  <c r="BG55" i="1"/>
  <c r="BJ55" i="1"/>
  <c r="BH55" i="1"/>
  <c r="BG56" i="1"/>
  <c r="BJ56" i="1"/>
  <c r="BH56" i="1"/>
  <c r="BG57" i="1"/>
  <c r="BJ57" i="1"/>
  <c r="BH57" i="1"/>
  <c r="BG58" i="1"/>
  <c r="BJ58" i="1"/>
  <c r="BH58" i="1" s="1"/>
  <c r="BG59" i="1"/>
  <c r="BJ59" i="1"/>
  <c r="BH59" i="1"/>
  <c r="BG60" i="1"/>
  <c r="BJ60" i="1"/>
  <c r="BH60" i="1"/>
  <c r="BG61" i="1"/>
  <c r="BJ61" i="1"/>
  <c r="BH61" i="1"/>
  <c r="BG62" i="1"/>
  <c r="BJ62" i="1"/>
  <c r="BH62" i="1"/>
  <c r="BG63" i="1"/>
  <c r="BJ63" i="1"/>
  <c r="BH63" i="1"/>
  <c r="BG64" i="1"/>
  <c r="BJ64" i="1"/>
  <c r="BH64" i="1"/>
  <c r="BG65" i="1"/>
  <c r="BJ65" i="1"/>
  <c r="BH65" i="1"/>
  <c r="BG66" i="1"/>
  <c r="BJ66" i="1"/>
  <c r="BH66" i="1"/>
  <c r="BG67" i="1"/>
  <c r="BJ67" i="1"/>
  <c r="BH67" i="1"/>
  <c r="BG68" i="1"/>
  <c r="BJ68" i="1"/>
  <c r="BH68" i="1" s="1"/>
  <c r="BG69" i="1"/>
  <c r="BJ69" i="1"/>
  <c r="BH69" i="1"/>
  <c r="BG70" i="1"/>
  <c r="BJ70" i="1"/>
  <c r="BH70" i="1" s="1"/>
  <c r="BG71" i="1"/>
  <c r="BJ71" i="1"/>
  <c r="BH71" i="1" s="1"/>
  <c r="BG72" i="1"/>
  <c r="BJ72" i="1"/>
  <c r="BH72" i="1" s="1"/>
  <c r="BG73" i="1"/>
  <c r="BJ73" i="1"/>
  <c r="BH73" i="1" s="1"/>
  <c r="BG74" i="1"/>
  <c r="BJ74" i="1"/>
  <c r="BH74" i="1" s="1"/>
  <c r="BG75" i="1"/>
  <c r="BJ75" i="1"/>
  <c r="BH75" i="1" s="1"/>
  <c r="BG76" i="1"/>
  <c r="BJ76" i="1"/>
  <c r="BH76" i="1" s="1"/>
  <c r="BG77" i="1"/>
  <c r="BJ77" i="1"/>
  <c r="BH77" i="1" s="1"/>
  <c r="BG78" i="1"/>
  <c r="BJ78" i="1"/>
  <c r="BH78" i="1" s="1"/>
  <c r="BG79" i="1"/>
  <c r="BJ79" i="1"/>
  <c r="BH79" i="1"/>
  <c r="BG80" i="1"/>
  <c r="BJ80" i="1"/>
  <c r="BH80" i="1" s="1"/>
  <c r="BG81" i="1"/>
  <c r="BJ81" i="1"/>
  <c r="BH81" i="1" s="1"/>
  <c r="BG82" i="1"/>
  <c r="BJ82" i="1"/>
  <c r="BH82" i="1"/>
  <c r="BG83" i="1"/>
  <c r="BJ83" i="1"/>
  <c r="BH83" i="1" s="1"/>
  <c r="BG84" i="1"/>
  <c r="BJ84" i="1"/>
  <c r="BH84" i="1"/>
  <c r="BG85" i="1"/>
  <c r="BJ85" i="1"/>
  <c r="BH85" i="1" s="1"/>
  <c r="BG86" i="1"/>
  <c r="BJ86" i="1"/>
  <c r="BH86" i="1" s="1"/>
  <c r="BG87" i="1"/>
  <c r="BJ87" i="1"/>
  <c r="BH87" i="1"/>
  <c r="BG88" i="1"/>
  <c r="BJ88" i="1"/>
  <c r="BH88" i="1"/>
  <c r="BG89" i="1"/>
  <c r="BJ89" i="1"/>
  <c r="BH89" i="1"/>
  <c r="BG90" i="1"/>
  <c r="BJ90" i="1"/>
  <c r="BH90" i="1"/>
  <c r="BG91" i="1"/>
  <c r="BJ91" i="1"/>
  <c r="BH91" i="1"/>
  <c r="BG92" i="1"/>
  <c r="BJ92" i="1"/>
  <c r="BH92" i="1"/>
  <c r="BG93" i="1"/>
  <c r="BJ93" i="1"/>
  <c r="BH93" i="1"/>
  <c r="BG94" i="1"/>
  <c r="BJ94" i="1"/>
  <c r="BH94" i="1"/>
  <c r="BG95" i="1"/>
  <c r="BJ95" i="1"/>
  <c r="BH95" i="1"/>
  <c r="BG96" i="1"/>
  <c r="BJ96" i="1"/>
  <c r="BH96" i="1" s="1"/>
  <c r="BG97" i="1"/>
  <c r="BJ97" i="1"/>
  <c r="BH97" i="1"/>
  <c r="BG98" i="1"/>
  <c r="BJ98" i="1"/>
  <c r="BH98" i="1"/>
  <c r="BG99" i="1"/>
  <c r="BJ99" i="1"/>
  <c r="BH99" i="1"/>
  <c r="BG100" i="1"/>
  <c r="BJ100" i="1"/>
  <c r="BH100" i="1"/>
  <c r="BG101" i="1"/>
  <c r="BJ101" i="1"/>
  <c r="AO101" i="1" s="1"/>
  <c r="BH101" i="1"/>
  <c r="BG102" i="1"/>
  <c r="BJ102" i="1"/>
  <c r="BH102" i="1" s="1"/>
  <c r="BG103" i="1"/>
  <c r="BJ103" i="1"/>
  <c r="BH103" i="1" s="1"/>
  <c r="BG104" i="1"/>
  <c r="BJ104" i="1"/>
  <c r="BH104" i="1" s="1"/>
  <c r="BG105" i="1"/>
  <c r="BJ105" i="1"/>
  <c r="BH105" i="1"/>
  <c r="BG106" i="1"/>
  <c r="BJ106" i="1"/>
  <c r="BH106" i="1"/>
  <c r="BG107" i="1"/>
  <c r="BJ107" i="1"/>
  <c r="BH107" i="1" s="1"/>
  <c r="BG108" i="1"/>
  <c r="BJ108" i="1"/>
  <c r="BH108" i="1" s="1"/>
  <c r="BG109" i="1"/>
  <c r="BJ109" i="1"/>
  <c r="BH109" i="1" s="1"/>
  <c r="BG110" i="1"/>
  <c r="BJ110" i="1"/>
  <c r="BH110" i="1" s="1"/>
  <c r="BG111" i="1"/>
  <c r="BJ111" i="1"/>
  <c r="BH111" i="1"/>
  <c r="BG112" i="1"/>
  <c r="BJ112" i="1"/>
  <c r="BH112" i="1" s="1"/>
  <c r="BG113" i="1"/>
  <c r="BJ113" i="1"/>
  <c r="BH113" i="1" s="1"/>
  <c r="BG114" i="1"/>
  <c r="BJ114" i="1"/>
  <c r="BH114" i="1"/>
  <c r="BG115" i="1"/>
  <c r="BJ115" i="1"/>
  <c r="BG116" i="1"/>
  <c r="BJ116" i="1"/>
  <c r="BH116" i="1"/>
  <c r="BG117" i="1"/>
  <c r="BJ117" i="1"/>
  <c r="BH117" i="1" s="1"/>
  <c r="BG118" i="1"/>
  <c r="BJ118" i="1"/>
  <c r="BH118" i="1" s="1"/>
  <c r="BG119" i="1"/>
  <c r="BJ119" i="1"/>
  <c r="BH119" i="1"/>
  <c r="BG120" i="1"/>
  <c r="BJ120" i="1"/>
  <c r="BH120" i="1"/>
  <c r="BG121" i="1"/>
  <c r="BJ121" i="1"/>
  <c r="BH121" i="1"/>
  <c r="BG122" i="1"/>
  <c r="BJ122" i="1"/>
  <c r="AO122" i="1" s="1"/>
  <c r="BH122" i="1"/>
  <c r="BG123" i="1"/>
  <c r="BJ123" i="1"/>
  <c r="BH123" i="1"/>
  <c r="BG124" i="1"/>
  <c r="BJ124" i="1"/>
  <c r="BH124" i="1"/>
  <c r="BG125" i="1"/>
  <c r="BJ125" i="1"/>
  <c r="BH125" i="1"/>
  <c r="BG126" i="1"/>
  <c r="BJ126" i="1"/>
  <c r="BH126" i="1"/>
  <c r="BG127" i="1"/>
  <c r="BJ127" i="1"/>
  <c r="BH127" i="1" s="1"/>
  <c r="BG128" i="1"/>
  <c r="BJ128" i="1"/>
  <c r="BH128" i="1" s="1"/>
  <c r="BG129" i="1"/>
  <c r="BJ129" i="1"/>
  <c r="BH129" i="1"/>
  <c r="BG130" i="1"/>
  <c r="BJ130" i="1"/>
  <c r="BH130" i="1"/>
  <c r="BG131" i="1"/>
  <c r="BJ131" i="1"/>
  <c r="BH131" i="1"/>
  <c r="BG132" i="1"/>
  <c r="BJ132" i="1"/>
  <c r="BH132" i="1" s="1"/>
  <c r="BG133" i="1"/>
  <c r="BJ133" i="1"/>
  <c r="BH133" i="1" s="1"/>
  <c r="BG134" i="1"/>
  <c r="BJ134" i="1"/>
  <c r="BH134" i="1" s="1"/>
  <c r="BG135" i="1"/>
  <c r="BJ135" i="1"/>
  <c r="BH135" i="1" s="1"/>
  <c r="BG136" i="1"/>
  <c r="BJ136" i="1"/>
  <c r="BH136" i="1"/>
  <c r="BG137" i="1"/>
  <c r="BJ137" i="1"/>
  <c r="BH137" i="1"/>
  <c r="BG138" i="1"/>
  <c r="BJ138" i="1"/>
  <c r="BH138" i="1" s="1"/>
  <c r="BG139" i="1"/>
  <c r="BJ139" i="1"/>
  <c r="BH139" i="1" s="1"/>
  <c r="BG140" i="1"/>
  <c r="BJ140" i="1"/>
  <c r="BH140" i="1" s="1"/>
  <c r="BG141" i="1"/>
  <c r="BJ141" i="1"/>
  <c r="BH141" i="1" s="1"/>
  <c r="BG142" i="1"/>
  <c r="BJ142" i="1"/>
  <c r="BH142" i="1" s="1"/>
  <c r="BG143" i="1"/>
  <c r="BJ143" i="1"/>
  <c r="BH143" i="1"/>
  <c r="BG144" i="1"/>
  <c r="BJ144" i="1"/>
  <c r="BH144" i="1"/>
  <c r="BG145" i="1"/>
  <c r="BJ145" i="1"/>
  <c r="BH145" i="1" s="1"/>
  <c r="BG146" i="1"/>
  <c r="BJ146" i="1"/>
  <c r="BH146" i="1"/>
  <c r="BG147" i="1"/>
  <c r="BJ147" i="1"/>
  <c r="BH147" i="1" s="1"/>
  <c r="BG148" i="1"/>
  <c r="BJ148" i="1"/>
  <c r="BH148" i="1"/>
  <c r="BG149" i="1"/>
  <c r="BJ149" i="1"/>
  <c r="BH149" i="1"/>
  <c r="BG150" i="1"/>
  <c r="BJ150" i="1"/>
  <c r="BH150" i="1" s="1"/>
  <c r="BG151" i="1"/>
  <c r="BJ151" i="1"/>
  <c r="BH151" i="1"/>
  <c r="BG152" i="1"/>
  <c r="BJ152" i="1"/>
  <c r="BH152" i="1" s="1"/>
  <c r="BG153" i="1"/>
  <c r="BJ153" i="1"/>
  <c r="BH153" i="1"/>
  <c r="BG154" i="1"/>
  <c r="BJ154" i="1"/>
  <c r="BH154" i="1" s="1"/>
  <c r="BG155" i="1"/>
  <c r="BJ155" i="1"/>
  <c r="BH155" i="1" s="1"/>
  <c r="BG156" i="1"/>
  <c r="BJ156" i="1"/>
  <c r="BH156" i="1"/>
  <c r="BG157" i="1"/>
  <c r="BJ157" i="1"/>
  <c r="BH157" i="1" s="1"/>
  <c r="BE36" i="1"/>
  <c r="BE7" i="1"/>
  <c r="BE8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I9" i="1"/>
  <c r="CJ19" i="1"/>
  <c r="X7" i="1"/>
  <c r="AM7" i="1" s="1"/>
  <c r="BI7" i="1"/>
  <c r="BE9" i="1"/>
  <c r="B158" i="1"/>
  <c r="I158" i="1"/>
  <c r="CJ18" i="1"/>
  <c r="CJ28" i="1"/>
  <c r="CJ27" i="1"/>
  <c r="CJ26" i="1"/>
  <c r="CJ25" i="1"/>
  <c r="CJ24" i="1"/>
  <c r="CJ23" i="1"/>
  <c r="CJ22" i="1"/>
  <c r="CJ15" i="1"/>
  <c r="CJ21" i="1"/>
  <c r="CJ107" i="1"/>
  <c r="AG8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7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158" i="1"/>
  <c r="AK172" i="1"/>
  <c r="AJ164" i="1"/>
  <c r="AJ165" i="1"/>
  <c r="AJ166" i="1"/>
  <c r="AJ167" i="1"/>
  <c r="AJ168" i="1"/>
  <c r="AJ169" i="1"/>
  <c r="AJ170" i="1"/>
  <c r="V163" i="1"/>
  <c r="AJ172" i="1"/>
  <c r="AJ171" i="1"/>
  <c r="AO7" i="1"/>
  <c r="AQ7" i="1"/>
  <c r="AR7" i="1"/>
  <c r="AO8" i="1"/>
  <c r="AO9" i="1"/>
  <c r="AO18" i="1"/>
  <c r="AO22" i="1"/>
  <c r="AO23" i="1"/>
  <c r="AO27" i="1"/>
  <c r="AO28" i="1"/>
  <c r="AO35" i="1"/>
  <c r="AO39" i="1"/>
  <c r="AO42" i="1"/>
  <c r="AO49" i="1"/>
  <c r="AO50" i="1"/>
  <c r="AO52" i="1"/>
  <c r="AO55" i="1"/>
  <c r="AO69" i="1"/>
  <c r="AO71" i="1"/>
  <c r="AO73" i="1"/>
  <c r="AO74" i="1"/>
  <c r="AO82" i="1"/>
  <c r="AO83" i="1"/>
  <c r="AO87" i="1"/>
  <c r="AO90" i="1"/>
  <c r="AO97" i="1"/>
  <c r="AO103" i="1"/>
  <c r="AO114" i="1"/>
  <c r="AO119" i="1"/>
  <c r="AO120" i="1"/>
  <c r="AO146" i="1"/>
  <c r="AO147" i="1"/>
  <c r="AO151" i="1"/>
  <c r="AO155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L7" i="1"/>
  <c r="Q7" i="1"/>
  <c r="CJ9" i="1"/>
  <c r="CJ7" i="1"/>
  <c r="AN7" i="1"/>
  <c r="L8" i="1"/>
  <c r="Q8" i="1"/>
  <c r="X8" i="1"/>
  <c r="AM8" i="1" s="1"/>
  <c r="AN8" i="1"/>
  <c r="L9" i="1"/>
  <c r="Q9" i="1"/>
  <c r="X9" i="1"/>
  <c r="AM9" i="1" s="1"/>
  <c r="AN9" i="1"/>
  <c r="L10" i="1"/>
  <c r="Q10" i="1"/>
  <c r="X10" i="1"/>
  <c r="AM10" i="1"/>
  <c r="AN10" i="1"/>
  <c r="L11" i="1"/>
  <c r="Q11" i="1"/>
  <c r="X11" i="1"/>
  <c r="AM11" i="1"/>
  <c r="AN11" i="1"/>
  <c r="L12" i="1"/>
  <c r="Q12" i="1"/>
  <c r="X12" i="1"/>
  <c r="AM12" i="1"/>
  <c r="AN12" i="1"/>
  <c r="L13" i="1"/>
  <c r="Q13" i="1"/>
  <c r="X13" i="1"/>
  <c r="AM13" i="1"/>
  <c r="AN13" i="1"/>
  <c r="L14" i="1"/>
  <c r="Q14" i="1"/>
  <c r="X14" i="1"/>
  <c r="AM14" i="1"/>
  <c r="AN14" i="1"/>
  <c r="L15" i="1"/>
  <c r="Q15" i="1"/>
  <c r="X15" i="1"/>
  <c r="AM15" i="1"/>
  <c r="AN15" i="1"/>
  <c r="L16" i="1"/>
  <c r="Q16" i="1"/>
  <c r="X16" i="1"/>
  <c r="AM16" i="1"/>
  <c r="AN16" i="1"/>
  <c r="L17" i="1"/>
  <c r="Q17" i="1"/>
  <c r="X17" i="1"/>
  <c r="AM17" i="1" s="1"/>
  <c r="AN17" i="1"/>
  <c r="L18" i="1"/>
  <c r="Q18" i="1"/>
  <c r="X18" i="1"/>
  <c r="AM18" i="1" s="1"/>
  <c r="AN18" i="1"/>
  <c r="L19" i="1"/>
  <c r="Q19" i="1"/>
  <c r="X19" i="1"/>
  <c r="AM19" i="1" s="1"/>
  <c r="AN19" i="1"/>
  <c r="L20" i="1"/>
  <c r="Q20" i="1"/>
  <c r="X20" i="1"/>
  <c r="AM20" i="1"/>
  <c r="AN20" i="1"/>
  <c r="L21" i="1"/>
  <c r="Q21" i="1"/>
  <c r="X21" i="1"/>
  <c r="AM21" i="1"/>
  <c r="AN21" i="1"/>
  <c r="L22" i="1"/>
  <c r="Q22" i="1"/>
  <c r="X22" i="1"/>
  <c r="AM22" i="1" s="1"/>
  <c r="AN22" i="1"/>
  <c r="L23" i="1"/>
  <c r="Q23" i="1"/>
  <c r="X23" i="1"/>
  <c r="AM23" i="1" s="1"/>
  <c r="AN23" i="1"/>
  <c r="L24" i="1"/>
  <c r="Q24" i="1"/>
  <c r="X24" i="1"/>
  <c r="AM24" i="1"/>
  <c r="AN24" i="1"/>
  <c r="L25" i="1"/>
  <c r="Q25" i="1"/>
  <c r="X25" i="1"/>
  <c r="AM25" i="1"/>
  <c r="AN25" i="1"/>
  <c r="L26" i="1"/>
  <c r="Q26" i="1"/>
  <c r="X26" i="1"/>
  <c r="AM26" i="1" s="1"/>
  <c r="AN26" i="1"/>
  <c r="L27" i="1"/>
  <c r="Q27" i="1"/>
  <c r="X27" i="1"/>
  <c r="AM27" i="1"/>
  <c r="AN27" i="1"/>
  <c r="L28" i="1"/>
  <c r="Q28" i="1"/>
  <c r="X28" i="1"/>
  <c r="AM28" i="1"/>
  <c r="AN28" i="1"/>
  <c r="L29" i="1"/>
  <c r="Q29" i="1"/>
  <c r="X29" i="1"/>
  <c r="AM29" i="1" s="1"/>
  <c r="AN29" i="1"/>
  <c r="L30" i="1"/>
  <c r="Q30" i="1"/>
  <c r="X30" i="1"/>
  <c r="AM30" i="1" s="1"/>
  <c r="AN30" i="1"/>
  <c r="L31" i="1"/>
  <c r="Q31" i="1"/>
  <c r="X31" i="1"/>
  <c r="AM31" i="1"/>
  <c r="AN31" i="1"/>
  <c r="L32" i="1"/>
  <c r="Q32" i="1"/>
  <c r="X32" i="1"/>
  <c r="AM32" i="1"/>
  <c r="AN32" i="1"/>
  <c r="L33" i="1"/>
  <c r="Q33" i="1"/>
  <c r="X33" i="1"/>
  <c r="AM33" i="1"/>
  <c r="AN33" i="1"/>
  <c r="L34" i="1"/>
  <c r="Q34" i="1"/>
  <c r="X34" i="1"/>
  <c r="AM34" i="1"/>
  <c r="AN34" i="1"/>
  <c r="L35" i="1"/>
  <c r="Q35" i="1"/>
  <c r="X35" i="1"/>
  <c r="AM35" i="1"/>
  <c r="AN35" i="1"/>
  <c r="L36" i="1"/>
  <c r="Q36" i="1"/>
  <c r="X36" i="1"/>
  <c r="AM36" i="1"/>
  <c r="AN36" i="1"/>
  <c r="L37" i="1"/>
  <c r="Q37" i="1"/>
  <c r="X37" i="1"/>
  <c r="AM37" i="1"/>
  <c r="AN37" i="1"/>
  <c r="L38" i="1"/>
  <c r="Q38" i="1"/>
  <c r="X38" i="1"/>
  <c r="AM38" i="1"/>
  <c r="AN38" i="1"/>
  <c r="L39" i="1"/>
  <c r="Q39" i="1"/>
  <c r="X39" i="1"/>
  <c r="AM39" i="1"/>
  <c r="AN39" i="1"/>
  <c r="L40" i="1"/>
  <c r="Q40" i="1"/>
  <c r="X40" i="1"/>
  <c r="AM40" i="1" s="1"/>
  <c r="AN40" i="1"/>
  <c r="L41" i="1"/>
  <c r="Q41" i="1"/>
  <c r="X41" i="1"/>
  <c r="AM41" i="1" s="1"/>
  <c r="AN41" i="1"/>
  <c r="L42" i="1"/>
  <c r="Q42" i="1"/>
  <c r="X42" i="1"/>
  <c r="AM42" i="1"/>
  <c r="AN42" i="1"/>
  <c r="L43" i="1"/>
  <c r="Q43" i="1"/>
  <c r="X43" i="1"/>
  <c r="AM43" i="1" s="1"/>
  <c r="AN43" i="1"/>
  <c r="L44" i="1"/>
  <c r="Q44" i="1"/>
  <c r="X44" i="1"/>
  <c r="AM44" i="1" s="1"/>
  <c r="AN44" i="1"/>
  <c r="L45" i="1"/>
  <c r="Q45" i="1"/>
  <c r="X45" i="1"/>
  <c r="AM45" i="1"/>
  <c r="AN45" i="1"/>
  <c r="L46" i="1"/>
  <c r="Q46" i="1"/>
  <c r="X46" i="1"/>
  <c r="AM46" i="1" s="1"/>
  <c r="AN46" i="1"/>
  <c r="L47" i="1"/>
  <c r="Q47" i="1"/>
  <c r="X47" i="1"/>
  <c r="AM47" i="1"/>
  <c r="AN47" i="1"/>
  <c r="L48" i="1"/>
  <c r="Q48" i="1"/>
  <c r="X48" i="1"/>
  <c r="AM48" i="1"/>
  <c r="AN48" i="1"/>
  <c r="L49" i="1"/>
  <c r="Q49" i="1"/>
  <c r="X49" i="1"/>
  <c r="AM49" i="1"/>
  <c r="AN49" i="1"/>
  <c r="L50" i="1"/>
  <c r="Q50" i="1"/>
  <c r="X50" i="1"/>
  <c r="AM50" i="1" s="1"/>
  <c r="AN50" i="1"/>
  <c r="L51" i="1"/>
  <c r="Q51" i="1"/>
  <c r="X51" i="1"/>
  <c r="AM51" i="1" s="1"/>
  <c r="AN51" i="1"/>
  <c r="L52" i="1"/>
  <c r="Q52" i="1"/>
  <c r="X52" i="1"/>
  <c r="AM52" i="1"/>
  <c r="AN52" i="1"/>
  <c r="L53" i="1"/>
  <c r="Q53" i="1"/>
  <c r="X53" i="1"/>
  <c r="AM53" i="1"/>
  <c r="AN53" i="1"/>
  <c r="L54" i="1"/>
  <c r="Q54" i="1"/>
  <c r="X54" i="1"/>
  <c r="AM54" i="1"/>
  <c r="AN54" i="1"/>
  <c r="L55" i="1"/>
  <c r="Q55" i="1"/>
  <c r="X55" i="1"/>
  <c r="AM55" i="1" s="1"/>
  <c r="AN55" i="1"/>
  <c r="L56" i="1"/>
  <c r="Q56" i="1"/>
  <c r="X56" i="1"/>
  <c r="AM56" i="1"/>
  <c r="AN56" i="1"/>
  <c r="L57" i="1"/>
  <c r="Q57" i="1"/>
  <c r="X57" i="1"/>
  <c r="AM57" i="1"/>
  <c r="AN57" i="1"/>
  <c r="L58" i="1"/>
  <c r="Q58" i="1"/>
  <c r="X58" i="1"/>
  <c r="AM58" i="1" s="1"/>
  <c r="AN58" i="1"/>
  <c r="L59" i="1"/>
  <c r="Q59" i="1"/>
  <c r="X59" i="1"/>
  <c r="AM59" i="1" s="1"/>
  <c r="AN59" i="1"/>
  <c r="L60" i="1"/>
  <c r="Q60" i="1"/>
  <c r="X60" i="1"/>
  <c r="AM60" i="1"/>
  <c r="AN60" i="1"/>
  <c r="L61" i="1"/>
  <c r="Q61" i="1"/>
  <c r="X61" i="1"/>
  <c r="AM61" i="1" s="1"/>
  <c r="AN61" i="1"/>
  <c r="L62" i="1"/>
  <c r="Q62" i="1"/>
  <c r="X62" i="1"/>
  <c r="AM62" i="1"/>
  <c r="AN62" i="1"/>
  <c r="L63" i="1"/>
  <c r="Q63" i="1"/>
  <c r="X63" i="1"/>
  <c r="AM63" i="1" s="1"/>
  <c r="AN63" i="1"/>
  <c r="L64" i="1"/>
  <c r="Q64" i="1"/>
  <c r="X64" i="1"/>
  <c r="AM64" i="1"/>
  <c r="AN64" i="1"/>
  <c r="L65" i="1"/>
  <c r="Q65" i="1"/>
  <c r="X65" i="1"/>
  <c r="AM65" i="1" s="1"/>
  <c r="AN65" i="1"/>
  <c r="L66" i="1"/>
  <c r="Q66" i="1"/>
  <c r="X66" i="1"/>
  <c r="AM66" i="1" s="1"/>
  <c r="AN66" i="1"/>
  <c r="L67" i="1"/>
  <c r="Q67" i="1"/>
  <c r="X67" i="1"/>
  <c r="AM67" i="1"/>
  <c r="AN67" i="1"/>
  <c r="L68" i="1"/>
  <c r="Q68" i="1"/>
  <c r="X68" i="1"/>
  <c r="AM68" i="1"/>
  <c r="AN68" i="1"/>
  <c r="L69" i="1"/>
  <c r="Q69" i="1"/>
  <c r="X69" i="1"/>
  <c r="AM69" i="1"/>
  <c r="AN69" i="1"/>
  <c r="L70" i="1"/>
  <c r="Q70" i="1"/>
  <c r="X70" i="1"/>
  <c r="AM70" i="1" s="1"/>
  <c r="AN70" i="1"/>
  <c r="L71" i="1"/>
  <c r="Q71" i="1"/>
  <c r="X71" i="1"/>
  <c r="AM71" i="1"/>
  <c r="AN71" i="1"/>
  <c r="L72" i="1"/>
  <c r="Q72" i="1"/>
  <c r="X72" i="1"/>
  <c r="AM72" i="1" s="1"/>
  <c r="AN72" i="1"/>
  <c r="L73" i="1"/>
  <c r="Q73" i="1"/>
  <c r="X73" i="1"/>
  <c r="AM73" i="1"/>
  <c r="AN73" i="1"/>
  <c r="L74" i="1"/>
  <c r="Q74" i="1"/>
  <c r="X74" i="1"/>
  <c r="AM74" i="1"/>
  <c r="AN74" i="1"/>
  <c r="L75" i="1"/>
  <c r="Q75" i="1"/>
  <c r="X75" i="1"/>
  <c r="AM75" i="1"/>
  <c r="AN75" i="1"/>
  <c r="L76" i="1"/>
  <c r="Q76" i="1"/>
  <c r="X76" i="1"/>
  <c r="AM76" i="1" s="1"/>
  <c r="AN76" i="1"/>
  <c r="L77" i="1"/>
  <c r="Q77" i="1"/>
  <c r="X77" i="1"/>
  <c r="AM77" i="1"/>
  <c r="AN77" i="1"/>
  <c r="L78" i="1"/>
  <c r="Q78" i="1"/>
  <c r="X78" i="1"/>
  <c r="AM78" i="1"/>
  <c r="AN78" i="1"/>
  <c r="L79" i="1"/>
  <c r="Q79" i="1"/>
  <c r="X79" i="1"/>
  <c r="AM79" i="1"/>
  <c r="AN79" i="1"/>
  <c r="L80" i="1"/>
  <c r="Q80" i="1"/>
  <c r="X80" i="1"/>
  <c r="AM80" i="1"/>
  <c r="AN80" i="1"/>
  <c r="L81" i="1"/>
  <c r="Q81" i="1"/>
  <c r="X81" i="1"/>
  <c r="AM81" i="1"/>
  <c r="AN81" i="1"/>
  <c r="L82" i="1"/>
  <c r="Q82" i="1"/>
  <c r="X82" i="1"/>
  <c r="AM82" i="1"/>
  <c r="AN82" i="1"/>
  <c r="L83" i="1"/>
  <c r="Q83" i="1"/>
  <c r="X83" i="1"/>
  <c r="AM83" i="1" s="1"/>
  <c r="AN83" i="1"/>
  <c r="L84" i="1"/>
  <c r="Q84" i="1"/>
  <c r="X84" i="1"/>
  <c r="AM84" i="1" s="1"/>
  <c r="AN84" i="1"/>
  <c r="L85" i="1"/>
  <c r="Q85" i="1"/>
  <c r="X85" i="1"/>
  <c r="AM85" i="1"/>
  <c r="AN85" i="1"/>
  <c r="L86" i="1"/>
  <c r="Q86" i="1"/>
  <c r="X86" i="1"/>
  <c r="AM86" i="1"/>
  <c r="AN86" i="1"/>
  <c r="L87" i="1"/>
  <c r="Q87" i="1"/>
  <c r="X87" i="1"/>
  <c r="AM87" i="1" s="1"/>
  <c r="AN87" i="1"/>
  <c r="L88" i="1"/>
  <c r="Q88" i="1"/>
  <c r="X88" i="1"/>
  <c r="AM88" i="1" s="1"/>
  <c r="AN88" i="1"/>
  <c r="L89" i="1"/>
  <c r="Q89" i="1"/>
  <c r="X89" i="1"/>
  <c r="AM89" i="1"/>
  <c r="AN89" i="1"/>
  <c r="L90" i="1"/>
  <c r="Q90" i="1"/>
  <c r="X90" i="1"/>
  <c r="AM90" i="1" s="1"/>
  <c r="AN90" i="1"/>
  <c r="L91" i="1"/>
  <c r="Q91" i="1"/>
  <c r="X91" i="1"/>
  <c r="AM91" i="1" s="1"/>
  <c r="AN91" i="1"/>
  <c r="L92" i="1"/>
  <c r="Q92" i="1"/>
  <c r="X92" i="1"/>
  <c r="AM92" i="1" s="1"/>
  <c r="AN92" i="1"/>
  <c r="L93" i="1"/>
  <c r="Q93" i="1"/>
  <c r="X93" i="1"/>
  <c r="AM93" i="1" s="1"/>
  <c r="AN93" i="1"/>
  <c r="L94" i="1"/>
  <c r="Q94" i="1"/>
  <c r="X94" i="1"/>
  <c r="AM94" i="1"/>
  <c r="AN94" i="1"/>
  <c r="L95" i="1"/>
  <c r="Q95" i="1"/>
  <c r="X95" i="1"/>
  <c r="AM95" i="1" s="1"/>
  <c r="AN95" i="1"/>
  <c r="L96" i="1"/>
  <c r="Q96" i="1"/>
  <c r="X96" i="1"/>
  <c r="AM96" i="1"/>
  <c r="AN96" i="1"/>
  <c r="L97" i="1"/>
  <c r="Q97" i="1"/>
  <c r="X97" i="1"/>
  <c r="AM97" i="1" s="1"/>
  <c r="AN97" i="1"/>
  <c r="L98" i="1"/>
  <c r="Q98" i="1"/>
  <c r="X98" i="1"/>
  <c r="AM98" i="1"/>
  <c r="AN98" i="1"/>
  <c r="L99" i="1"/>
  <c r="Q99" i="1"/>
  <c r="X99" i="1"/>
  <c r="AM99" i="1"/>
  <c r="AN99" i="1"/>
  <c r="L100" i="1"/>
  <c r="Q100" i="1"/>
  <c r="X100" i="1"/>
  <c r="AM100" i="1"/>
  <c r="AN100" i="1"/>
  <c r="L101" i="1"/>
  <c r="Q101" i="1"/>
  <c r="X101" i="1"/>
  <c r="AM101" i="1" s="1"/>
  <c r="AN101" i="1"/>
  <c r="L102" i="1"/>
  <c r="Q102" i="1"/>
  <c r="X102" i="1"/>
  <c r="AM102" i="1"/>
  <c r="AN102" i="1"/>
  <c r="L103" i="1"/>
  <c r="Q103" i="1"/>
  <c r="X103" i="1"/>
  <c r="AM103" i="1"/>
  <c r="AN103" i="1"/>
  <c r="L104" i="1"/>
  <c r="Q104" i="1"/>
  <c r="X104" i="1"/>
  <c r="AM104" i="1" s="1"/>
  <c r="AN104" i="1"/>
  <c r="L105" i="1"/>
  <c r="Q105" i="1"/>
  <c r="X105" i="1"/>
  <c r="AM105" i="1"/>
  <c r="AN105" i="1"/>
  <c r="L106" i="1"/>
  <c r="Q106" i="1"/>
  <c r="X106" i="1"/>
  <c r="AM106" i="1"/>
  <c r="AN106" i="1"/>
  <c r="L107" i="1"/>
  <c r="Q107" i="1"/>
  <c r="X107" i="1"/>
  <c r="AM107" i="1"/>
  <c r="AN107" i="1"/>
  <c r="L108" i="1"/>
  <c r="Q108" i="1"/>
  <c r="X108" i="1"/>
  <c r="AM108" i="1" s="1"/>
  <c r="AN108" i="1"/>
  <c r="L109" i="1"/>
  <c r="Q109" i="1"/>
  <c r="X109" i="1"/>
  <c r="AM109" i="1"/>
  <c r="AN109" i="1"/>
  <c r="L110" i="1"/>
  <c r="Q110" i="1"/>
  <c r="X110" i="1"/>
  <c r="AM110" i="1"/>
  <c r="AN110" i="1"/>
  <c r="L111" i="1"/>
  <c r="Q111" i="1"/>
  <c r="X111" i="1"/>
  <c r="AM111" i="1"/>
  <c r="AN111" i="1"/>
  <c r="L112" i="1"/>
  <c r="Q112" i="1"/>
  <c r="X112" i="1"/>
  <c r="AM112" i="1"/>
  <c r="AN112" i="1"/>
  <c r="L113" i="1"/>
  <c r="Q113" i="1"/>
  <c r="X113" i="1"/>
  <c r="AM113" i="1"/>
  <c r="AN113" i="1"/>
  <c r="L114" i="1"/>
  <c r="Q114" i="1"/>
  <c r="X114" i="1"/>
  <c r="AM114" i="1" s="1"/>
  <c r="AN114" i="1"/>
  <c r="L115" i="1"/>
  <c r="Q115" i="1"/>
  <c r="X115" i="1"/>
  <c r="AM115" i="1" s="1"/>
  <c r="AN115" i="1"/>
  <c r="L116" i="1"/>
  <c r="Q116" i="1"/>
  <c r="X116" i="1"/>
  <c r="AM116" i="1"/>
  <c r="AN116" i="1"/>
  <c r="L117" i="1"/>
  <c r="Q117" i="1"/>
  <c r="X117" i="1"/>
  <c r="AM117" i="1"/>
  <c r="AN117" i="1"/>
  <c r="L118" i="1"/>
  <c r="Q118" i="1"/>
  <c r="X118" i="1"/>
  <c r="AM118" i="1"/>
  <c r="AN118" i="1"/>
  <c r="L119" i="1"/>
  <c r="Q119" i="1"/>
  <c r="X119" i="1"/>
  <c r="AM119" i="1" s="1"/>
  <c r="AN119" i="1"/>
  <c r="L120" i="1"/>
  <c r="Q120" i="1"/>
  <c r="X120" i="1"/>
  <c r="AM120" i="1" s="1"/>
  <c r="AN120" i="1"/>
  <c r="L121" i="1"/>
  <c r="Q121" i="1"/>
  <c r="X121" i="1"/>
  <c r="AM121" i="1"/>
  <c r="AN121" i="1"/>
  <c r="L122" i="1"/>
  <c r="Q122" i="1"/>
  <c r="X122" i="1"/>
  <c r="AM122" i="1" s="1"/>
  <c r="AN122" i="1"/>
  <c r="L123" i="1"/>
  <c r="Q123" i="1"/>
  <c r="X123" i="1"/>
  <c r="AM123" i="1" s="1"/>
  <c r="AN123" i="1"/>
  <c r="L124" i="1"/>
  <c r="Q124" i="1"/>
  <c r="X124" i="1"/>
  <c r="AM124" i="1" s="1"/>
  <c r="AN124" i="1"/>
  <c r="L125" i="1"/>
  <c r="Q125" i="1"/>
  <c r="X125" i="1"/>
  <c r="AM125" i="1" s="1"/>
  <c r="AN125" i="1"/>
  <c r="L126" i="1"/>
  <c r="Q126" i="1"/>
  <c r="X126" i="1"/>
  <c r="AM126" i="1"/>
  <c r="AN126" i="1"/>
  <c r="L127" i="1"/>
  <c r="Q127" i="1"/>
  <c r="X127" i="1"/>
  <c r="AM127" i="1"/>
  <c r="AN127" i="1"/>
  <c r="L128" i="1"/>
  <c r="Q128" i="1"/>
  <c r="X128" i="1"/>
  <c r="AM128" i="1"/>
  <c r="AN128" i="1"/>
  <c r="L129" i="1"/>
  <c r="Q129" i="1"/>
  <c r="X129" i="1"/>
  <c r="AM129" i="1" s="1"/>
  <c r="AN129" i="1"/>
  <c r="L130" i="1"/>
  <c r="Q130" i="1"/>
  <c r="X130" i="1"/>
  <c r="AM130" i="1"/>
  <c r="AN130" i="1"/>
  <c r="L131" i="1"/>
  <c r="Q131" i="1"/>
  <c r="X131" i="1"/>
  <c r="AM131" i="1" s="1"/>
  <c r="AN131" i="1"/>
  <c r="L132" i="1"/>
  <c r="Q132" i="1"/>
  <c r="X132" i="1"/>
  <c r="AM132" i="1"/>
  <c r="AN132" i="1"/>
  <c r="L133" i="1"/>
  <c r="Q133" i="1"/>
  <c r="X133" i="1"/>
  <c r="AM133" i="1"/>
  <c r="AN133" i="1"/>
  <c r="L134" i="1"/>
  <c r="Q134" i="1"/>
  <c r="X134" i="1"/>
  <c r="AM134" i="1" s="1"/>
  <c r="AN134" i="1"/>
  <c r="L135" i="1"/>
  <c r="Q135" i="1"/>
  <c r="X135" i="1"/>
  <c r="AM135" i="1"/>
  <c r="AN135" i="1"/>
  <c r="L136" i="1"/>
  <c r="Q136" i="1"/>
  <c r="X136" i="1"/>
  <c r="AM136" i="1" s="1"/>
  <c r="AN136" i="1"/>
  <c r="L137" i="1"/>
  <c r="Q137" i="1"/>
  <c r="X137" i="1"/>
  <c r="AM137" i="1"/>
  <c r="AN137" i="1"/>
  <c r="L138" i="1"/>
  <c r="Q138" i="1"/>
  <c r="X138" i="1"/>
  <c r="AM138" i="1"/>
  <c r="AN138" i="1"/>
  <c r="L139" i="1"/>
  <c r="Q139" i="1"/>
  <c r="X139" i="1"/>
  <c r="AM139" i="1"/>
  <c r="AN139" i="1"/>
  <c r="L140" i="1"/>
  <c r="Q140" i="1"/>
  <c r="X140" i="1"/>
  <c r="AM140" i="1"/>
  <c r="AN140" i="1"/>
  <c r="L141" i="1"/>
  <c r="Q141" i="1"/>
  <c r="X141" i="1"/>
  <c r="AM141" i="1"/>
  <c r="AN141" i="1"/>
  <c r="L142" i="1"/>
  <c r="Q142" i="1"/>
  <c r="X142" i="1"/>
  <c r="AM142" i="1" s="1"/>
  <c r="AN142" i="1"/>
  <c r="L143" i="1"/>
  <c r="Q143" i="1"/>
  <c r="X143" i="1"/>
  <c r="AM143" i="1" s="1"/>
  <c r="AN143" i="1"/>
  <c r="L144" i="1"/>
  <c r="Q144" i="1"/>
  <c r="X144" i="1"/>
  <c r="AM144" i="1"/>
  <c r="AN144" i="1"/>
  <c r="L145" i="1"/>
  <c r="Q145" i="1"/>
  <c r="X145" i="1"/>
  <c r="AM145" i="1" s="1"/>
  <c r="AN145" i="1"/>
  <c r="L146" i="1"/>
  <c r="Q146" i="1"/>
  <c r="X146" i="1"/>
  <c r="AM146" i="1"/>
  <c r="AN146" i="1"/>
  <c r="L147" i="1"/>
  <c r="Q147" i="1"/>
  <c r="X147" i="1"/>
  <c r="AM147" i="1" s="1"/>
  <c r="AN147" i="1"/>
  <c r="L148" i="1"/>
  <c r="Q148" i="1"/>
  <c r="X148" i="1"/>
  <c r="AM148" i="1"/>
  <c r="AN148" i="1"/>
  <c r="L149" i="1"/>
  <c r="Q149" i="1"/>
  <c r="X149" i="1"/>
  <c r="AM149" i="1"/>
  <c r="AN149" i="1"/>
  <c r="L150" i="1"/>
  <c r="Q150" i="1"/>
  <c r="X150" i="1"/>
  <c r="AM150" i="1"/>
  <c r="AN150" i="1"/>
  <c r="L151" i="1"/>
  <c r="Q151" i="1"/>
  <c r="X151" i="1"/>
  <c r="AM151" i="1" s="1"/>
  <c r="AN151" i="1"/>
  <c r="L152" i="1"/>
  <c r="Q152" i="1"/>
  <c r="X152" i="1"/>
  <c r="AM152" i="1" s="1"/>
  <c r="AN152" i="1"/>
  <c r="L153" i="1"/>
  <c r="Q153" i="1"/>
  <c r="X153" i="1"/>
  <c r="AM153" i="1"/>
  <c r="AN153" i="1"/>
  <c r="L154" i="1"/>
  <c r="Q154" i="1"/>
  <c r="X154" i="1"/>
  <c r="AM154" i="1" s="1"/>
  <c r="AN154" i="1"/>
  <c r="L155" i="1"/>
  <c r="Q155" i="1"/>
  <c r="X155" i="1"/>
  <c r="AM155" i="1"/>
  <c r="AN155" i="1"/>
  <c r="L156" i="1"/>
  <c r="Q156" i="1"/>
  <c r="X156" i="1"/>
  <c r="AM156" i="1"/>
  <c r="AN156" i="1"/>
  <c r="L157" i="1"/>
  <c r="Q157" i="1"/>
  <c r="X157" i="1"/>
  <c r="AM157" i="1" s="1"/>
  <c r="AN157" i="1"/>
  <c r="AB2" i="1"/>
  <c r="AD162" i="1"/>
  <c r="S160" i="1"/>
  <c r="V160" i="1"/>
  <c r="V161" i="1"/>
  <c r="V162" i="1"/>
  <c r="U162" i="1"/>
  <c r="CJ171" i="1"/>
  <c r="U160" i="1"/>
  <c r="CJ170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L158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E158" i="1"/>
  <c r="CJ168" i="1"/>
  <c r="BI157" i="1"/>
  <c r="CJ167" i="1"/>
  <c r="BI156" i="1"/>
  <c r="CJ166" i="1"/>
  <c r="BI155" i="1"/>
  <c r="CJ165" i="1"/>
  <c r="BI154" i="1"/>
  <c r="CJ164" i="1"/>
  <c r="BI153" i="1"/>
  <c r="CJ163" i="1"/>
  <c r="BI152" i="1"/>
  <c r="BI151" i="1"/>
  <c r="CJ161" i="1"/>
  <c r="BI150" i="1"/>
  <c r="CJ160" i="1"/>
  <c r="BI149" i="1"/>
  <c r="CJ159" i="1"/>
  <c r="BI148" i="1"/>
  <c r="CJ158" i="1"/>
  <c r="BI147" i="1"/>
  <c r="CJ157" i="1"/>
  <c r="BI146" i="1"/>
  <c r="CJ156" i="1"/>
  <c r="BI145" i="1"/>
  <c r="CJ155" i="1"/>
  <c r="BI144" i="1"/>
  <c r="CJ154" i="1"/>
  <c r="BI143" i="1"/>
  <c r="CJ153" i="1"/>
  <c r="BI142" i="1"/>
  <c r="CJ152" i="1"/>
  <c r="BI141" i="1"/>
  <c r="BI140" i="1"/>
  <c r="CJ150" i="1"/>
  <c r="BI139" i="1"/>
  <c r="CJ149" i="1"/>
  <c r="BI138" i="1"/>
  <c r="CJ148" i="1"/>
  <c r="BI137" i="1"/>
  <c r="CJ147" i="1"/>
  <c r="BI136" i="1"/>
  <c r="CJ146" i="1"/>
  <c r="BI135" i="1"/>
  <c r="CJ145" i="1"/>
  <c r="BI134" i="1"/>
  <c r="CJ144" i="1"/>
  <c r="BI133" i="1"/>
  <c r="CJ143" i="1"/>
  <c r="BI132" i="1"/>
  <c r="CJ142" i="1"/>
  <c r="BI131" i="1"/>
  <c r="CJ141" i="1"/>
  <c r="BI130" i="1"/>
  <c r="CJ140" i="1"/>
  <c r="BI129" i="1"/>
  <c r="CJ139" i="1"/>
  <c r="BI128" i="1"/>
  <c r="CJ138" i="1"/>
  <c r="BI127" i="1"/>
  <c r="CJ137" i="1"/>
  <c r="BI126" i="1"/>
  <c r="CJ136" i="1"/>
  <c r="BI125" i="1"/>
  <c r="CJ135" i="1"/>
  <c r="BI124" i="1"/>
  <c r="CJ134" i="1"/>
  <c r="BI123" i="1"/>
  <c r="CJ133" i="1"/>
  <c r="BI122" i="1"/>
  <c r="CJ132" i="1"/>
  <c r="BI121" i="1"/>
  <c r="CJ131" i="1"/>
  <c r="BI120" i="1"/>
  <c r="CJ130" i="1"/>
  <c r="BI119" i="1"/>
  <c r="CJ129" i="1"/>
  <c r="BI118" i="1"/>
  <c r="CJ128" i="1"/>
  <c r="BI117" i="1"/>
  <c r="CJ127" i="1"/>
  <c r="BI116" i="1"/>
  <c r="BI115" i="1"/>
  <c r="CJ125" i="1"/>
  <c r="BI114" i="1"/>
  <c r="CJ124" i="1"/>
  <c r="BI113" i="1"/>
  <c r="CJ123" i="1"/>
  <c r="BI112" i="1"/>
  <c r="CJ122" i="1"/>
  <c r="BI111" i="1"/>
  <c r="CJ121" i="1"/>
  <c r="BI110" i="1"/>
  <c r="CJ120" i="1"/>
  <c r="BI109" i="1"/>
  <c r="CJ119" i="1"/>
  <c r="BI108" i="1"/>
  <c r="CJ118" i="1"/>
  <c r="BI107" i="1"/>
  <c r="CJ117" i="1"/>
  <c r="BI106" i="1"/>
  <c r="CJ116" i="1"/>
  <c r="BI105" i="1"/>
  <c r="CJ115" i="1"/>
  <c r="BI104" i="1"/>
  <c r="CJ114" i="1"/>
  <c r="BI103" i="1"/>
  <c r="CJ113" i="1"/>
  <c r="BI102" i="1"/>
  <c r="CJ112" i="1"/>
  <c r="BI101" i="1"/>
  <c r="CJ111" i="1"/>
  <c r="BI100" i="1"/>
  <c r="CJ110" i="1"/>
  <c r="BI99" i="1"/>
  <c r="CJ109" i="1"/>
  <c r="BI98" i="1"/>
  <c r="CJ108" i="1"/>
  <c r="BI97" i="1"/>
  <c r="BI96" i="1"/>
  <c r="CJ106" i="1"/>
  <c r="BI95" i="1"/>
  <c r="CJ105" i="1"/>
  <c r="BI94" i="1"/>
  <c r="CJ104" i="1"/>
  <c r="BI93" i="1"/>
  <c r="CJ103" i="1"/>
  <c r="BI92" i="1"/>
  <c r="CJ102" i="1"/>
  <c r="BI91" i="1"/>
  <c r="CJ101" i="1"/>
  <c r="BI90" i="1"/>
  <c r="CJ100" i="1"/>
  <c r="BI89" i="1"/>
  <c r="CJ99" i="1"/>
  <c r="BI88" i="1"/>
  <c r="CJ98" i="1"/>
  <c r="BI87" i="1"/>
  <c r="CJ97" i="1"/>
  <c r="BI86" i="1"/>
  <c r="CJ96" i="1"/>
  <c r="BI85" i="1"/>
  <c r="CJ95" i="1"/>
  <c r="BI84" i="1"/>
  <c r="CJ94" i="1"/>
  <c r="BI83" i="1"/>
  <c r="CJ93" i="1"/>
  <c r="BI82" i="1"/>
  <c r="CJ92" i="1"/>
  <c r="BI81" i="1"/>
  <c r="CJ91" i="1"/>
  <c r="BI80" i="1"/>
  <c r="CJ90" i="1"/>
  <c r="BI79" i="1"/>
  <c r="CJ89" i="1"/>
  <c r="BI78" i="1"/>
  <c r="CJ88" i="1"/>
  <c r="BI77" i="1"/>
  <c r="CJ87" i="1"/>
  <c r="BI76" i="1"/>
  <c r="CJ86" i="1"/>
  <c r="BI75" i="1"/>
  <c r="CJ85" i="1"/>
  <c r="BI74" i="1"/>
  <c r="CJ84" i="1"/>
  <c r="BI73" i="1"/>
  <c r="CJ83" i="1"/>
  <c r="BI72" i="1"/>
  <c r="CJ82" i="1"/>
  <c r="BI71" i="1"/>
  <c r="CJ81" i="1"/>
  <c r="BI70" i="1"/>
  <c r="CJ80" i="1"/>
  <c r="BI69" i="1"/>
  <c r="CJ79" i="1"/>
  <c r="BI68" i="1"/>
  <c r="CJ78" i="1"/>
  <c r="BI67" i="1"/>
  <c r="BI66" i="1"/>
  <c r="CJ76" i="1"/>
  <c r="BI65" i="1"/>
  <c r="CJ75" i="1"/>
  <c r="BI64" i="1"/>
  <c r="CJ74" i="1"/>
  <c r="BI63" i="1"/>
  <c r="CJ73" i="1"/>
  <c r="BI62" i="1"/>
  <c r="CJ72" i="1"/>
  <c r="BI61" i="1"/>
  <c r="CJ71" i="1"/>
  <c r="BI60" i="1"/>
  <c r="CJ70" i="1"/>
  <c r="BI59" i="1"/>
  <c r="CJ69" i="1"/>
  <c r="BI58" i="1"/>
  <c r="CJ68" i="1"/>
  <c r="BI57" i="1"/>
  <c r="CJ67" i="1"/>
  <c r="BI56" i="1"/>
  <c r="CJ66" i="1"/>
  <c r="BI55" i="1"/>
  <c r="CJ65" i="1"/>
  <c r="BI54" i="1"/>
  <c r="CJ64" i="1"/>
  <c r="BI53" i="1"/>
  <c r="CJ63" i="1"/>
  <c r="BI52" i="1"/>
  <c r="BI51" i="1"/>
  <c r="CJ61" i="1"/>
  <c r="BI50" i="1"/>
  <c r="CJ60" i="1"/>
  <c r="BI49" i="1"/>
  <c r="CJ59" i="1"/>
  <c r="BI48" i="1"/>
  <c r="CJ58" i="1"/>
  <c r="BI47" i="1"/>
  <c r="CJ57" i="1"/>
  <c r="BI46" i="1"/>
  <c r="CJ56" i="1"/>
  <c r="BI45" i="1"/>
  <c r="CJ55" i="1"/>
  <c r="BI44" i="1"/>
  <c r="CJ54" i="1"/>
  <c r="BI43" i="1"/>
  <c r="CJ53" i="1"/>
  <c r="BI42" i="1"/>
  <c r="CJ52" i="1"/>
  <c r="BI41" i="1"/>
  <c r="CJ51" i="1"/>
  <c r="BI40" i="1"/>
  <c r="CJ50" i="1"/>
  <c r="BI39" i="1"/>
  <c r="CJ49" i="1"/>
  <c r="BI38" i="1"/>
  <c r="CJ48" i="1"/>
  <c r="BI37" i="1"/>
  <c r="CJ47" i="1"/>
  <c r="BI36" i="1"/>
  <c r="CJ46" i="1"/>
  <c r="BI35" i="1"/>
  <c r="CJ45" i="1"/>
  <c r="BI34" i="1"/>
  <c r="CJ44" i="1"/>
  <c r="BI33" i="1"/>
  <c r="CJ43" i="1"/>
  <c r="BI32" i="1"/>
  <c r="CJ42" i="1"/>
  <c r="BI31" i="1"/>
  <c r="CJ41" i="1"/>
  <c r="BI30" i="1"/>
  <c r="CJ40" i="1"/>
  <c r="BI29" i="1"/>
  <c r="CJ39" i="1"/>
  <c r="BI28" i="1"/>
  <c r="CJ38" i="1"/>
  <c r="BI27" i="1"/>
  <c r="CJ37" i="1"/>
  <c r="BI26" i="1"/>
  <c r="CJ36" i="1"/>
  <c r="BI25" i="1"/>
  <c r="CJ35" i="1"/>
  <c r="BI24" i="1"/>
  <c r="CJ34" i="1"/>
  <c r="BI23" i="1"/>
  <c r="CJ33" i="1"/>
  <c r="BI22" i="1"/>
  <c r="CJ32" i="1"/>
  <c r="BI21" i="1"/>
  <c r="CJ31" i="1"/>
  <c r="BI20" i="1"/>
  <c r="CJ30" i="1"/>
  <c r="BI19" i="1"/>
  <c r="BI18" i="1"/>
  <c r="CJ20" i="1"/>
  <c r="BI17" i="1"/>
  <c r="CJ17" i="1"/>
  <c r="BI16" i="1"/>
  <c r="CJ16" i="1"/>
  <c r="BI15" i="1"/>
  <c r="CJ14" i="1"/>
  <c r="BI14" i="1"/>
  <c r="CJ13" i="1"/>
  <c r="BI13" i="1"/>
  <c r="AJ13" i="1" a="1"/>
  <c r="AJ13" i="1"/>
  <c r="CJ12" i="1"/>
  <c r="BI12" i="1"/>
  <c r="CJ11" i="1"/>
  <c r="BI11" i="1"/>
  <c r="BI10" i="1"/>
  <c r="BI8" i="1"/>
  <c r="CO8" i="1" a="1"/>
  <c r="CO8" i="1" l="1"/>
  <c r="BF116" i="1"/>
  <c r="AO116" i="1"/>
  <c r="BF100" i="1"/>
  <c r="AO100" i="1"/>
  <c r="BF124" i="1"/>
  <c r="AO124" i="1"/>
  <c r="AO79" i="1"/>
  <c r="BF79" i="1"/>
  <c r="BF118" i="1"/>
  <c r="AO118" i="1"/>
  <c r="BB70" i="1"/>
  <c r="BC70" i="1" s="1"/>
  <c r="BB63" i="1"/>
  <c r="BC63" i="1" s="1"/>
  <c r="BF56" i="1"/>
  <c r="BF135" i="1"/>
  <c r="AO135" i="1"/>
  <c r="AO29" i="1"/>
  <c r="BF29" i="1"/>
  <c r="AO102" i="1"/>
  <c r="BF102" i="1"/>
  <c r="AO153" i="1"/>
  <c r="BF153" i="1"/>
  <c r="AO81" i="1"/>
  <c r="AO134" i="1"/>
  <c r="BF134" i="1"/>
  <c r="BF109" i="1"/>
  <c r="AO109" i="1"/>
  <c r="AO75" i="1"/>
  <c r="AO20" i="1"/>
  <c r="BF20" i="1"/>
  <c r="AO21" i="1"/>
  <c r="BF21" i="1"/>
  <c r="BF133" i="1"/>
  <c r="AO133" i="1"/>
  <c r="AO94" i="1"/>
  <c r="BF94" i="1"/>
  <c r="AO48" i="1"/>
  <c r="BF48" i="1"/>
  <c r="BF41" i="1"/>
  <c r="AO128" i="1"/>
  <c r="BF128" i="1"/>
  <c r="BH115" i="1"/>
  <c r="AO115" i="1"/>
  <c r="BF107" i="1"/>
  <c r="AO107" i="1"/>
  <c r="BF34" i="1"/>
  <c r="AO34" i="1"/>
  <c r="AO54" i="1"/>
  <c r="AO113" i="1"/>
  <c r="BF113" i="1"/>
  <c r="BF132" i="1"/>
  <c r="AO132" i="1"/>
  <c r="BF125" i="1"/>
  <c r="AO125" i="1"/>
  <c r="BF93" i="1"/>
  <c r="AO93" i="1"/>
  <c r="BF157" i="1"/>
  <c r="AO157" i="1"/>
  <c r="BF86" i="1"/>
  <c r="AO86" i="1"/>
  <c r="BF25" i="1"/>
  <c r="AO25" i="1"/>
  <c r="BF106" i="1"/>
  <c r="AO106" i="1"/>
  <c r="AO131" i="1"/>
  <c r="BF131" i="1"/>
  <c r="BF24" i="1"/>
  <c r="AO24" i="1"/>
  <c r="AO60" i="1"/>
  <c r="BF60" i="1"/>
  <c r="BF92" i="1"/>
  <c r="AO92" i="1"/>
  <c r="AO85" i="1"/>
  <c r="BF85" i="1"/>
  <c r="AO150" i="1"/>
  <c r="AO156" i="1"/>
  <c r="BF156" i="1"/>
  <c r="AO65" i="1"/>
  <c r="BF65" i="1"/>
  <c r="BF91" i="1"/>
  <c r="AO91" i="1"/>
  <c r="BF136" i="1"/>
  <c r="AO154" i="1"/>
  <c r="BF154" i="1"/>
  <c r="BB148" i="1"/>
  <c r="BC148" i="1" s="1"/>
  <c r="AO62" i="1"/>
  <c r="BF62" i="1"/>
  <c r="AO145" i="1"/>
  <c r="AO17" i="1"/>
  <c r="BF17" i="1"/>
  <c r="AO139" i="1"/>
  <c r="BF45" i="1"/>
  <c r="AO45" i="1"/>
  <c r="BF142" i="1"/>
  <c r="BF38" i="1"/>
  <c r="BF57" i="1"/>
  <c r="AO57" i="1"/>
  <c r="BF44" i="1"/>
  <c r="BF127" i="1"/>
  <c r="AO127" i="1"/>
  <c r="AO12" i="1"/>
  <c r="BF12" i="1"/>
  <c r="BF84" i="1"/>
  <c r="AO84" i="1"/>
  <c r="AO78" i="1"/>
  <c r="BB72" i="1"/>
  <c r="BC72" i="1" s="1"/>
  <c r="AO47" i="1"/>
  <c r="BF47" i="1"/>
  <c r="AO126" i="1"/>
  <c r="BF126" i="1"/>
  <c r="BB59" i="1"/>
  <c r="BC59" i="1" s="1"/>
  <c r="AO144" i="1"/>
  <c r="AO31" i="1"/>
  <c r="Y160" i="1"/>
  <c r="BF108" i="1"/>
  <c r="BF137" i="1"/>
  <c r="AO58" i="1"/>
  <c r="BF46" i="1"/>
  <c r="BF89" i="1"/>
  <c r="AO89" i="1"/>
  <c r="AO40" i="1"/>
  <c r="BF40" i="1"/>
  <c r="BF77" i="1"/>
  <c r="AO77" i="1"/>
  <c r="BB95" i="1"/>
  <c r="BC95" i="1" s="1"/>
  <c r="BF88" i="1"/>
  <c r="AO143" i="1"/>
  <c r="BF143" i="1"/>
  <c r="AO10" i="1"/>
  <c r="BF10" i="1"/>
  <c r="AO117" i="1"/>
  <c r="BF68" i="1"/>
  <c r="AO68" i="1"/>
  <c r="AO152" i="1"/>
  <c r="BB141" i="1"/>
  <c r="BC141" i="1" s="1"/>
  <c r="AO111" i="1"/>
  <c r="BF111" i="1"/>
  <c r="BB15" i="1"/>
  <c r="BC15" i="1" s="1"/>
  <c r="BF140" i="1"/>
  <c r="AO80" i="1"/>
  <c r="BF43" i="1"/>
  <c r="AO43" i="1"/>
  <c r="AO30" i="1"/>
  <c r="BF30" i="1"/>
  <c r="BB123" i="1"/>
  <c r="BC123" i="1" s="1"/>
  <c r="BF61" i="1"/>
  <c r="AO61" i="1"/>
  <c r="BB14" i="1"/>
  <c r="BC14" i="1" s="1"/>
  <c r="AO110" i="1"/>
  <c r="AO104" i="1"/>
  <c r="BF104" i="1"/>
  <c r="BF37" i="1"/>
  <c r="AO37" i="1"/>
  <c r="BB33" i="1"/>
  <c r="BC33" i="1" s="1"/>
  <c r="AO13" i="1"/>
  <c r="BF13" i="1"/>
  <c r="BB99" i="1"/>
  <c r="BC99" i="1" s="1"/>
  <c r="BB67" i="1"/>
  <c r="BC67" i="1" s="1"/>
  <c r="AO32" i="1"/>
  <c r="BB130" i="1"/>
  <c r="BC130" i="1" s="1"/>
  <c r="BB98" i="1"/>
  <c r="BC98" i="1" s="1"/>
  <c r="BB66" i="1"/>
  <c r="BC66" i="1" s="1"/>
  <c r="BF36" i="1"/>
  <c r="AO36" i="1"/>
  <c r="AO96" i="1"/>
  <c r="BF58" i="1"/>
  <c r="AO19" i="1"/>
  <c r="BB138" i="1"/>
  <c r="BC138" i="1" s="1"/>
  <c r="BF33" i="1" l="1"/>
  <c r="AO33" i="1"/>
  <c r="BF99" i="1"/>
  <c r="AO99" i="1"/>
  <c r="BF148" i="1"/>
  <c r="AO148" i="1"/>
  <c r="BF63" i="1"/>
  <c r="AO63" i="1"/>
  <c r="BF15" i="1"/>
  <c r="AO15" i="1"/>
  <c r="AO70" i="1"/>
  <c r="BF70" i="1"/>
  <c r="BF59" i="1"/>
  <c r="AO59" i="1"/>
  <c r="AO14" i="1"/>
  <c r="BF14" i="1"/>
  <c r="BF72" i="1"/>
  <c r="AO72" i="1"/>
  <c r="BF67" i="1"/>
  <c r="AO67" i="1"/>
  <c r="BF98" i="1"/>
  <c r="AO98" i="1"/>
  <c r="BF138" i="1"/>
  <c r="AO138" i="1"/>
  <c r="BF95" i="1"/>
  <c r="AO95" i="1"/>
  <c r="BF66" i="1"/>
  <c r="AO66" i="1"/>
  <c r="BF141" i="1"/>
  <c r="AO141" i="1"/>
  <c r="BF123" i="1"/>
  <c r="AO123" i="1"/>
  <c r="BF130" i="1"/>
  <c r="AO130" i="1"/>
  <c r="S158" i="1" l="1" a="1"/>
  <c r="S158" i="1" s="1"/>
  <c r="V158" i="1" l="1"/>
  <c r="BL55" i="1"/>
  <c r="AP55" i="1" s="1"/>
  <c r="BL122" i="1"/>
  <c r="AP122" i="1" s="1"/>
  <c r="BL119" i="1"/>
  <c r="AP119" i="1" s="1"/>
  <c r="BL71" i="1"/>
  <c r="AP71" i="1" s="1"/>
  <c r="BL27" i="1"/>
  <c r="AP27" i="1" s="1"/>
  <c r="BL151" i="1"/>
  <c r="AP151" i="1" s="1"/>
  <c r="BL144" i="1"/>
  <c r="AP144" i="1" s="1"/>
  <c r="BL83" i="1"/>
  <c r="AP83" i="1" s="1"/>
  <c r="BL16" i="1"/>
  <c r="AP16" i="1" s="1"/>
  <c r="BL11" i="1"/>
  <c r="AP11" i="1" s="1"/>
  <c r="BL117" i="1"/>
  <c r="AP117" i="1" s="1"/>
  <c r="BL101" i="1"/>
  <c r="AP101" i="1" s="1"/>
  <c r="BL147" i="1"/>
  <c r="AP147" i="1" s="1"/>
  <c r="BL96" i="1"/>
  <c r="AP96" i="1" s="1"/>
  <c r="BL90" i="1"/>
  <c r="AP90" i="1" s="1"/>
  <c r="BL8" i="1"/>
  <c r="AP8" i="1" s="1"/>
  <c r="BL53" i="1"/>
  <c r="AP53" i="1" s="1"/>
  <c r="BL114" i="1"/>
  <c r="AP114" i="1" s="1"/>
  <c r="BL82" i="1"/>
  <c r="AP82" i="1" s="1"/>
  <c r="BL7" i="1"/>
  <c r="AP7" i="1" s="1"/>
  <c r="BL112" i="1"/>
  <c r="AP112" i="1" s="1"/>
  <c r="BL97" i="1"/>
  <c r="AP97" i="1" s="1"/>
  <c r="BL152" i="1"/>
  <c r="AP152" i="1" s="1"/>
  <c r="BL110" i="1"/>
  <c r="AP110" i="1" s="1"/>
  <c r="BL76" i="1"/>
  <c r="AP76" i="1" s="1"/>
  <c r="BL75" i="1"/>
  <c r="AP75" i="1" s="1"/>
  <c r="BL103" i="1"/>
  <c r="AP103" i="1" s="1"/>
  <c r="BL18" i="1"/>
  <c r="AP18" i="1" s="1"/>
  <c r="BL26" i="1"/>
  <c r="AP26" i="1" s="1"/>
  <c r="BL78" i="1"/>
  <c r="AP78" i="1" s="1"/>
  <c r="BL31" i="1"/>
  <c r="AP31" i="1" s="1"/>
  <c r="BL64" i="1"/>
  <c r="AP64" i="1" s="1"/>
  <c r="BL22" i="1"/>
  <c r="AP22" i="1" s="1"/>
  <c r="BL35" i="1"/>
  <c r="AP35" i="1" s="1"/>
  <c r="BL155" i="1"/>
  <c r="AP155" i="1" s="1"/>
  <c r="BL73" i="1"/>
  <c r="AP73" i="1" s="1"/>
  <c r="BL23" i="1"/>
  <c r="AP23" i="1" s="1"/>
  <c r="BL50" i="1"/>
  <c r="AP50" i="1" s="1"/>
  <c r="BL51" i="1"/>
  <c r="AP51" i="1" s="1"/>
  <c r="BL145" i="1"/>
  <c r="AP145" i="1" s="1"/>
  <c r="BL105" i="1"/>
  <c r="AP105" i="1" s="1"/>
  <c r="BL39" i="1"/>
  <c r="AP39" i="1" s="1"/>
  <c r="BL69" i="1"/>
  <c r="AP69" i="1" s="1"/>
  <c r="BL9" i="1"/>
  <c r="AP9" i="1" s="1"/>
  <c r="BL121" i="1"/>
  <c r="AP121" i="1" s="1"/>
  <c r="BL49" i="1"/>
  <c r="AP49" i="1" s="1"/>
  <c r="BL146" i="1"/>
  <c r="AP146" i="1" s="1"/>
  <c r="BL74" i="1"/>
  <c r="AP74" i="1" s="1"/>
  <c r="BL80" i="1"/>
  <c r="AP80" i="1" s="1"/>
  <c r="BL28" i="1"/>
  <c r="AP28" i="1" s="1"/>
  <c r="BL139" i="1"/>
  <c r="AP139" i="1" s="1"/>
  <c r="BL52" i="1"/>
  <c r="AP52" i="1" s="1"/>
  <c r="BL129" i="1"/>
  <c r="AP129" i="1" s="1"/>
  <c r="BL42" i="1"/>
  <c r="AP42" i="1" s="1"/>
  <c r="BL32" i="1"/>
  <c r="AP32" i="1" s="1"/>
  <c r="BL19" i="1"/>
  <c r="AP19" i="1" s="1"/>
  <c r="BL149" i="1"/>
  <c r="AP149" i="1" s="1"/>
  <c r="BL120" i="1"/>
  <c r="AP120" i="1" s="1"/>
  <c r="BL54" i="1"/>
  <c r="AP54" i="1" s="1"/>
  <c r="BL87" i="1"/>
  <c r="AP87" i="1" s="1"/>
  <c r="BL150" i="1"/>
  <c r="AP150" i="1" s="1"/>
  <c r="BL81" i="1"/>
  <c r="AP81" i="1" s="1"/>
  <c r="BL60" i="1"/>
  <c r="AP60" i="1" s="1"/>
  <c r="BL111" i="1"/>
  <c r="AP111" i="1" s="1"/>
  <c r="BL25" i="1"/>
  <c r="AP25" i="1" s="1"/>
  <c r="BL56" i="1"/>
  <c r="AP56" i="1" s="1"/>
  <c r="BL77" i="1"/>
  <c r="AP77" i="1" s="1"/>
  <c r="BL86" i="1"/>
  <c r="AP86" i="1" s="1"/>
  <c r="BL30" i="1"/>
  <c r="AP30" i="1" s="1"/>
  <c r="BL84" i="1"/>
  <c r="AP84" i="1" s="1"/>
  <c r="BL43" i="1"/>
  <c r="AP43" i="1" s="1"/>
  <c r="BL21" i="1"/>
  <c r="AP21" i="1" s="1"/>
  <c r="BL24" i="1"/>
  <c r="AP24" i="1" s="1"/>
  <c r="BL29" i="1"/>
  <c r="AP29" i="1" s="1"/>
  <c r="BL135" i="1"/>
  <c r="AP135" i="1" s="1"/>
  <c r="BL137" i="1"/>
  <c r="AP137" i="1" s="1"/>
  <c r="BL124" i="1"/>
  <c r="AP124" i="1" s="1"/>
  <c r="BL113" i="1"/>
  <c r="AP113" i="1" s="1"/>
  <c r="BL131" i="1"/>
  <c r="AP131" i="1" s="1"/>
  <c r="BL12" i="1"/>
  <c r="AP12" i="1" s="1"/>
  <c r="BL37" i="1"/>
  <c r="AP37" i="1" s="1"/>
  <c r="BL89" i="1"/>
  <c r="AP89" i="1" s="1"/>
  <c r="BL156" i="1"/>
  <c r="AP156" i="1" s="1"/>
  <c r="BL104" i="1"/>
  <c r="AP104" i="1" s="1"/>
  <c r="BL57" i="1"/>
  <c r="AP57" i="1" s="1"/>
  <c r="BL118" i="1"/>
  <c r="AP118" i="1" s="1"/>
  <c r="BL115" i="1"/>
  <c r="AP115" i="1" s="1"/>
  <c r="BL100" i="1"/>
  <c r="AP100" i="1" s="1"/>
  <c r="BL109" i="1"/>
  <c r="AP109" i="1" s="1"/>
  <c r="BL140" i="1"/>
  <c r="AP140" i="1" s="1"/>
  <c r="BL136" i="1"/>
  <c r="AP136" i="1" s="1"/>
  <c r="BL40" i="1"/>
  <c r="AP40" i="1" s="1"/>
  <c r="BL65" i="1"/>
  <c r="AP65" i="1" s="1"/>
  <c r="BL41" i="1"/>
  <c r="AP41" i="1" s="1"/>
  <c r="BL157" i="1"/>
  <c r="AP157" i="1" s="1"/>
  <c r="BL13" i="1"/>
  <c r="AP13" i="1" s="1"/>
  <c r="BL94" i="1"/>
  <c r="AP94" i="1" s="1"/>
  <c r="BL106" i="1"/>
  <c r="AP106" i="1" s="1"/>
  <c r="BL46" i="1"/>
  <c r="AP46" i="1" s="1"/>
  <c r="BL107" i="1"/>
  <c r="AP107" i="1" s="1"/>
  <c r="BL154" i="1"/>
  <c r="AP154" i="1" s="1"/>
  <c r="BL10" i="1"/>
  <c r="AP10" i="1" s="1"/>
  <c r="BL92" i="1"/>
  <c r="AP92" i="1" s="1"/>
  <c r="BL116" i="1"/>
  <c r="AP116" i="1" s="1"/>
  <c r="BL68" i="1"/>
  <c r="AP68" i="1" s="1"/>
  <c r="BL127" i="1"/>
  <c r="AP127" i="1" s="1"/>
  <c r="BL62" i="1"/>
  <c r="AP62" i="1" s="1"/>
  <c r="BL48" i="1"/>
  <c r="AP48" i="1" s="1"/>
  <c r="BL85" i="1"/>
  <c r="AP85" i="1" s="1"/>
  <c r="BL93" i="1"/>
  <c r="AP93" i="1" s="1"/>
  <c r="BL38" i="1"/>
  <c r="AP38" i="1" s="1"/>
  <c r="BL34" i="1"/>
  <c r="AP34" i="1" s="1"/>
  <c r="BL108" i="1"/>
  <c r="AP108" i="1" s="1"/>
  <c r="BL61" i="1"/>
  <c r="AP61" i="1" s="1"/>
  <c r="BL142" i="1"/>
  <c r="AP142" i="1" s="1"/>
  <c r="BL20" i="1"/>
  <c r="AP20" i="1" s="1"/>
  <c r="BL44" i="1"/>
  <c r="AP44" i="1" s="1"/>
  <c r="BL143" i="1"/>
  <c r="AP143" i="1" s="1"/>
  <c r="BL133" i="1"/>
  <c r="AP133" i="1" s="1"/>
  <c r="BL102" i="1"/>
  <c r="AP102" i="1" s="1"/>
  <c r="BL79" i="1"/>
  <c r="AP79" i="1" s="1"/>
  <c r="BL134" i="1"/>
  <c r="AP134" i="1" s="1"/>
  <c r="BL45" i="1"/>
  <c r="AP45" i="1" s="1"/>
  <c r="BL128" i="1"/>
  <c r="AP128" i="1" s="1"/>
  <c r="BL58" i="1"/>
  <c r="AP58" i="1" s="1"/>
  <c r="BL125" i="1"/>
  <c r="AP125" i="1" s="1"/>
  <c r="BL88" i="1"/>
  <c r="AP88" i="1" s="1"/>
  <c r="BL153" i="1"/>
  <c r="AP153" i="1" s="1"/>
  <c r="BL91" i="1"/>
  <c r="AP91" i="1" s="1"/>
  <c r="BL47" i="1"/>
  <c r="AP47" i="1" s="1"/>
  <c r="BL132" i="1"/>
  <c r="AP132" i="1" s="1"/>
  <c r="BL126" i="1"/>
  <c r="AP126" i="1" s="1"/>
  <c r="BL17" i="1"/>
  <c r="AP17" i="1" s="1"/>
  <c r="BL36" i="1"/>
  <c r="AP36" i="1" s="1"/>
  <c r="BL66" i="1"/>
  <c r="AP66" i="1" s="1"/>
  <c r="BL70" i="1"/>
  <c r="AP70" i="1" s="1"/>
  <c r="BL59" i="1"/>
  <c r="AP59" i="1" s="1"/>
  <c r="BL130" i="1"/>
  <c r="AP130" i="1" s="1"/>
  <c r="BL33" i="1"/>
  <c r="AP33" i="1" s="1"/>
  <c r="BL14" i="1"/>
  <c r="AP14" i="1" s="1"/>
  <c r="BL95" i="1"/>
  <c r="AP95" i="1" s="1"/>
  <c r="BL72" i="1"/>
  <c r="AP72" i="1" s="1"/>
  <c r="BL123" i="1"/>
  <c r="AP123" i="1" s="1"/>
  <c r="BL141" i="1"/>
  <c r="AP141" i="1" s="1"/>
  <c r="BL63" i="1"/>
  <c r="AP63" i="1" s="1"/>
  <c r="BL15" i="1"/>
  <c r="AP15" i="1" s="1"/>
  <c r="BL98" i="1"/>
  <c r="AP98" i="1" s="1"/>
  <c r="BL148" i="1"/>
  <c r="AP148" i="1" s="1"/>
  <c r="BL99" i="1"/>
  <c r="AP99" i="1" s="1"/>
  <c r="BL67" i="1"/>
  <c r="AP67" i="1" s="1"/>
  <c r="BL138" i="1"/>
  <c r="AP138" i="1" s="1"/>
  <c r="AS88" i="1" l="1"/>
  <c r="AV88" i="1"/>
  <c r="AV78" i="1"/>
  <c r="AS78" i="1"/>
  <c r="AV58" i="1"/>
  <c r="AS58" i="1"/>
  <c r="AS87" i="1"/>
  <c r="AV87" i="1"/>
  <c r="AS103" i="1"/>
  <c r="AV103" i="1"/>
  <c r="AV79" i="1"/>
  <c r="AS79" i="1"/>
  <c r="AV110" i="1"/>
  <c r="AS110" i="1"/>
  <c r="AV133" i="1"/>
  <c r="AS133" i="1"/>
  <c r="AV67" i="1"/>
  <c r="AS67" i="1"/>
  <c r="AV99" i="1"/>
  <c r="AS99" i="1"/>
  <c r="AS44" i="1"/>
  <c r="AV44" i="1"/>
  <c r="AS57" i="1"/>
  <c r="AV57" i="1"/>
  <c r="AS129" i="1"/>
  <c r="AV129" i="1"/>
  <c r="AS112" i="1"/>
  <c r="AV112" i="1"/>
  <c r="AS125" i="1"/>
  <c r="AV125" i="1"/>
  <c r="AV18" i="1"/>
  <c r="AS18" i="1"/>
  <c r="AS120" i="1"/>
  <c r="AV120" i="1"/>
  <c r="AV102" i="1"/>
  <c r="AS102" i="1"/>
  <c r="AV143" i="1"/>
  <c r="AS143" i="1"/>
  <c r="AV104" i="1"/>
  <c r="AS104" i="1"/>
  <c r="AS28" i="1"/>
  <c r="AV28" i="1"/>
  <c r="AV8" i="1"/>
  <c r="AS8" i="1"/>
  <c r="AS93" i="1"/>
  <c r="AV93" i="1"/>
  <c r="AS105" i="1"/>
  <c r="AV105" i="1"/>
  <c r="AS16" i="1"/>
  <c r="AV16" i="1"/>
  <c r="AV60" i="1"/>
  <c r="AS60" i="1"/>
  <c r="AV41" i="1"/>
  <c r="AS41" i="1"/>
  <c r="AV65" i="1"/>
  <c r="AS65" i="1"/>
  <c r="AS40" i="1"/>
  <c r="AV40" i="1"/>
  <c r="AS45" i="1"/>
  <c r="AV45" i="1"/>
  <c r="AS140" i="1"/>
  <c r="AV140" i="1"/>
  <c r="AS149" i="1"/>
  <c r="AV149" i="1"/>
  <c r="AS19" i="1"/>
  <c r="AV19" i="1"/>
  <c r="AS32" i="1"/>
  <c r="AV32" i="1"/>
  <c r="AV42" i="1"/>
  <c r="AS42" i="1"/>
  <c r="AV148" i="1"/>
  <c r="AS148" i="1"/>
  <c r="AS52" i="1"/>
  <c r="AV52" i="1"/>
  <c r="AV98" i="1"/>
  <c r="AS98" i="1"/>
  <c r="AS156" i="1"/>
  <c r="AV156" i="1"/>
  <c r="AS114" i="1"/>
  <c r="AV114" i="1"/>
  <c r="AS37" i="1"/>
  <c r="AV37" i="1"/>
  <c r="AV141" i="1"/>
  <c r="AS141" i="1"/>
  <c r="AV74" i="1"/>
  <c r="AS74" i="1"/>
  <c r="AV131" i="1"/>
  <c r="AS131" i="1"/>
  <c r="AS72" i="1"/>
  <c r="AV72" i="1"/>
  <c r="AS113" i="1"/>
  <c r="AV113" i="1"/>
  <c r="AV95" i="1"/>
  <c r="AS95" i="1"/>
  <c r="AV121" i="1"/>
  <c r="AS121" i="1"/>
  <c r="AS14" i="1"/>
  <c r="AV14" i="1"/>
  <c r="AV137" i="1"/>
  <c r="AS137" i="1"/>
  <c r="AV117" i="1"/>
  <c r="AS117" i="1"/>
  <c r="AV29" i="1"/>
  <c r="AS29" i="1"/>
  <c r="AS68" i="1"/>
  <c r="AV68" i="1"/>
  <c r="AV21" i="1"/>
  <c r="AS21" i="1"/>
  <c r="AV144" i="1"/>
  <c r="AS144" i="1"/>
  <c r="AV84" i="1"/>
  <c r="AS84" i="1"/>
  <c r="AS27" i="1"/>
  <c r="AV27" i="1"/>
  <c r="AV46" i="1"/>
  <c r="AS46" i="1"/>
  <c r="AS77" i="1"/>
  <c r="AV77" i="1"/>
  <c r="AS155" i="1"/>
  <c r="AV155" i="1"/>
  <c r="AS119" i="1"/>
  <c r="AV119" i="1"/>
  <c r="AV33" i="1"/>
  <c r="AS33" i="1"/>
  <c r="AV69" i="1"/>
  <c r="AS69" i="1"/>
  <c r="AS127" i="1"/>
  <c r="AV127" i="1"/>
  <c r="AV24" i="1"/>
  <c r="AS24" i="1"/>
  <c r="AV116" i="1"/>
  <c r="AS116" i="1"/>
  <c r="AS66" i="1"/>
  <c r="AV66" i="1"/>
  <c r="AV51" i="1"/>
  <c r="AS51" i="1"/>
  <c r="AS10" i="1"/>
  <c r="AV10" i="1"/>
  <c r="AV17" i="1"/>
  <c r="AS17" i="1"/>
  <c r="AV23" i="1"/>
  <c r="AS23" i="1"/>
  <c r="AS107" i="1"/>
  <c r="AV107" i="1"/>
  <c r="AV86" i="1"/>
  <c r="AS86" i="1"/>
  <c r="AV47" i="1"/>
  <c r="AS47" i="1"/>
  <c r="AV106" i="1"/>
  <c r="AS106" i="1"/>
  <c r="AS56" i="1"/>
  <c r="AV56" i="1"/>
  <c r="AV35" i="1"/>
  <c r="AS35" i="1"/>
  <c r="AV122" i="1"/>
  <c r="AS122" i="1"/>
  <c r="AS31" i="1"/>
  <c r="AV31" i="1"/>
  <c r="AS150" i="1"/>
  <c r="AV150" i="1"/>
  <c r="AV128" i="1"/>
  <c r="AS128" i="1"/>
  <c r="AV136" i="1"/>
  <c r="AS136" i="1"/>
  <c r="AV134" i="1"/>
  <c r="AS134" i="1"/>
  <c r="AV109" i="1"/>
  <c r="AS109" i="1"/>
  <c r="AV100" i="1"/>
  <c r="AS100" i="1"/>
  <c r="AV115" i="1"/>
  <c r="AS115" i="1"/>
  <c r="AS97" i="1"/>
  <c r="AV97" i="1"/>
  <c r="AB160" i="1" a="1"/>
  <c r="AB160" i="1" s="1"/>
  <c r="Y161" i="1" s="1"/>
  <c r="AV7" i="1"/>
  <c r="AS7" i="1"/>
  <c r="AV139" i="1"/>
  <c r="AS139" i="1"/>
  <c r="AS15" i="1"/>
  <c r="AV15" i="1"/>
  <c r="AV61" i="1"/>
  <c r="AS61" i="1"/>
  <c r="AS63" i="1"/>
  <c r="AV63" i="1"/>
  <c r="AS80" i="1"/>
  <c r="AV80" i="1"/>
  <c r="AV12" i="1"/>
  <c r="AS12" i="1"/>
  <c r="AV38" i="1"/>
  <c r="AS38" i="1"/>
  <c r="AV146" i="1"/>
  <c r="AS146" i="1"/>
  <c r="AV49" i="1"/>
  <c r="AS49" i="1"/>
  <c r="AS147" i="1"/>
  <c r="AV147" i="1"/>
  <c r="AS9" i="1"/>
  <c r="AV9" i="1"/>
  <c r="AS135" i="1"/>
  <c r="AV135" i="1"/>
  <c r="AS39" i="1"/>
  <c r="AV39" i="1"/>
  <c r="AS59" i="1"/>
  <c r="AV59" i="1"/>
  <c r="AS83" i="1"/>
  <c r="AV83" i="1"/>
  <c r="AV92" i="1"/>
  <c r="AS92" i="1"/>
  <c r="AV36" i="1"/>
  <c r="AS36" i="1"/>
  <c r="AV50" i="1"/>
  <c r="AS50" i="1"/>
  <c r="AS154" i="1"/>
  <c r="AV154" i="1"/>
  <c r="AV126" i="1"/>
  <c r="AS126" i="1"/>
  <c r="AV73" i="1"/>
  <c r="AS73" i="1"/>
  <c r="AV91" i="1"/>
  <c r="AS91" i="1"/>
  <c r="AV94" i="1"/>
  <c r="AS94" i="1"/>
  <c r="AV25" i="1"/>
  <c r="AS25" i="1"/>
  <c r="AV22" i="1"/>
  <c r="AS22" i="1"/>
  <c r="AS55" i="1"/>
  <c r="AV55" i="1"/>
  <c r="AV157" i="1"/>
  <c r="AS157" i="1"/>
  <c r="AS81" i="1"/>
  <c r="AV81" i="1"/>
  <c r="AS26" i="1"/>
  <c r="AV26" i="1"/>
  <c r="AS54" i="1"/>
  <c r="AV54" i="1"/>
  <c r="AV75" i="1"/>
  <c r="AS75" i="1"/>
  <c r="AS76" i="1"/>
  <c r="AV76" i="1"/>
  <c r="AV138" i="1"/>
  <c r="AS138" i="1"/>
  <c r="AS152" i="1"/>
  <c r="AV152" i="1"/>
  <c r="AV118" i="1"/>
  <c r="AS118" i="1"/>
  <c r="AV20" i="1"/>
  <c r="AS20" i="1"/>
  <c r="AV142" i="1"/>
  <c r="AS142" i="1"/>
  <c r="AV82" i="1"/>
  <c r="AS82" i="1"/>
  <c r="AS89" i="1"/>
  <c r="AV89" i="1"/>
  <c r="AS108" i="1"/>
  <c r="AV108" i="1"/>
  <c r="AV53" i="1"/>
  <c r="AS53" i="1"/>
  <c r="AS34" i="1"/>
  <c r="AV34" i="1"/>
  <c r="AS123" i="1"/>
  <c r="AV123" i="1"/>
  <c r="AS90" i="1"/>
  <c r="AV90" i="1"/>
  <c r="AS96" i="1"/>
  <c r="AV96" i="1"/>
  <c r="AV85" i="1"/>
  <c r="AS85" i="1"/>
  <c r="AV124" i="1"/>
  <c r="AS124" i="1"/>
  <c r="AV48" i="1"/>
  <c r="AS48" i="1"/>
  <c r="AV101" i="1"/>
  <c r="AS101" i="1"/>
  <c r="AV62" i="1"/>
  <c r="AS62" i="1"/>
  <c r="AV130" i="1"/>
  <c r="AS130" i="1"/>
  <c r="AV11" i="1"/>
  <c r="AS11" i="1"/>
  <c r="AS70" i="1"/>
  <c r="AV70" i="1"/>
  <c r="AV145" i="1"/>
  <c r="AS145" i="1"/>
  <c r="AV43" i="1"/>
  <c r="AS43" i="1"/>
  <c r="AV151" i="1"/>
  <c r="AS151" i="1"/>
  <c r="AV30" i="1"/>
  <c r="AS30" i="1"/>
  <c r="AS71" i="1"/>
  <c r="AV71" i="1"/>
  <c r="AV132" i="1"/>
  <c r="AS132" i="1"/>
  <c r="AV153" i="1"/>
  <c r="AS153" i="1"/>
  <c r="AS13" i="1"/>
  <c r="AV13" i="1"/>
  <c r="AV111" i="1"/>
  <c r="AS111" i="1"/>
  <c r="AV64" i="1"/>
  <c r="AS64" i="1"/>
  <c r="AW43" i="1" l="1"/>
  <c r="AD43" i="1"/>
  <c r="AD149" i="1"/>
  <c r="AW149" i="1"/>
  <c r="AW125" i="1"/>
  <c r="AD125" i="1" s="1"/>
  <c r="AW112" i="1"/>
  <c r="AD112" i="1"/>
  <c r="AW40" i="1"/>
  <c r="AD40" i="1"/>
  <c r="AW74" i="1"/>
  <c r="AD74" i="1"/>
  <c r="AW41" i="1"/>
  <c r="AD41" i="1"/>
  <c r="AW121" i="1"/>
  <c r="AD121" i="1"/>
  <c r="AW113" i="1"/>
  <c r="AD113" i="1"/>
  <c r="AW150" i="1"/>
  <c r="AD150" i="1"/>
  <c r="AW38" i="1"/>
  <c r="AD38" i="1"/>
  <c r="AW80" i="1"/>
  <c r="AD80" i="1"/>
  <c r="AW127" i="1"/>
  <c r="AD127" i="1" s="1"/>
  <c r="AW140" i="1"/>
  <c r="AD140" i="1" s="1"/>
  <c r="AW45" i="1"/>
  <c r="AD45" i="1" s="1"/>
  <c r="AW122" i="1"/>
  <c r="AD122" i="1"/>
  <c r="AW72" i="1"/>
  <c r="AD72" i="1"/>
  <c r="AW35" i="1"/>
  <c r="AD35" i="1" s="1"/>
  <c r="AW57" i="1"/>
  <c r="AD57" i="1" s="1"/>
  <c r="AW130" i="1"/>
  <c r="AD130" i="1"/>
  <c r="AW77" i="1"/>
  <c r="AD77" i="1" s="1"/>
  <c r="AW15" i="1"/>
  <c r="AD15" i="1"/>
  <c r="AW99" i="1"/>
  <c r="AD99" i="1"/>
  <c r="AW36" i="1"/>
  <c r="AD36" i="1"/>
  <c r="AW67" i="1"/>
  <c r="AD67" i="1"/>
  <c r="AW92" i="1"/>
  <c r="AD92" i="1"/>
  <c r="AW83" i="1"/>
  <c r="AD83" i="1"/>
  <c r="AW156" i="1"/>
  <c r="AD156" i="1"/>
  <c r="AW144" i="1"/>
  <c r="AD144" i="1"/>
  <c r="AW81" i="1"/>
  <c r="AD81" i="1" s="1"/>
  <c r="AW146" i="1"/>
  <c r="AD146" i="1" s="1"/>
  <c r="AW69" i="1"/>
  <c r="AD69" i="1" s="1"/>
  <c r="AW91" i="1"/>
  <c r="AD91" i="1"/>
  <c r="AW73" i="1"/>
  <c r="AD73" i="1" s="1"/>
  <c r="AW63" i="1"/>
  <c r="AD63" i="1"/>
  <c r="AW126" i="1"/>
  <c r="AD126" i="1"/>
  <c r="AW154" i="1"/>
  <c r="AD154" i="1" s="1"/>
  <c r="AW61" i="1"/>
  <c r="AD61" i="1" s="1"/>
  <c r="AW106" i="1"/>
  <c r="AD106" i="1"/>
  <c r="AW60" i="1"/>
  <c r="AD60" i="1"/>
  <c r="AW139" i="1"/>
  <c r="AD139" i="1"/>
  <c r="AW96" i="1"/>
  <c r="AD96" i="1"/>
  <c r="AW8" i="1"/>
  <c r="AD8" i="1"/>
  <c r="AW68" i="1"/>
  <c r="AD68" i="1"/>
  <c r="AW135" i="1"/>
  <c r="AD135" i="1" s="1"/>
  <c r="AW157" i="1"/>
  <c r="AD157" i="1" s="1"/>
  <c r="AW66" i="1"/>
  <c r="AD66" i="1"/>
  <c r="AW25" i="1"/>
  <c r="AD25" i="1" s="1"/>
  <c r="AW155" i="1"/>
  <c r="AD155" i="1"/>
  <c r="AW44" i="1"/>
  <c r="AD44" i="1"/>
  <c r="AW86" i="1"/>
  <c r="AD86" i="1"/>
  <c r="AW94" i="1"/>
  <c r="AD94" i="1"/>
  <c r="AW47" i="1"/>
  <c r="AD47" i="1"/>
  <c r="AW37" i="1"/>
  <c r="AD37" i="1" s="1"/>
  <c r="AW114" i="1"/>
  <c r="AD114" i="1"/>
  <c r="AW39" i="1"/>
  <c r="AD39" i="1" s="1"/>
  <c r="AW151" i="1"/>
  <c r="AD151" i="1" s="1"/>
  <c r="AW18" i="1"/>
  <c r="AD18" i="1" s="1"/>
  <c r="AW82" i="1"/>
  <c r="AD82" i="1" s="1"/>
  <c r="AW142" i="1"/>
  <c r="AD142" i="1" s="1"/>
  <c r="AW119" i="1"/>
  <c r="AD119" i="1"/>
  <c r="AW20" i="1"/>
  <c r="AD20" i="1" s="1"/>
  <c r="AW131" i="1"/>
  <c r="AD131" i="1"/>
  <c r="AW118" i="1"/>
  <c r="AD118" i="1"/>
  <c r="AW152" i="1"/>
  <c r="AD152" i="1"/>
  <c r="AW50" i="1"/>
  <c r="AD50" i="1" s="1"/>
  <c r="AW46" i="1"/>
  <c r="AD46" i="1"/>
  <c r="AW101" i="1"/>
  <c r="AD101" i="1" s="1"/>
  <c r="AW27" i="1"/>
  <c r="AD27" i="1"/>
  <c r="Y162" i="1"/>
  <c r="AW7" i="1"/>
  <c r="AD7" i="1" s="1"/>
  <c r="AW107" i="1"/>
  <c r="AD107" i="1"/>
  <c r="AW133" i="1"/>
  <c r="AD133" i="1" s="1"/>
  <c r="AW124" i="1"/>
  <c r="AD124" i="1" s="1"/>
  <c r="AW54" i="1"/>
  <c r="AD54" i="1"/>
  <c r="AW23" i="1"/>
  <c r="AD23" i="1"/>
  <c r="AW85" i="1"/>
  <c r="AD85" i="1" s="1"/>
  <c r="AW26" i="1"/>
  <c r="AD26" i="1" s="1"/>
  <c r="AW115" i="1"/>
  <c r="AD115" i="1"/>
  <c r="AW21" i="1"/>
  <c r="AD21" i="1" s="1"/>
  <c r="AW10" i="1"/>
  <c r="AD10" i="1" s="1"/>
  <c r="AW28" i="1"/>
  <c r="AD28" i="1"/>
  <c r="AW9" i="1"/>
  <c r="AD9" i="1"/>
  <c r="AW29" i="1"/>
  <c r="AD29" i="1" s="1"/>
  <c r="AW71" i="1"/>
  <c r="AD71" i="1"/>
  <c r="AW147" i="1"/>
  <c r="AD147" i="1"/>
  <c r="AW117" i="1"/>
  <c r="AD117" i="1" s="1"/>
  <c r="AW42" i="1"/>
  <c r="AD42" i="1"/>
  <c r="AW136" i="1"/>
  <c r="AD136" i="1"/>
  <c r="AW116" i="1"/>
  <c r="AD116" i="1"/>
  <c r="AW137" i="1"/>
  <c r="AD137" i="1"/>
  <c r="AW102" i="1"/>
  <c r="AD102" i="1"/>
  <c r="AW78" i="1"/>
  <c r="AD78" i="1"/>
  <c r="AW75" i="1"/>
  <c r="AD75" i="1"/>
  <c r="AW93" i="1"/>
  <c r="AD93" i="1" s="1"/>
  <c r="AW59" i="1"/>
  <c r="AD59" i="1" s="1"/>
  <c r="AW111" i="1"/>
  <c r="AD111" i="1" s="1"/>
  <c r="AW13" i="1"/>
  <c r="AD13" i="1" s="1"/>
  <c r="AW79" i="1"/>
  <c r="AD79" i="1"/>
  <c r="AW52" i="1"/>
  <c r="AD52" i="1"/>
  <c r="AW90" i="1"/>
  <c r="AD90" i="1" s="1"/>
  <c r="AW153" i="1"/>
  <c r="AD153" i="1"/>
  <c r="AW123" i="1"/>
  <c r="AD123" i="1"/>
  <c r="AW109" i="1"/>
  <c r="AD109" i="1" s="1"/>
  <c r="AW148" i="1"/>
  <c r="AD148" i="1"/>
  <c r="AW132" i="1"/>
  <c r="AD132" i="1"/>
  <c r="AW34" i="1"/>
  <c r="AD34" i="1"/>
  <c r="AW134" i="1"/>
  <c r="AD134" i="1" s="1"/>
  <c r="AW143" i="1"/>
  <c r="AD143" i="1" s="1"/>
  <c r="AW30" i="1"/>
  <c r="AD30" i="1" s="1"/>
  <c r="AW53" i="1"/>
  <c r="AD53" i="1" s="1"/>
  <c r="AW22" i="1"/>
  <c r="AD22" i="1" s="1"/>
  <c r="AW49" i="1"/>
  <c r="AD49" i="1"/>
  <c r="AW14" i="1"/>
  <c r="AD14" i="1"/>
  <c r="AW19" i="1"/>
  <c r="AD19" i="1"/>
  <c r="AW120" i="1"/>
  <c r="AD120" i="1"/>
  <c r="AW88" i="1"/>
  <c r="AD88" i="1"/>
  <c r="AW89" i="1"/>
  <c r="AD89" i="1"/>
  <c r="AW31" i="1"/>
  <c r="AD31" i="1"/>
  <c r="AW95" i="1"/>
  <c r="AD95" i="1"/>
  <c r="AW145" i="1"/>
  <c r="AD145" i="1"/>
  <c r="AW12" i="1"/>
  <c r="AD12" i="1"/>
  <c r="AW70" i="1"/>
  <c r="AD70" i="1"/>
  <c r="AW33" i="1"/>
  <c r="AD33" i="1"/>
  <c r="AW129" i="1"/>
  <c r="AD129" i="1"/>
  <c r="AW11" i="1"/>
  <c r="AD11" i="1"/>
  <c r="AW56" i="1"/>
  <c r="AD56" i="1"/>
  <c r="AW65" i="1"/>
  <c r="AD65" i="1" s="1"/>
  <c r="AW62" i="1"/>
  <c r="AD62" i="1"/>
  <c r="AW141" i="1"/>
  <c r="AD141" i="1" s="1"/>
  <c r="AW138" i="1"/>
  <c r="AD138" i="1"/>
  <c r="AW16" i="1"/>
  <c r="AD16" i="1"/>
  <c r="AW76" i="1"/>
  <c r="AD76" i="1"/>
  <c r="AW48" i="1"/>
  <c r="AD48" i="1"/>
  <c r="AW105" i="1"/>
  <c r="AD105" i="1"/>
  <c r="AW84" i="1"/>
  <c r="AD84" i="1"/>
  <c r="AW64" i="1"/>
  <c r="AD64" i="1"/>
  <c r="AW97" i="1"/>
  <c r="AD97" i="1"/>
  <c r="AW110" i="1"/>
  <c r="AD110" i="1"/>
  <c r="AW17" i="1"/>
  <c r="AD17" i="1" s="1"/>
  <c r="AW98" i="1"/>
  <c r="AD98" i="1"/>
  <c r="AW103" i="1"/>
  <c r="AD103" i="1" s="1"/>
  <c r="AW100" i="1"/>
  <c r="AD100" i="1" s="1"/>
  <c r="AW87" i="1"/>
  <c r="AD87" i="1" s="1"/>
  <c r="AW51" i="1"/>
  <c r="AD51" i="1"/>
  <c r="AW104" i="1"/>
  <c r="AD104" i="1"/>
  <c r="AW55" i="1"/>
  <c r="AD55" i="1"/>
  <c r="AW58" i="1"/>
  <c r="AD58" i="1"/>
  <c r="AW32" i="1"/>
  <c r="AD32" i="1"/>
  <c r="AW108" i="1"/>
  <c r="AD108" i="1"/>
  <c r="AW128" i="1"/>
  <c r="AD128" i="1"/>
  <c r="AW24" i="1"/>
  <c r="AD24" i="1"/>
  <c r="AT18" i="1" l="1"/>
  <c r="AU18" i="1"/>
  <c r="AU21" i="1"/>
  <c r="AT21" i="1"/>
  <c r="AT61" i="1"/>
  <c r="AU61" i="1" s="1"/>
  <c r="AT111" i="1"/>
  <c r="AU111" i="1" s="1"/>
  <c r="AT37" i="1"/>
  <c r="AU37" i="1" s="1"/>
  <c r="AT140" i="1"/>
  <c r="AU140" i="1"/>
  <c r="AT154" i="1"/>
  <c r="AU154" i="1"/>
  <c r="AT151" i="1"/>
  <c r="AU151" i="1"/>
  <c r="AT13" i="1"/>
  <c r="AU13" i="1" s="1"/>
  <c r="AT85" i="1"/>
  <c r="AU85" i="1"/>
  <c r="AU59" i="1"/>
  <c r="AT59" i="1"/>
  <c r="AT45" i="1"/>
  <c r="AU45" i="1" s="1"/>
  <c r="AT133" i="1"/>
  <c r="AU133" i="1" s="1"/>
  <c r="AT22" i="1"/>
  <c r="AU22" i="1" s="1"/>
  <c r="AT53" i="1"/>
  <c r="AU53" i="1" s="1"/>
  <c r="AT25" i="1"/>
  <c r="AU25" i="1"/>
  <c r="AT143" i="1"/>
  <c r="AU143" i="1"/>
  <c r="AU50" i="1"/>
  <c r="AT50" i="1"/>
  <c r="AT29" i="1"/>
  <c r="AU29" i="1" s="1"/>
  <c r="AT77" i="1"/>
  <c r="AU77" i="1" s="1"/>
  <c r="AT57" i="1"/>
  <c r="AU57" i="1" s="1"/>
  <c r="AT39" i="1"/>
  <c r="AU39" i="1"/>
  <c r="AT73" i="1"/>
  <c r="AU73" i="1" s="1"/>
  <c r="AT124" i="1"/>
  <c r="AU124" i="1" s="1"/>
  <c r="AT141" i="1"/>
  <c r="AU141" i="1" s="1"/>
  <c r="AT7" i="1"/>
  <c r="AU7" i="1"/>
  <c r="AT30" i="1"/>
  <c r="AU30" i="1" s="1"/>
  <c r="AT157" i="1"/>
  <c r="AU157" i="1" s="1"/>
  <c r="AT87" i="1"/>
  <c r="AU87" i="1"/>
  <c r="AT117" i="1"/>
  <c r="AU117" i="1" s="1"/>
  <c r="AT17" i="1"/>
  <c r="AU17" i="1"/>
  <c r="AT90" i="1"/>
  <c r="AU90" i="1" s="1"/>
  <c r="AT142" i="1"/>
  <c r="AU142" i="1"/>
  <c r="AT35" i="1"/>
  <c r="AU35" i="1" s="1"/>
  <c r="AT26" i="1"/>
  <c r="AU26" i="1"/>
  <c r="AT93" i="1"/>
  <c r="AU93" i="1" s="1"/>
  <c r="AT127" i="1"/>
  <c r="AU127" i="1" s="1"/>
  <c r="AT69" i="1"/>
  <c r="AU69" i="1"/>
  <c r="AT146" i="1"/>
  <c r="AU146" i="1"/>
  <c r="AT81" i="1"/>
  <c r="AU81" i="1" s="1"/>
  <c r="AT65" i="1"/>
  <c r="AU65" i="1" s="1"/>
  <c r="AT101" i="1"/>
  <c r="AU101" i="1" s="1"/>
  <c r="AT134" i="1"/>
  <c r="AU134" i="1" s="1"/>
  <c r="AT135" i="1"/>
  <c r="AU135" i="1"/>
  <c r="AT100" i="1"/>
  <c r="AU100" i="1" s="1"/>
  <c r="AT103" i="1"/>
  <c r="AU103" i="1"/>
  <c r="AT109" i="1"/>
  <c r="AU109" i="1" s="1"/>
  <c r="AT20" i="1"/>
  <c r="AU20" i="1" s="1"/>
  <c r="AT125" i="1"/>
  <c r="AU125" i="1" s="1"/>
  <c r="AU10" i="1"/>
  <c r="AT10" i="1"/>
  <c r="AT82" i="1"/>
  <c r="AU82" i="1"/>
  <c r="AT122" i="1"/>
  <c r="AU122" i="1"/>
  <c r="AT33" i="1"/>
  <c r="AU33" i="1" s="1"/>
  <c r="AT80" i="1"/>
  <c r="AU80" i="1" s="1"/>
  <c r="AT83" i="1"/>
  <c r="AU83" i="1"/>
  <c r="AT150" i="1"/>
  <c r="AU150" i="1" s="1"/>
  <c r="AT41" i="1"/>
  <c r="AU41" i="1"/>
  <c r="AT66" i="1"/>
  <c r="AU66" i="1"/>
  <c r="AT11" i="1"/>
  <c r="AU11" i="1"/>
  <c r="AT129" i="1"/>
  <c r="AU129" i="1" s="1"/>
  <c r="AT144" i="1"/>
  <c r="AU144" i="1"/>
  <c r="AT156" i="1"/>
  <c r="AU156" i="1" s="1"/>
  <c r="AT110" i="1"/>
  <c r="AU110" i="1" s="1"/>
  <c r="AT23" i="1"/>
  <c r="AU23" i="1"/>
  <c r="AT8" i="1"/>
  <c r="AU8" i="1" s="1"/>
  <c r="AT97" i="1"/>
  <c r="AU97" i="1" s="1"/>
  <c r="AT92" i="1"/>
  <c r="AU92" i="1" s="1"/>
  <c r="AT148" i="1"/>
  <c r="AU148" i="1"/>
  <c r="AT67" i="1"/>
  <c r="AU67" i="1" s="1"/>
  <c r="AT95" i="1"/>
  <c r="AU95" i="1"/>
  <c r="AT121" i="1"/>
  <c r="AU121" i="1"/>
  <c r="AT123" i="1"/>
  <c r="AU123" i="1" s="1"/>
  <c r="AT89" i="1"/>
  <c r="AU89" i="1" s="1"/>
  <c r="AT74" i="1"/>
  <c r="AU74" i="1" s="1"/>
  <c r="AT32" i="1"/>
  <c r="AU32" i="1" s="1"/>
  <c r="AT76" i="1"/>
  <c r="AU76" i="1" s="1"/>
  <c r="AT88" i="1"/>
  <c r="AU88" i="1"/>
  <c r="AT147" i="1"/>
  <c r="AU147" i="1" s="1"/>
  <c r="AT27" i="1"/>
  <c r="AU27" i="1" s="1"/>
  <c r="AT58" i="1"/>
  <c r="AU58" i="1"/>
  <c r="AT71" i="1"/>
  <c r="AU71" i="1"/>
  <c r="AU112" i="1"/>
  <c r="AT112" i="1"/>
  <c r="AT55" i="1"/>
  <c r="AU55" i="1"/>
  <c r="AT19" i="1"/>
  <c r="AU19" i="1"/>
  <c r="AT79" i="1"/>
  <c r="AU79" i="1" s="1"/>
  <c r="AT44" i="1"/>
  <c r="AU44" i="1"/>
  <c r="AT119" i="1"/>
  <c r="AU119" i="1"/>
  <c r="AT68" i="1"/>
  <c r="AU68" i="1" s="1"/>
  <c r="AT102" i="1"/>
  <c r="AU102" i="1"/>
  <c r="AT137" i="1"/>
  <c r="AU137" i="1" s="1"/>
  <c r="AT96" i="1"/>
  <c r="AU96" i="1" s="1"/>
  <c r="AT64" i="1"/>
  <c r="AU64" i="1" s="1"/>
  <c r="AT113" i="1"/>
  <c r="AU113" i="1" s="1"/>
  <c r="AT24" i="1"/>
  <c r="AU24" i="1" s="1"/>
  <c r="AT84" i="1"/>
  <c r="AU84" i="1" s="1"/>
  <c r="AT36" i="1"/>
  <c r="AU36" i="1" s="1"/>
  <c r="AT31" i="1"/>
  <c r="AU31" i="1"/>
  <c r="AT107" i="1"/>
  <c r="AU107" i="1" s="1"/>
  <c r="AT106" i="1"/>
  <c r="AU106" i="1" s="1"/>
  <c r="AT108" i="1"/>
  <c r="AU108" i="1" s="1"/>
  <c r="AT47" i="1"/>
  <c r="AU47" i="1"/>
  <c r="AT118" i="1"/>
  <c r="AU118" i="1"/>
  <c r="AT56" i="1"/>
  <c r="AU56" i="1"/>
  <c r="AT131" i="1"/>
  <c r="AU131" i="1"/>
  <c r="AT115" i="1"/>
  <c r="AU115" i="1"/>
  <c r="AT98" i="1"/>
  <c r="AU98" i="1" s="1"/>
  <c r="AT78" i="1"/>
  <c r="AU78" i="1" s="1"/>
  <c r="AT34" i="1"/>
  <c r="AU34" i="1"/>
  <c r="AT132" i="1"/>
  <c r="AU132" i="1" s="1"/>
  <c r="AT145" i="1"/>
  <c r="AU145" i="1"/>
  <c r="AT139" i="1"/>
  <c r="AU139" i="1"/>
  <c r="AT136" i="1"/>
  <c r="AU136" i="1" s="1"/>
  <c r="AT60" i="1"/>
  <c r="AU60" i="1" s="1"/>
  <c r="AT128" i="1"/>
  <c r="AU128" i="1" s="1"/>
  <c r="AT42" i="1"/>
  <c r="AU42" i="1"/>
  <c r="AT99" i="1"/>
  <c r="AU99" i="1"/>
  <c r="AT153" i="1"/>
  <c r="AU153" i="1"/>
  <c r="AT15" i="1"/>
  <c r="AU15" i="1"/>
  <c r="AT40" i="1"/>
  <c r="AU40" i="1"/>
  <c r="AT16" i="1"/>
  <c r="AU16" i="1"/>
  <c r="AT120" i="1"/>
  <c r="AU120" i="1"/>
  <c r="AT94" i="1"/>
  <c r="AU94" i="1" s="1"/>
  <c r="AT130" i="1"/>
  <c r="AU130" i="1" s="1"/>
  <c r="AT86" i="1"/>
  <c r="AU86" i="1"/>
  <c r="AT63" i="1"/>
  <c r="AU63" i="1"/>
  <c r="AT104" i="1"/>
  <c r="AU104" i="1"/>
  <c r="AT14" i="1"/>
  <c r="AU14" i="1" s="1"/>
  <c r="AT9" i="1"/>
  <c r="AU9" i="1" s="1"/>
  <c r="AT62" i="1"/>
  <c r="AU62" i="1" s="1"/>
  <c r="AT28" i="1"/>
  <c r="AU28" i="1" s="1"/>
  <c r="AT149" i="1"/>
  <c r="AU149" i="1"/>
  <c r="AT152" i="1"/>
  <c r="AU152" i="1" s="1"/>
  <c r="AT155" i="1"/>
  <c r="AU155" i="1" s="1"/>
  <c r="AT91" i="1"/>
  <c r="AU91" i="1" s="1"/>
  <c r="AT72" i="1"/>
  <c r="AU72" i="1" s="1"/>
  <c r="AT43" i="1"/>
  <c r="AU43" i="1"/>
  <c r="AT75" i="1"/>
  <c r="AU75" i="1"/>
  <c r="AT70" i="1"/>
  <c r="AU70" i="1" s="1"/>
  <c r="AT38" i="1"/>
  <c r="AU38" i="1"/>
  <c r="AT12" i="1"/>
  <c r="AU12" i="1"/>
  <c r="AT54" i="1"/>
  <c r="AU54" i="1" s="1"/>
  <c r="AT116" i="1"/>
  <c r="AU116" i="1" s="1"/>
  <c r="AT105" i="1"/>
  <c r="AU105" i="1"/>
  <c r="AT114" i="1"/>
  <c r="AU114" i="1"/>
  <c r="AT48" i="1"/>
  <c r="AU48" i="1"/>
  <c r="AT52" i="1"/>
  <c r="AU52" i="1" s="1"/>
  <c r="AT126" i="1"/>
  <c r="AU126" i="1" s="1"/>
  <c r="AT138" i="1"/>
  <c r="AU138" i="1" s="1"/>
  <c r="AT46" i="1"/>
  <c r="AU46" i="1"/>
  <c r="AT51" i="1"/>
  <c r="AU51" i="1"/>
  <c r="AT49" i="1"/>
  <c r="AU49" i="1"/>
  <c r="Y164" i="1" l="1"/>
  <c r="Y163" i="1"/>
  <c r="AD160" i="1" s="1"/>
  <c r="AD167" i="1" l="1"/>
  <c r="AB161" i="1" s="1"/>
  <c r="AD164" i="1"/>
  <c r="AB162" i="1"/>
  <c r="AB164" i="1"/>
  <c r="Y16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X5" authorId="0" shapeId="0" xr:uid="{C92C2534-40AD-F54C-BC15-F498771DDC48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Q6" authorId="0" shapeId="0" xr:uid="{EB391640-D519-5346-B9A1-023774C8E88D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BC6" authorId="0" shapeId="0" xr:uid="{05F14FFC-0666-8046-B634-3EC67F0D5EBA}">
      <text>
        <r>
          <rPr>
            <b/>
            <sz val="10"/>
            <color rgb="FF000000"/>
            <rFont val="Tahoma"/>
            <family val="2"/>
          </rPr>
          <t>$1.5 per ft2 base labor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BH6" authorId="0" shapeId="0" xr:uid="{CFF45D03-1E49-3649-9EA7-02F6265367EC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  <comment ref="BJ6" authorId="0" shapeId="0" xr:uid="{563FB8D7-9389-924A-BDCF-266D9488CAF2}">
      <text>
        <r>
          <rPr>
            <sz val="10"/>
            <color rgb="FF000000"/>
            <rFont val="Tahoma"/>
            <family val="2"/>
          </rPr>
          <t>$1 per ft2 base labor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<sst xmlns="http://schemas.openxmlformats.org/spreadsheetml/2006/main" count="725" uniqueCount="396">
  <si>
    <t>Survey Date:</t>
  </si>
  <si>
    <t>Rep:</t>
  </si>
  <si>
    <t>Job Name:</t>
  </si>
  <si>
    <t>Contact:</t>
  </si>
  <si>
    <t>Motivation:</t>
  </si>
  <si>
    <t>After Hours Labor</t>
  </si>
  <si>
    <t>PW Labor</t>
  </si>
  <si>
    <t>PW Office $</t>
  </si>
  <si>
    <t>Add Travel (Hours):</t>
  </si>
  <si>
    <t>Line 
Total</t>
  </si>
  <si>
    <t>No</t>
  </si>
  <si>
    <t>Site Type:</t>
  </si>
  <si>
    <t>Condition:</t>
  </si>
  <si>
    <t>Glass:</t>
  </si>
  <si>
    <t>Gasket:</t>
  </si>
  <si>
    <t>Material Layout</t>
  </si>
  <si>
    <t>Frame:</t>
  </si>
  <si>
    <t>Max Height:</t>
  </si>
  <si>
    <t>Supplier Quote Equal Add $</t>
  </si>
  <si>
    <t>Source/Reason</t>
  </si>
  <si>
    <t>Eq Time Add (Hours)</t>
  </si>
  <si>
    <t>Reason</t>
  </si>
  <si>
    <t>Location</t>
  </si>
  <si>
    <t>Area</t>
  </si>
  <si>
    <t>Facing</t>
  </si>
  <si>
    <t>Type</t>
  </si>
  <si>
    <t>Removal</t>
  </si>
  <si>
    <t>w</t>
  </si>
  <si>
    <t>h</t>
  </si>
  <si>
    <t>Pane qty</t>
  </si>
  <si>
    <t>Waste %:</t>
  </si>
  <si>
    <t>Film Type</t>
  </si>
  <si>
    <t>Per Plan/Spec?</t>
  </si>
  <si>
    <t>Notes</t>
  </si>
  <si>
    <t>ft2 Film Net $</t>
  </si>
  <si>
    <t>Install</t>
  </si>
  <si>
    <t>Time Add (Minutes)</t>
  </si>
  <si>
    <t>Install ft2</t>
  </si>
  <si>
    <t>roll w</t>
  </si>
  <si>
    <t>slit w</t>
  </si>
  <si>
    <t>pull lth</t>
  </si>
  <si>
    <t>pull x's</t>
  </si>
  <si>
    <t>Material ft2</t>
  </si>
  <si>
    <t>Perimeter LF</t>
  </si>
  <si>
    <t>avg labor $ p/hour for pricing</t>
  </si>
  <si>
    <t>base material $</t>
  </si>
  <si>
    <t>equal material $</t>
  </si>
  <si>
    <t>base labor $</t>
  </si>
  <si>
    <t>lab/trav add $</t>
  </si>
  <si>
    <t>after hours install $</t>
  </si>
  <si>
    <t>pw labor $</t>
  </si>
  <si>
    <t>ops oh $</t>
  </si>
  <si>
    <t>sales oh $</t>
  </si>
  <si>
    <t>profit  $</t>
  </si>
  <si>
    <t>DJC</t>
  </si>
  <si>
    <t>Markup $</t>
  </si>
  <si>
    <t>install ft2</t>
  </si>
  <si>
    <t>base install $ p/ft2</t>
  </si>
  <si>
    <t>install multiplyer</t>
  </si>
  <si>
    <t>final install $ p/ft</t>
  </si>
  <si>
    <t>install $</t>
  </si>
  <si>
    <t>install panes</t>
  </si>
  <si>
    <t>line add $</t>
  </si>
  <si>
    <t>install time (hours)</t>
  </si>
  <si>
    <t>removal ft2</t>
  </si>
  <si>
    <t>removal time (hours)</t>
  </si>
  <si>
    <t>removal $ p/ft</t>
  </si>
  <si>
    <t>rem $</t>
  </si>
  <si>
    <t>rem panes</t>
  </si>
  <si>
    <t>Motivation</t>
  </si>
  <si>
    <t>Site Type</t>
  </si>
  <si>
    <t>Status</t>
  </si>
  <si>
    <t>Glass</t>
  </si>
  <si>
    <t>Gasket</t>
  </si>
  <si>
    <t>Frame</t>
  </si>
  <si>
    <t>Max Height</t>
  </si>
  <si>
    <t>Exposure</t>
  </si>
  <si>
    <t>Window Type</t>
  </si>
  <si>
    <t>Additonal Hours</t>
  </si>
  <si>
    <t>Additional Minutes</t>
  </si>
  <si>
    <t>$ multiplier</t>
  </si>
  <si>
    <t>Removal $</t>
  </si>
  <si>
    <t>Labor Time Add</t>
  </si>
  <si>
    <t>Question</t>
  </si>
  <si>
    <t>PW</t>
  </si>
  <si>
    <t>Standard</t>
  </si>
  <si>
    <t>Heat</t>
  </si>
  <si>
    <t xml:space="preserve">Office </t>
  </si>
  <si>
    <t>Occupied</t>
  </si>
  <si>
    <t>SP Clear</t>
  </si>
  <si>
    <t>Rubber - Hard</t>
  </si>
  <si>
    <t>Aluminum</t>
  </si>
  <si>
    <t>7'</t>
  </si>
  <si>
    <t>N</t>
  </si>
  <si>
    <t>p</t>
  </si>
  <si>
    <t>Yes</t>
  </si>
  <si>
    <t>None</t>
  </si>
  <si>
    <t>Easy</t>
  </si>
  <si>
    <t>10 min</t>
  </si>
  <si>
    <t>TBD</t>
  </si>
  <si>
    <t>Fading</t>
  </si>
  <si>
    <t>Lab</t>
  </si>
  <si>
    <t>Unoccupied</t>
  </si>
  <si>
    <t>SP Tinted</t>
  </si>
  <si>
    <t>Rubber - Soft</t>
  </si>
  <si>
    <t>Vinyl</t>
  </si>
  <si>
    <t>8'</t>
  </si>
  <si>
    <t>NW</t>
  </si>
  <si>
    <t>sp</t>
  </si>
  <si>
    <t>15 min</t>
  </si>
  <si>
    <t>Riverside/San B/Orange</t>
  </si>
  <si>
    <t>avg overhead $ p/hour</t>
  </si>
  <si>
    <t>Glare</t>
  </si>
  <si>
    <t>Construction Site</t>
  </si>
  <si>
    <t>Furnished</t>
  </si>
  <si>
    <t>DP Clear</t>
  </si>
  <si>
    <t>Silicone</t>
  </si>
  <si>
    <t>Wood</t>
  </si>
  <si>
    <t>9'</t>
  </si>
  <si>
    <t>W</t>
  </si>
  <si>
    <t>sh</t>
  </si>
  <si>
    <t>Hard</t>
  </si>
  <si>
    <t>20 min</t>
  </si>
  <si>
    <t>San Diego</t>
  </si>
  <si>
    <t>removal only</t>
  </si>
  <si>
    <t>Privacy</t>
  </si>
  <si>
    <t>Warehouse</t>
  </si>
  <si>
    <t>DP Tinted</t>
  </si>
  <si>
    <t>Foam</t>
  </si>
  <si>
    <t>Drywall</t>
  </si>
  <si>
    <t>10'</t>
  </si>
  <si>
    <t>SW</t>
  </si>
  <si>
    <t>xo</t>
  </si>
  <si>
    <t>Extreme (2x Normal)</t>
  </si>
  <si>
    <t>30 min</t>
  </si>
  <si>
    <t>Saturday PW</t>
  </si>
  <si>
    <t>Decorative</t>
  </si>
  <si>
    <t>Residence</t>
  </si>
  <si>
    <t>DP Low E</t>
  </si>
  <si>
    <t>Putty</t>
  </si>
  <si>
    <t>Frameless</t>
  </si>
  <si>
    <t>11'</t>
  </si>
  <si>
    <t>S</t>
  </si>
  <si>
    <t>xox</t>
  </si>
  <si>
    <t>From Tall Ladder/Scaffold</t>
  </si>
  <si>
    <t>45 min</t>
  </si>
  <si>
    <t>pw labor $ p/hour</t>
  </si>
  <si>
    <t>TI</t>
  </si>
  <si>
    <t>Public Area</t>
  </si>
  <si>
    <t>Divided</t>
  </si>
  <si>
    <t>12'</t>
  </si>
  <si>
    <t>SE</t>
  </si>
  <si>
    <t>case</t>
  </si>
  <si>
    <t>60 min</t>
  </si>
  <si>
    <t>Repair</t>
  </si>
  <si>
    <t>Retail</t>
  </si>
  <si>
    <t>13'</t>
  </si>
  <si>
    <t>E</t>
  </si>
  <si>
    <t>sd</t>
  </si>
  <si>
    <t>Remove/Replace</t>
  </si>
  <si>
    <t>14'</t>
  </si>
  <si>
    <t>NE</t>
  </si>
  <si>
    <t>door</t>
  </si>
  <si>
    <t>shop overhead $ p/hour</t>
  </si>
  <si>
    <t>Safety/Security</t>
  </si>
  <si>
    <t>15'</t>
  </si>
  <si>
    <t>sdlt</t>
  </si>
  <si>
    <t>16'</t>
  </si>
  <si>
    <t>tran</t>
  </si>
  <si>
    <t>17'</t>
  </si>
  <si>
    <t>pup</t>
  </si>
  <si>
    <t>18'</t>
  </si>
  <si>
    <t xml:space="preserve">sky </t>
  </si>
  <si>
    <t>19'</t>
  </si>
  <si>
    <t>3M-RE20</t>
  </si>
  <si>
    <t>20'</t>
  </si>
  <si>
    <t>3M-RE35</t>
  </si>
  <si>
    <t>21'</t>
  </si>
  <si>
    <t>3M-RE50</t>
  </si>
  <si>
    <t>22'</t>
  </si>
  <si>
    <t>3M-RE70</t>
  </si>
  <si>
    <t>23'</t>
  </si>
  <si>
    <t>3M-Silver P-18</t>
  </si>
  <si>
    <t>24'</t>
  </si>
  <si>
    <t>3M-NV15</t>
  </si>
  <si>
    <t>25'</t>
  </si>
  <si>
    <t>3M-NV25</t>
  </si>
  <si>
    <t>26'</t>
  </si>
  <si>
    <t>3M-NV35</t>
  </si>
  <si>
    <t>27'</t>
  </si>
  <si>
    <t>3M-CA35</t>
  </si>
  <si>
    <t>28'</t>
  </si>
  <si>
    <t>3M-CA45</t>
  </si>
  <si>
    <t>29'</t>
  </si>
  <si>
    <t>3M-CA60</t>
  </si>
  <si>
    <t>30'</t>
  </si>
  <si>
    <t>3M-CA80</t>
  </si>
  <si>
    <t>3M-PR20</t>
  </si>
  <si>
    <t>3M-PR40</t>
  </si>
  <si>
    <t>3M-PR50</t>
  </si>
  <si>
    <t>3M-PR60</t>
  </si>
  <si>
    <t>3M-PR70</t>
  </si>
  <si>
    <t>3M-EXTERIOR PRX40</t>
  </si>
  <si>
    <t>3M-EXTERIOR PRX70</t>
  </si>
  <si>
    <t>3M-EXTERIOR PRX90</t>
  </si>
  <si>
    <t>3M-AFF15</t>
  </si>
  <si>
    <t>3M-AFF30</t>
  </si>
  <si>
    <t>3M-Ultra NV S25</t>
  </si>
  <si>
    <t>3M-Ultra PR50</t>
  </si>
  <si>
    <t>3M-Ultra PR70</t>
  </si>
  <si>
    <t>3M-Ultra S800</t>
  </si>
  <si>
    <t>3M-S70 Ext</t>
  </si>
  <si>
    <t>3M-S70</t>
  </si>
  <si>
    <t>3M-S80</t>
  </si>
  <si>
    <t>3M-AG6</t>
  </si>
  <si>
    <t>3M-Privacy Matte</t>
  </si>
  <si>
    <t>3M-Privacy Mirror</t>
  </si>
  <si>
    <t>3M-SH2FNCR Fine Cystal</t>
  </si>
  <si>
    <t>3M-SH2MACR-I Mat Crystal I</t>
  </si>
  <si>
    <t>3M-SH2MACRX-2 Mat Crystal CRX2</t>
  </si>
  <si>
    <t>3M-SH2MAML Milano-Milky White</t>
  </si>
  <si>
    <t>3M-SH2MLCRX Milky Crystal</t>
  </si>
  <si>
    <t>3M-SH2BKOP Opaque Black</t>
  </si>
  <si>
    <t>3M-SH2MAOW Opaque White</t>
  </si>
  <si>
    <t>3M-SH2MAMM San Marino-Milky Milky</t>
  </si>
  <si>
    <t>3M-7725-314 Dusted Crystal</t>
  </si>
  <si>
    <t>3M-7725-324 Frosted Crystal</t>
  </si>
  <si>
    <t>3M-7725-10 White Electrocut</t>
  </si>
  <si>
    <t>3M-7725-12 Black Electrocut</t>
  </si>
  <si>
    <t>3M-3635-20 White Blockout Matte</t>
  </si>
  <si>
    <t>3M-3635-22B Black Blockout Matte</t>
  </si>
  <si>
    <t>AD-Dr Optitune 05i</t>
  </si>
  <si>
    <t>AD-Dr Optitune 15i</t>
  </si>
  <si>
    <t>AD-Dr Optitune 20i</t>
  </si>
  <si>
    <t>AD-Dr Optitune 30i</t>
  </si>
  <si>
    <t>AD-Dr Optitune 40i</t>
  </si>
  <si>
    <t>AD-NT Perlite CM 20i</t>
  </si>
  <si>
    <t>AD-NT Perlite CM 35i</t>
  </si>
  <si>
    <t>AD-NT Perlite CM 50i</t>
  </si>
  <si>
    <t>AD-NT Perlite CM 70i</t>
  </si>
  <si>
    <t>AD-Silver 20 i</t>
  </si>
  <si>
    <t>AD-Silver 35 i</t>
  </si>
  <si>
    <t>AD-NT Natura 05i</t>
  </si>
  <si>
    <t>AD-NT Natura 15i</t>
  </si>
  <si>
    <t>AD-NT Natura 30i</t>
  </si>
  <si>
    <t>AD-SP e-Lite 45i</t>
  </si>
  <si>
    <t>AD-SP e-Lite 70i</t>
  </si>
  <si>
    <t xml:space="preserve">AD-EXTERIOR DR Grey 10X </t>
  </si>
  <si>
    <t xml:space="preserve">AD-EXTERIOR DR Grey 20X </t>
  </si>
  <si>
    <t xml:space="preserve">AD-EXTERIOR DR Grey 35X </t>
  </si>
  <si>
    <t>AD-EXTERIOR Skylite 20 XTRM</t>
  </si>
  <si>
    <t>AD-DS Matte 2Mil i</t>
  </si>
  <si>
    <t>AD-DS Black i</t>
  </si>
  <si>
    <t>AD-DS White i</t>
  </si>
  <si>
    <t>AD-Dusted Crystal Matte</t>
  </si>
  <si>
    <t>AD-DS UV Filter i</t>
  </si>
  <si>
    <t>AD-SF Clear 4Mil (i/mod)</t>
  </si>
  <si>
    <t>AD-SF Clear 7Mil (i/mod)</t>
  </si>
  <si>
    <t>AD-SF Clear 8Mil i</t>
  </si>
  <si>
    <t>AD-AG 6Mil</t>
  </si>
  <si>
    <t>ST-ULVDS 70</t>
  </si>
  <si>
    <t>ST-ULVDS 50</t>
  </si>
  <si>
    <t>ST-ULVDS 40</t>
  </si>
  <si>
    <t>ST-SYDS 50</t>
  </si>
  <si>
    <t>ST-SYDS 35</t>
  </si>
  <si>
    <t>ST-SYDS 25</t>
  </si>
  <si>
    <t>ST-SYDS 15</t>
  </si>
  <si>
    <t>ST-DRDS 35</t>
  </si>
  <si>
    <t>ST-DRDS 25</t>
  </si>
  <si>
    <t>ST-DRDS 15</t>
  </si>
  <si>
    <t>ST-SDS 35</t>
  </si>
  <si>
    <t>ST-SDS 20</t>
  </si>
  <si>
    <t>ST-White Matte</t>
  </si>
  <si>
    <t>ST-White Out</t>
  </si>
  <si>
    <t>ST-Black Out</t>
  </si>
  <si>
    <t>ST-6M AG</t>
  </si>
  <si>
    <t>ST-8M</t>
  </si>
  <si>
    <t>ST-7M</t>
  </si>
  <si>
    <t xml:space="preserve">SG-Clear Frost </t>
  </si>
  <si>
    <t>SG-Black Opaque</t>
  </si>
  <si>
    <t>SG-White Opaque</t>
  </si>
  <si>
    <t>SG-TrueVue 40</t>
  </si>
  <si>
    <t>SG-TrueVue 30</t>
  </si>
  <si>
    <t>SG-TrueVue 15</t>
  </si>
  <si>
    <t>SG-TrueVue 5</t>
  </si>
  <si>
    <t>SG-SS 50</t>
  </si>
  <si>
    <t>SG-SS 35</t>
  </si>
  <si>
    <t>SG-SS 20</t>
  </si>
  <si>
    <t>SG-PureVue 35</t>
  </si>
  <si>
    <t>SG-PureVue 50</t>
  </si>
  <si>
    <t>SG-PureVue 60</t>
  </si>
  <si>
    <t>SG-Grey/Silver/Grey 10</t>
  </si>
  <si>
    <t>SG-Silver 50</t>
  </si>
  <si>
    <t>SG-Silver 35</t>
  </si>
  <si>
    <t>SG-Silver 20</t>
  </si>
  <si>
    <t>SG-4 Mil Clear</t>
  </si>
  <si>
    <t>SG-7 Mil Clear</t>
  </si>
  <si>
    <t>SG-8 Mil Clear</t>
  </si>
  <si>
    <t>SG-10 Mil Clear</t>
  </si>
  <si>
    <t>SG-4 Mil GraffitiGard</t>
  </si>
  <si>
    <t>SG-6 Mil GraffitiGard</t>
  </si>
  <si>
    <t>SG-7 Mil GraffitiGard</t>
  </si>
  <si>
    <t>HO-Select SECH</t>
  </si>
  <si>
    <t>HO-Select DREI</t>
  </si>
  <si>
    <t>HO-KLAR 85</t>
  </si>
  <si>
    <t>HO-Ceramic 70</t>
  </si>
  <si>
    <t>HO-Multi-layer Ceramic</t>
  </si>
  <si>
    <t>HO-Ceramic 50</t>
  </si>
  <si>
    <t>HO-Ceramic 60</t>
  </si>
  <si>
    <t>HO-Single Layer Ceramic 35</t>
  </si>
  <si>
    <t>HO-Single Layer Ceramic 45</t>
  </si>
  <si>
    <t>HO-Dark Ceramic 20</t>
  </si>
  <si>
    <t>Visual Pro- 3M DC Contour Cut w/ Application Tape</t>
  </si>
  <si>
    <t>Visual Pro - UV Printed 3M DC</t>
  </si>
  <si>
    <t>Visual Pro - UV Printed Optically Clear - White Ink</t>
  </si>
  <si>
    <t>Visual Pro - UV Printed Optically Clear - 2 Layer Ink</t>
  </si>
  <si>
    <t>Visual Pro - UV Printed Optically Clear - 3 Layer Ink</t>
  </si>
  <si>
    <t>Visual Pro - Prinited Interior Wall Graphics</t>
  </si>
  <si>
    <t>Total ft2:</t>
  </si>
  <si>
    <t>Total P's:</t>
  </si>
  <si>
    <t>Total Rem ft2:</t>
  </si>
  <si>
    <t>Total Rem P's:</t>
  </si>
  <si>
    <t>Labor Hrs:</t>
  </si>
  <si>
    <t>Man Day(s):</t>
  </si>
  <si>
    <t>Total LF:</t>
  </si>
  <si>
    <t>Casper</t>
  </si>
  <si>
    <t>SPECIAL SERVICE #1:</t>
  </si>
  <si>
    <t>SUBCONTRACTOR COST</t>
  </si>
  <si>
    <t xml:space="preserve">DJC: </t>
  </si>
  <si>
    <t>OPS OH</t>
  </si>
  <si>
    <t xml:space="preserve">Total Material $: </t>
  </si>
  <si>
    <t xml:space="preserve">Total Labor $: </t>
  </si>
  <si>
    <t xml:space="preserve">SUB-TOTAL: </t>
  </si>
  <si>
    <t>ScreenVeil</t>
  </si>
  <si>
    <t>MATERIALS</t>
  </si>
  <si>
    <t>SALES OH</t>
  </si>
  <si>
    <t xml:space="preserve">Total DJC $: </t>
  </si>
  <si>
    <t xml:space="preserve">Total DJC %: </t>
  </si>
  <si>
    <t>PRODUCTION HRS</t>
  </si>
  <si>
    <t>Markup %</t>
  </si>
  <si>
    <t>PROFIT</t>
  </si>
  <si>
    <t xml:space="preserve">Ops Overhead $: </t>
  </si>
  <si>
    <t xml:space="preserve">Ops Overhead %: </t>
  </si>
  <si>
    <t xml:space="preserve">SPECIAL SERVICES: </t>
  </si>
  <si>
    <t>INSTALL $</t>
  </si>
  <si>
    <t xml:space="preserve">TOTAL: </t>
  </si>
  <si>
    <t xml:space="preserve">Sales Overhead $: </t>
  </si>
  <si>
    <t xml:space="preserve">Sales Overhead %: </t>
  </si>
  <si>
    <t>Special Services #1</t>
  </si>
  <si>
    <t>Special Services #2</t>
  </si>
  <si>
    <t>INSTALL HOURS</t>
  </si>
  <si>
    <t xml:space="preserve">PROPOSED TOTAL: </t>
  </si>
  <si>
    <t xml:space="preserve">Profit $: </t>
  </si>
  <si>
    <t xml:space="preserve">Company Profit %: </t>
  </si>
  <si>
    <t xml:space="preserve">Total $ p/ft2: </t>
  </si>
  <si>
    <t>Shop Labor Time</t>
  </si>
  <si>
    <t>Install Labor Time</t>
  </si>
  <si>
    <t>Base Labor Cost</t>
  </si>
  <si>
    <t xml:space="preserve">Profit p/hr: </t>
  </si>
  <si>
    <t xml:space="preserve">Markup %: </t>
  </si>
  <si>
    <t xml:space="preserve">Total: </t>
  </si>
  <si>
    <t>After Hours Add</t>
  </si>
  <si>
    <t>PW Add</t>
  </si>
  <si>
    <t xml:space="preserve">Proposed Total: </t>
  </si>
  <si>
    <t>ADD INSTALL HOURS</t>
  </si>
  <si>
    <t>Total $</t>
  </si>
  <si>
    <t>Column1</t>
  </si>
  <si>
    <t>Column2</t>
  </si>
  <si>
    <t>Column3</t>
  </si>
  <si>
    <t>Column4</t>
  </si>
  <si>
    <t>PGW Silver 20 (AD)</t>
  </si>
  <si>
    <t>PGW Silver 35 (AD)</t>
  </si>
  <si>
    <t>PGW Whiteout (AD)</t>
  </si>
  <si>
    <t>PGW Blackout (AD)</t>
  </si>
  <si>
    <t>PGW Dual Gradient (VP)</t>
  </si>
  <si>
    <t>PGW Dusted Crystal (SX)</t>
  </si>
  <si>
    <t>PGW Matte Frost (AD)</t>
  </si>
  <si>
    <t>PGW Clear Frost (SX ECO DC)</t>
  </si>
  <si>
    <t>PGW UV Filter (AD)</t>
  </si>
  <si>
    <t>PGW Cut and Transfer Taped DC (SX)</t>
  </si>
  <si>
    <t>PGW 8-Mil Security (3M)</t>
  </si>
  <si>
    <t>PGW Smoke 05 (AD)</t>
  </si>
  <si>
    <t>PGW Smoke 15 (AD)</t>
  </si>
  <si>
    <t>PGW Smoke 30 (AD)</t>
  </si>
  <si>
    <t>PGW Ceramic 35 (3M)</t>
  </si>
  <si>
    <t>PGW Ceramic 45 (3M)</t>
  </si>
  <si>
    <t>PGW Ceramic 60 (3M)</t>
  </si>
  <si>
    <t>PGW Ceramic 80 (3M)</t>
  </si>
  <si>
    <t>time % of job</t>
  </si>
  <si>
    <t>SPECIAL SERVICE #2:</t>
  </si>
  <si>
    <t>Prototype:</t>
  </si>
  <si>
    <t>Linear Feet</t>
  </si>
  <si>
    <t xml:space="preserve">Feet </t>
  </si>
  <si>
    <t>Inches</t>
  </si>
  <si>
    <t>Inch Total:</t>
  </si>
  <si>
    <t>Supp. Quote Final 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</si>
</sst>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&quot;$&quot;#,##0.00"/>
    <numFmt numFmtId="166" formatCode="&quot;$&quot;#,##0"/>
    <numFmt numFmtId="167" formatCode="0.0%"/>
    <numFmt numFmtId="168" formatCode="#,##0.0"/>
    <numFmt numFmtId="169" formatCode="#\'\'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.5"/>
      <color theme="1"/>
      <name val="Aptos Narrow"/>
      <family val="2"/>
      <scheme val="minor"/>
    </font>
    <font>
      <b/>
      <sz val="8.5"/>
      <color theme="1"/>
      <name val="Aptos Narrow"/>
      <family val="2"/>
      <scheme val="minor"/>
    </font>
    <font>
      <sz val="8.5"/>
      <name val="Aptos Narrow"/>
      <family val="2"/>
      <scheme val="minor"/>
    </font>
    <font>
      <sz val="8.5"/>
      <color theme="0"/>
      <name val="Aptos Narrow"/>
      <family val="2"/>
      <scheme val="minor"/>
    </font>
    <font>
      <b/>
      <sz val="8.5"/>
      <color theme="0"/>
      <name val="Aptos Narrow"/>
      <family val="2"/>
      <scheme val="minor"/>
    </font>
    <font>
      <b/>
      <sz val="8.5"/>
      <color rgb="FFFF0000"/>
      <name val="Aptos Narrow"/>
      <family val="2"/>
      <scheme val="minor"/>
    </font>
    <font>
      <sz val="8.5"/>
      <color rgb="FF0500FF"/>
      <name val="Aptos Narrow"/>
      <family val="2"/>
      <scheme val="minor"/>
    </font>
    <font>
      <sz val="8.5"/>
      <color rgb="FF333333"/>
      <name val="Aptos Narrow"/>
      <family val="2"/>
      <scheme val="minor"/>
    </font>
    <font>
      <sz val="8.5"/>
      <color rgb="FF000000"/>
      <name val="Calibri"/>
      <family val="2"/>
    </font>
    <font>
      <sz val="8.5"/>
      <color theme="4" tint="-0.249977111117893"/>
      <name val="Aptos Narrow"/>
      <family val="2"/>
      <scheme val="minor"/>
    </font>
    <font>
      <sz val="8.5"/>
      <color theme="1"/>
      <name val="Calibri"/>
      <family val="2"/>
    </font>
    <font>
      <b/>
      <sz val="8.5"/>
      <color rgb="FF000000"/>
      <name val="Aptos Narrow"/>
      <family val="2"/>
      <scheme val="minor"/>
    </font>
    <font>
      <b/>
      <sz val="8.5"/>
      <name val="Aptos Narrow"/>
      <family val="2"/>
      <scheme val="minor"/>
    </font>
    <font>
      <b/>
      <sz val="12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E6D8"/>
        <bgColor indexed="64"/>
      </patternFill>
    </fill>
    <fill>
      <patternFill patternType="solid">
        <fgColor rgb="FFFDE5D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E2F0DB"/>
        <bgColor indexed="64"/>
      </patternFill>
    </fill>
    <fill>
      <patternFill patternType="solid">
        <fgColor rgb="FFDEEBF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7688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98FB33"/>
        <bgColor rgb="FF000000"/>
      </patternFill>
    </fill>
    <fill>
      <patternFill patternType="solid">
        <fgColor rgb="FF99FF32"/>
        <bgColor indexed="64"/>
      </patternFill>
    </fill>
    <fill>
      <patternFill patternType="solid">
        <fgColor rgb="FFFDE5D6"/>
        <bgColor indexed="64"/>
      </patternFill>
    </fill>
    <fill>
      <patternFill patternType="solid">
        <fgColor rgb="FF98FB33"/>
        <bgColor indexed="64"/>
      </patternFill>
    </fill>
    <fill>
      <patternFill patternType="solid">
        <fgColor rgb="FFFF65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8EA9DB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87">
    <xf numFmtId="0" fontId="0" fillId="0" borderId="0" xfId="0"/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164" fontId="3" fillId="6" borderId="7" xfId="0" applyNumberFormat="1" applyFont="1" applyFill="1" applyBorder="1" applyAlignment="1">
      <alignment horizontal="center" vertical="center" readingOrder="1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9" fontId="2" fillId="0" borderId="0" xfId="0" applyNumberFormat="1" applyFont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vertical="center"/>
      <protection locked="0"/>
    </xf>
    <xf numFmtId="166" fontId="2" fillId="8" borderId="1" xfId="0" applyNumberFormat="1" applyFont="1" applyFill="1" applyBorder="1" applyAlignment="1" applyProtection="1">
      <alignment horizontal="center" vertical="center"/>
      <protection locked="0"/>
    </xf>
    <xf numFmtId="164" fontId="2" fillId="8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5" fontId="2" fillId="8" borderId="7" xfId="0" applyNumberFormat="1" applyFont="1" applyFill="1" applyBorder="1" applyAlignment="1" applyProtection="1">
      <alignment vertical="center"/>
      <protection locked="0"/>
    </xf>
    <xf numFmtId="165" fontId="2" fillId="8" borderId="6" xfId="0" applyNumberFormat="1" applyFont="1" applyFill="1" applyBorder="1" applyAlignment="1" applyProtection="1">
      <alignment vertical="center"/>
      <protection locked="0"/>
    </xf>
    <xf numFmtId="164" fontId="2" fillId="8" borderId="7" xfId="1" applyNumberFormat="1" applyFont="1" applyFill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right" vertical="center"/>
      <protection locked="0"/>
    </xf>
    <xf numFmtId="0" fontId="2" fillId="0" borderId="6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9" fontId="3" fillId="8" borderId="1" xfId="2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5" fillId="13" borderId="0" xfId="0" applyFont="1" applyFill="1" applyAlignment="1" applyProtection="1">
      <alignment horizontal="center" vertical="center"/>
      <protection locked="0"/>
    </xf>
    <xf numFmtId="0" fontId="6" fillId="14" borderId="15" xfId="0" applyFont="1" applyFill="1" applyBorder="1" applyAlignment="1">
      <alignment horizontal="center" vertical="center"/>
    </xf>
    <xf numFmtId="9" fontId="6" fillId="14" borderId="15" xfId="0" applyNumberFormat="1" applyFont="1" applyFill="1" applyBorder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center" vertical="center"/>
    </xf>
    <xf numFmtId="2" fontId="6" fillId="14" borderId="0" xfId="0" applyNumberFormat="1" applyFont="1" applyFill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" fontId="2" fillId="15" borderId="1" xfId="0" applyNumberFormat="1" applyFont="1" applyFill="1" applyBorder="1" applyAlignment="1" applyProtection="1">
      <alignment horizontal="center" vertical="center"/>
      <protection locked="0"/>
    </xf>
    <xf numFmtId="165" fontId="2" fillId="8" borderId="1" xfId="0" applyNumberFormat="1" applyFont="1" applyFill="1" applyBorder="1" applyAlignment="1" applyProtection="1">
      <alignment horizontal="center" vertical="center"/>
      <protection locked="0"/>
    </xf>
    <xf numFmtId="1" fontId="2" fillId="16" borderId="7" xfId="0" applyNumberFormat="1" applyFont="1" applyFill="1" applyBorder="1" applyAlignment="1" applyProtection="1">
      <alignment horizontal="center" vertical="center"/>
      <protection locked="0"/>
    </xf>
    <xf numFmtId="0" fontId="2" fillId="16" borderId="1" xfId="0" applyFont="1" applyFill="1" applyBorder="1" applyAlignment="1" applyProtection="1">
      <alignment horizontal="left" vertical="center"/>
      <protection locked="0"/>
    </xf>
    <xf numFmtId="165" fontId="2" fillId="7" borderId="1" xfId="0" applyNumberFormat="1" applyFont="1" applyFill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6" fontId="3" fillId="0" borderId="18" xfId="0" applyNumberFormat="1" applyFont="1" applyBorder="1" applyAlignment="1" applyProtection="1">
      <alignment horizontal="center" vertical="center"/>
      <protection locked="0"/>
    </xf>
    <xf numFmtId="165" fontId="2" fillId="0" borderId="1" xfId="0" applyNumberFormat="1" applyFont="1" applyBorder="1" applyAlignment="1" applyProtection="1">
      <alignment horizontal="center" vertical="center"/>
      <protection locked="0"/>
    </xf>
    <xf numFmtId="165" fontId="2" fillId="0" borderId="1" xfId="1" applyNumberFormat="1" applyFont="1" applyFill="1" applyBorder="1" applyAlignment="1" applyProtection="1">
      <alignment horizontal="center" vertical="center"/>
      <protection locked="0"/>
    </xf>
    <xf numFmtId="165" fontId="2" fillId="12" borderId="1" xfId="0" applyNumberFormat="1" applyFont="1" applyFill="1" applyBorder="1" applyAlignment="1" applyProtection="1">
      <alignment horizontal="center" vertical="center"/>
      <protection locked="0"/>
    </xf>
    <xf numFmtId="165" fontId="2" fillId="12" borderId="7" xfId="0" applyNumberFormat="1" applyFont="1" applyFill="1" applyBorder="1" applyAlignment="1" applyProtection="1">
      <alignment horizontal="center" vertical="center"/>
      <protection locked="0"/>
    </xf>
    <xf numFmtId="165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1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167" fontId="2" fillId="0" borderId="1" xfId="0" applyNumberFormat="1" applyFont="1" applyBorder="1" applyAlignment="1" applyProtection="1">
      <alignment horizontal="center" vertical="center"/>
      <protection locked="0"/>
    </xf>
    <xf numFmtId="8" fontId="2" fillId="0" borderId="1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" fillId="17" borderId="19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9" fontId="2" fillId="0" borderId="19" xfId="0" applyNumberFormat="1" applyFont="1" applyBorder="1" applyAlignment="1" applyProtection="1">
      <alignment horizontal="center" vertical="center"/>
      <protection locked="0"/>
    </xf>
    <xf numFmtId="0" fontId="11" fillId="17" borderId="20" xfId="0" applyFont="1" applyFill="1" applyBorder="1" applyAlignment="1">
      <alignment horizontal="center" vertical="center"/>
    </xf>
    <xf numFmtId="165" fontId="11" fillId="17" borderId="20" xfId="0" applyNumberFormat="1" applyFont="1" applyFill="1" applyBorder="1" applyAlignment="1">
      <alignment horizontal="center" vertical="center"/>
    </xf>
    <xf numFmtId="2" fontId="11" fillId="17" borderId="20" xfId="0" applyNumberFormat="1" applyFont="1" applyFill="1" applyBorder="1" applyAlignment="1">
      <alignment horizontal="center" vertical="center"/>
    </xf>
    <xf numFmtId="2" fontId="11" fillId="17" borderId="0" xfId="0" applyNumberFormat="1" applyFont="1" applyFill="1" applyAlignment="1">
      <alignment horizontal="center" vertical="center"/>
    </xf>
    <xf numFmtId="6" fontId="3" fillId="0" borderId="0" xfId="0" applyNumberFormat="1" applyFont="1" applyAlignment="1" applyProtection="1">
      <alignment horizontal="center" vertical="center"/>
      <protection locked="0"/>
    </xf>
    <xf numFmtId="9" fontId="2" fillId="0" borderId="15" xfId="0" applyNumberFormat="1" applyFont="1" applyBorder="1" applyAlignment="1" applyProtection="1">
      <alignment horizontal="center" vertical="center"/>
      <protection locked="0"/>
    </xf>
    <xf numFmtId="0" fontId="11" fillId="0" borderId="20" xfId="0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165" fontId="12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6" fontId="2" fillId="0" borderId="0" xfId="0" applyNumberFormat="1" applyFont="1" applyAlignment="1" applyProtection="1">
      <alignment horizontal="center" vertical="center"/>
      <protection locked="0"/>
    </xf>
    <xf numFmtId="165" fontId="2" fillId="8" borderId="11" xfId="0" applyNumberFormat="1" applyFont="1" applyFill="1" applyBorder="1" applyAlignment="1" applyProtection="1">
      <alignment horizontal="center" vertical="center"/>
      <protection locked="0"/>
    </xf>
    <xf numFmtId="1" fontId="2" fillId="16" borderId="2" xfId="0" applyNumberFormat="1" applyFont="1" applyFill="1" applyBorder="1" applyAlignment="1" applyProtection="1">
      <alignment horizontal="center" vertical="center"/>
      <protection locked="0"/>
    </xf>
    <xf numFmtId="0" fontId="2" fillId="16" borderId="11" xfId="0" applyFont="1" applyFill="1" applyBorder="1" applyAlignment="1" applyProtection="1">
      <alignment horizontal="left" vertical="center"/>
      <protection locked="0"/>
    </xf>
    <xf numFmtId="165" fontId="2" fillId="7" borderId="11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/>
      <protection locked="0"/>
    </xf>
    <xf numFmtId="1" fontId="3" fillId="18" borderId="1" xfId="0" applyNumberFormat="1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168" fontId="3" fillId="18" borderId="1" xfId="0" applyNumberFormat="1" applyFont="1" applyFill="1" applyBorder="1" applyAlignment="1">
      <alignment horizontal="center" vertical="center"/>
    </xf>
    <xf numFmtId="0" fontId="2" fillId="0" borderId="22" xfId="0" applyFont="1" applyBorder="1" applyAlignment="1" applyProtection="1">
      <alignment horizontal="right" vertical="center"/>
      <protection locked="0"/>
    </xf>
    <xf numFmtId="164" fontId="7" fillId="0" borderId="23" xfId="0" applyNumberFormat="1" applyFont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5" fontId="13" fillId="21" borderId="1" xfId="0" applyNumberFormat="1" applyFont="1" applyFill="1" applyBorder="1" applyAlignment="1" applyProtection="1">
      <alignment horizontal="center" vertical="center"/>
      <protection locked="0"/>
    </xf>
    <xf numFmtId="0" fontId="13" fillId="22" borderId="1" xfId="0" applyFont="1" applyFill="1" applyBorder="1" applyAlignment="1" applyProtection="1">
      <alignment horizontal="center" vertical="center"/>
      <protection locked="0"/>
    </xf>
    <xf numFmtId="167" fontId="3" fillId="24" borderId="1" xfId="0" applyNumberFormat="1" applyFont="1" applyFill="1" applyBorder="1" applyAlignment="1" applyProtection="1">
      <alignment horizontal="center" vertical="center"/>
      <protection locked="0"/>
    </xf>
    <xf numFmtId="165" fontId="13" fillId="23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25" xfId="0" applyFont="1" applyFill="1" applyBorder="1" applyAlignment="1" applyProtection="1">
      <alignment horizontal="right" vertical="center"/>
      <protection locked="0"/>
    </xf>
    <xf numFmtId="165" fontId="3" fillId="24" borderId="26" xfId="0" applyNumberFormat="1" applyFont="1" applyFill="1" applyBorder="1" applyAlignment="1" applyProtection="1">
      <alignment horizontal="center" vertical="center"/>
      <protection locked="0"/>
    </xf>
    <xf numFmtId="165" fontId="3" fillId="25" borderId="26" xfId="0" applyNumberFormat="1" applyFont="1" applyFill="1" applyBorder="1" applyAlignment="1" applyProtection="1">
      <alignment horizontal="center" vertical="center"/>
      <protection locked="0"/>
    </xf>
    <xf numFmtId="165" fontId="3" fillId="0" borderId="0" xfId="0" applyNumberFormat="1" applyFont="1" applyAlignment="1">
      <alignment horizontal="center" vertical="center" readingOrder="1"/>
    </xf>
    <xf numFmtId="167" fontId="3" fillId="26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31" xfId="0" applyFont="1" applyFill="1" applyBorder="1" applyAlignment="1" applyProtection="1">
      <alignment horizontal="right" vertical="center"/>
      <protection locked="0"/>
    </xf>
    <xf numFmtId="165" fontId="3" fillId="26" borderId="1" xfId="0" applyNumberFormat="1" applyFont="1" applyFill="1" applyBorder="1" applyAlignment="1">
      <alignment horizontal="center" vertical="center" readingOrder="1"/>
    </xf>
    <xf numFmtId="167" fontId="3" fillId="26" borderId="1" xfId="0" applyNumberFormat="1" applyFont="1" applyFill="1" applyBorder="1" applyAlignment="1">
      <alignment horizontal="center" vertical="center"/>
    </xf>
    <xf numFmtId="164" fontId="3" fillId="8" borderId="7" xfId="1" applyNumberFormat="1" applyFont="1" applyFill="1" applyBorder="1" applyAlignment="1" applyProtection="1">
      <alignment horizontal="center" vertical="center"/>
      <protection locked="0"/>
    </xf>
    <xf numFmtId="10" fontId="3" fillId="24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right" vertical="center"/>
      <protection locked="0"/>
    </xf>
    <xf numFmtId="165" fontId="3" fillId="24" borderId="1" xfId="0" applyNumberFormat="1" applyFont="1" applyFill="1" applyBorder="1" applyAlignment="1">
      <alignment horizontal="center" vertical="center"/>
    </xf>
    <xf numFmtId="167" fontId="14" fillId="24" borderId="1" xfId="0" applyNumberFormat="1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center" vertical="center"/>
      <protection locked="0"/>
    </xf>
    <xf numFmtId="165" fontId="3" fillId="27" borderId="1" xfId="3" applyNumberFormat="1" applyFont="1" applyFill="1" applyBorder="1" applyAlignment="1" applyProtection="1">
      <alignment horizontal="center" vertical="center"/>
      <protection locked="0"/>
    </xf>
    <xf numFmtId="0" fontId="2" fillId="19" borderId="0" xfId="3" applyFont="1" applyFill="1" applyAlignment="1" applyProtection="1">
      <alignment vertical="center" readingOrder="1"/>
      <protection locked="0"/>
    </xf>
    <xf numFmtId="0" fontId="2" fillId="19" borderId="0" xfId="3" applyFont="1" applyFill="1" applyAlignment="1" applyProtection="1">
      <alignment horizontal="left" vertical="center" readingOrder="1"/>
      <protection locked="0"/>
    </xf>
    <xf numFmtId="167" fontId="3" fillId="24" borderId="7" xfId="0" applyNumberFormat="1" applyFont="1" applyFill="1" applyBorder="1" applyAlignment="1" applyProtection="1">
      <alignment horizontal="center" vertical="center"/>
      <protection locked="0"/>
    </xf>
    <xf numFmtId="165" fontId="13" fillId="23" borderId="35" xfId="0" applyNumberFormat="1" applyFont="1" applyFill="1" applyBorder="1" applyAlignment="1" applyProtection="1">
      <alignment horizontal="center" vertical="center"/>
      <protection locked="0"/>
    </xf>
    <xf numFmtId="167" fontId="3" fillId="26" borderId="7" xfId="0" applyNumberFormat="1" applyFont="1" applyFill="1" applyBorder="1" applyAlignment="1" applyProtection="1">
      <alignment horizontal="center" vertical="center"/>
      <protection locked="0"/>
    </xf>
    <xf numFmtId="10" fontId="3" fillId="24" borderId="2" xfId="0" applyNumberFormat="1" applyFont="1" applyFill="1" applyBorder="1" applyAlignment="1" applyProtection="1">
      <alignment horizontal="center" vertical="center"/>
      <protection locked="0"/>
    </xf>
    <xf numFmtId="165" fontId="13" fillId="0" borderId="0" xfId="0" applyNumberFormat="1" applyFont="1" applyAlignment="1">
      <alignment horizontal="center" vertical="center"/>
    </xf>
    <xf numFmtId="165" fontId="7" fillId="0" borderId="29" xfId="0" applyNumberFormat="1" applyFont="1" applyBorder="1" applyAlignment="1" applyProtection="1">
      <alignment horizontal="center" vertical="center"/>
      <protection locked="0"/>
    </xf>
    <xf numFmtId="165" fontId="3" fillId="0" borderId="0" xfId="0" applyNumberFormat="1" applyFont="1" applyAlignment="1" applyProtection="1">
      <alignment horizontal="center" vertical="center"/>
      <protection locked="0"/>
    </xf>
    <xf numFmtId="165" fontId="3" fillId="27" borderId="35" xfId="3" applyNumberFormat="1" applyFont="1" applyFill="1" applyBorder="1" applyAlignment="1" applyProtection="1">
      <alignment horizontal="center" vertical="center"/>
      <protection locked="0"/>
    </xf>
    <xf numFmtId="167" fontId="2" fillId="0" borderId="0" xfId="0" applyNumberFormat="1" applyFont="1" applyAlignment="1" applyProtection="1">
      <alignment horizontal="center" vertical="center"/>
      <protection locked="0"/>
    </xf>
    <xf numFmtId="165" fontId="7" fillId="0" borderId="0" xfId="0" applyNumberFormat="1" applyFont="1" applyAlignment="1">
      <alignment horizontal="center" vertical="center"/>
    </xf>
    <xf numFmtId="167" fontId="15" fillId="0" borderId="0" xfId="2" applyNumberFormat="1" applyFont="1" applyFill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165" fontId="3" fillId="0" borderId="0" xfId="0" applyNumberFormat="1" applyFont="1" applyAlignment="1">
      <alignment vertical="center"/>
    </xf>
    <xf numFmtId="165" fontId="18" fillId="0" borderId="0" xfId="0" applyNumberFormat="1" applyFont="1" applyAlignment="1" applyProtection="1">
      <alignment vertical="center"/>
      <protection locked="0"/>
    </xf>
    <xf numFmtId="167" fontId="3" fillId="0" borderId="1" xfId="0" applyNumberFormat="1" applyFont="1" applyBorder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6" fillId="29" borderId="16" xfId="0" applyFont="1" applyFill="1" applyBorder="1" applyAlignment="1" applyProtection="1">
      <alignment horizontal="center" vertical="center"/>
      <protection locked="0"/>
    </xf>
    <xf numFmtId="165" fontId="6" fillId="29" borderId="17" xfId="0" applyNumberFormat="1" applyFont="1" applyFill="1" applyBorder="1" applyAlignment="1" applyProtection="1">
      <alignment horizontal="center" vertical="center"/>
      <protection locked="0"/>
    </xf>
    <xf numFmtId="165" fontId="6" fillId="29" borderId="15" xfId="0" applyNumberFormat="1" applyFont="1" applyFill="1" applyBorder="1" applyAlignment="1" applyProtection="1">
      <alignment horizontal="center" vertical="center"/>
      <protection locked="0"/>
    </xf>
    <xf numFmtId="0" fontId="7" fillId="30" borderId="16" xfId="0" applyFont="1" applyFill="1" applyBorder="1" applyAlignment="1" applyProtection="1">
      <alignment horizontal="center" vertical="center"/>
      <protection locked="0"/>
    </xf>
    <xf numFmtId="165" fontId="2" fillId="31" borderId="0" xfId="0" applyNumberFormat="1" applyFont="1" applyFill="1" applyAlignment="1" applyProtection="1">
      <alignment horizontal="center" vertical="center"/>
      <protection locked="0"/>
    </xf>
    <xf numFmtId="165" fontId="12" fillId="31" borderId="15" xfId="0" applyNumberFormat="1" applyFont="1" applyFill="1" applyBorder="1" applyAlignment="1" applyProtection="1">
      <alignment horizontal="center" vertical="center"/>
      <protection locked="0"/>
    </xf>
    <xf numFmtId="0" fontId="2" fillId="30" borderId="16" xfId="0" applyFont="1" applyFill="1" applyBorder="1" applyAlignment="1" applyProtection="1">
      <alignment horizontal="center" vertical="center"/>
      <protection locked="0"/>
    </xf>
    <xf numFmtId="0" fontId="2" fillId="30" borderId="21" xfId="0" applyFont="1" applyFill="1" applyBorder="1" applyAlignment="1">
      <alignment horizontal="center" vertical="center"/>
    </xf>
    <xf numFmtId="165" fontId="2" fillId="30" borderId="19" xfId="0" applyNumberFormat="1" applyFont="1" applyFill="1" applyBorder="1" applyAlignment="1">
      <alignment horizontal="center" vertical="center"/>
    </xf>
    <xf numFmtId="165" fontId="12" fillId="31" borderId="19" xfId="0" applyNumberFormat="1" applyFont="1" applyFill="1" applyBorder="1" applyAlignment="1" applyProtection="1">
      <alignment horizontal="center" vertical="center"/>
      <protection locked="0"/>
    </xf>
    <xf numFmtId="165" fontId="2" fillId="31" borderId="19" xfId="0" applyNumberFormat="1" applyFont="1" applyFill="1" applyBorder="1" applyAlignment="1">
      <alignment horizontal="center" vertical="center"/>
    </xf>
    <xf numFmtId="165" fontId="2" fillId="31" borderId="19" xfId="0" applyNumberFormat="1" applyFont="1" applyFill="1" applyBorder="1" applyAlignment="1" applyProtection="1">
      <alignment horizontal="center" vertical="center"/>
      <protection locked="0"/>
    </xf>
    <xf numFmtId="165" fontId="12" fillId="31" borderId="0" xfId="0" applyNumberFormat="1" applyFont="1" applyFill="1" applyAlignment="1" applyProtection="1">
      <alignment horizontal="center" vertical="center"/>
      <protection locked="0"/>
    </xf>
    <xf numFmtId="0" fontId="13" fillId="22" borderId="28" xfId="0" applyFont="1" applyFill="1" applyBorder="1" applyAlignment="1" applyProtection="1">
      <alignment horizontal="left" vertical="center"/>
      <protection locked="0"/>
    </xf>
    <xf numFmtId="0" fontId="13" fillId="22" borderId="0" xfId="0" applyFont="1" applyFill="1" applyAlignment="1" applyProtection="1">
      <alignment horizontal="left" vertical="center"/>
      <protection locked="0"/>
    </xf>
    <xf numFmtId="0" fontId="13" fillId="22" borderId="29" xfId="0" applyFont="1" applyFill="1" applyBorder="1" applyAlignment="1" applyProtection="1">
      <alignment horizontal="left" vertical="center"/>
      <protection locked="0"/>
    </xf>
    <xf numFmtId="0" fontId="13" fillId="22" borderId="7" xfId="0" applyFont="1" applyFill="1" applyBorder="1" applyAlignment="1" applyProtection="1">
      <alignment horizontal="right" vertical="center"/>
      <protection locked="0"/>
    </xf>
    <xf numFmtId="0" fontId="13" fillId="22" borderId="5" xfId="0" applyFont="1" applyFill="1" applyBorder="1" applyAlignment="1" applyProtection="1">
      <alignment horizontal="right" vertical="center"/>
      <protection locked="0"/>
    </xf>
    <xf numFmtId="0" fontId="16" fillId="2" borderId="1" xfId="0" applyFont="1" applyFill="1" applyBorder="1" applyAlignment="1" applyProtection="1">
      <alignment horizontal="right" vertical="center"/>
      <protection locked="0"/>
    </xf>
    <xf numFmtId="0" fontId="16" fillId="2" borderId="38" xfId="0" applyFont="1" applyFill="1" applyBorder="1" applyAlignment="1" applyProtection="1">
      <alignment horizontal="right" vertical="center"/>
      <protection locked="0"/>
    </xf>
    <xf numFmtId="165" fontId="3" fillId="27" borderId="32" xfId="0" applyNumberFormat="1" applyFont="1" applyFill="1" applyBorder="1" applyAlignment="1">
      <alignment horizontal="center" vertical="center"/>
    </xf>
    <xf numFmtId="165" fontId="3" fillId="27" borderId="39" xfId="0" applyNumberFormat="1" applyFont="1" applyFill="1" applyBorder="1" applyAlignment="1">
      <alignment horizontal="center" vertical="center"/>
    </xf>
    <xf numFmtId="0" fontId="2" fillId="20" borderId="8" xfId="0" applyFont="1" applyFill="1" applyBorder="1" applyAlignment="1" applyProtection="1">
      <alignment horizontal="center" vertical="center"/>
      <protection locked="0"/>
    </xf>
    <xf numFmtId="0" fontId="2" fillId="20" borderId="9" xfId="0" applyFont="1" applyFill="1" applyBorder="1" applyAlignment="1" applyProtection="1">
      <alignment horizontal="center" vertical="center"/>
      <protection locked="0"/>
    </xf>
    <xf numFmtId="0" fontId="2" fillId="20" borderId="10" xfId="0" applyFont="1" applyFill="1" applyBorder="1" applyAlignment="1" applyProtection="1">
      <alignment horizontal="center" vertical="center"/>
      <protection locked="0"/>
    </xf>
    <xf numFmtId="0" fontId="13" fillId="22" borderId="8" xfId="0" applyFont="1" applyFill="1" applyBorder="1" applyAlignment="1" applyProtection="1">
      <alignment horizontal="left" vertical="center"/>
      <protection locked="0"/>
    </xf>
    <xf numFmtId="0" fontId="13" fillId="22" borderId="9" xfId="0" applyFont="1" applyFill="1" applyBorder="1" applyAlignment="1" applyProtection="1">
      <alignment horizontal="left" vertical="center"/>
      <protection locked="0"/>
    </xf>
    <xf numFmtId="0" fontId="13" fillId="22" borderId="36" xfId="0" applyFont="1" applyFill="1" applyBorder="1" applyAlignment="1" applyProtection="1">
      <alignment horizontal="right" vertical="center"/>
      <protection locked="0"/>
    </xf>
    <xf numFmtId="0" fontId="2" fillId="20" borderId="28" xfId="0" applyFont="1" applyFill="1" applyBorder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2" fillId="20" borderId="29" xfId="0" applyFont="1" applyFill="1" applyBorder="1" applyAlignment="1" applyProtection="1">
      <alignment horizontal="center" vertical="center"/>
      <protection locked="0"/>
    </xf>
    <xf numFmtId="0" fontId="3" fillId="28" borderId="2" xfId="0" applyFont="1" applyFill="1" applyBorder="1" applyAlignment="1" applyProtection="1">
      <alignment horizontal="center" vertical="center"/>
      <protection locked="0"/>
    </xf>
    <xf numFmtId="0" fontId="3" fillId="28" borderId="28" xfId="0" applyFont="1" applyFill="1" applyBorder="1" applyAlignment="1" applyProtection="1">
      <alignment horizontal="center" vertical="center"/>
      <protection locked="0"/>
    </xf>
    <xf numFmtId="0" fontId="3" fillId="28" borderId="8" xfId="0" applyFont="1" applyFill="1" applyBorder="1" applyAlignment="1" applyProtection="1">
      <alignment horizontal="center" vertical="center"/>
      <protection locked="0"/>
    </xf>
    <xf numFmtId="167" fontId="3" fillId="21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right" vertical="center"/>
      <protection locked="0"/>
    </xf>
    <xf numFmtId="0" fontId="3" fillId="2" borderId="37" xfId="0" applyFont="1" applyFill="1" applyBorder="1" applyAlignment="1" applyProtection="1">
      <alignment horizontal="right" vertical="center"/>
      <protection locked="0"/>
    </xf>
    <xf numFmtId="165" fontId="3" fillId="24" borderId="1" xfId="0" applyNumberFormat="1" applyFont="1" applyFill="1" applyBorder="1" applyAlignment="1" applyProtection="1">
      <alignment horizontal="center" vertical="center"/>
      <protection locked="0"/>
    </xf>
    <xf numFmtId="165" fontId="3" fillId="24" borderId="38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right" vertical="center"/>
      <protection locked="0"/>
    </xf>
    <xf numFmtId="0" fontId="3" fillId="2" borderId="38" xfId="0" applyFont="1" applyFill="1" applyBorder="1" applyAlignment="1" applyProtection="1">
      <alignment horizontal="right" vertical="center"/>
      <protection locked="0"/>
    </xf>
    <xf numFmtId="167" fontId="15" fillId="8" borderId="1" xfId="2" applyNumberFormat="1" applyFont="1" applyFill="1" applyBorder="1" applyAlignment="1" applyProtection="1">
      <alignment horizontal="center" vertical="center"/>
      <protection locked="0"/>
    </xf>
    <xf numFmtId="167" fontId="15" fillId="8" borderId="38" xfId="2" applyNumberFormat="1" applyFont="1" applyFill="1" applyBorder="1" applyAlignment="1" applyProtection="1">
      <alignment horizontal="center" vertical="center"/>
      <protection locked="0"/>
    </xf>
    <xf numFmtId="165" fontId="17" fillId="9" borderId="32" xfId="0" applyNumberFormat="1" applyFont="1" applyFill="1" applyBorder="1" applyAlignment="1">
      <alignment horizontal="center" vertical="center"/>
    </xf>
    <xf numFmtId="0" fontId="2" fillId="20" borderId="2" xfId="0" applyFont="1" applyFill="1" applyBorder="1" applyAlignment="1" applyProtection="1">
      <alignment horizontal="center" vertical="center"/>
      <protection locked="0"/>
    </xf>
    <xf numFmtId="0" fontId="2" fillId="20" borderId="3" xfId="0" applyFont="1" applyFill="1" applyBorder="1" applyAlignment="1" applyProtection="1">
      <alignment horizontal="center" vertical="center"/>
      <protection locked="0"/>
    </xf>
    <xf numFmtId="0" fontId="2" fillId="20" borderId="4" xfId="0" applyFont="1" applyFill="1" applyBorder="1" applyAlignment="1" applyProtection="1">
      <alignment horizontal="center" vertical="center"/>
      <protection locked="0"/>
    </xf>
    <xf numFmtId="0" fontId="13" fillId="22" borderId="2" xfId="0" applyFont="1" applyFill="1" applyBorder="1" applyAlignment="1" applyProtection="1">
      <alignment horizontal="left" vertical="center"/>
      <protection locked="0"/>
    </xf>
    <xf numFmtId="0" fontId="13" fillId="22" borderId="3" xfId="0" applyFont="1" applyFill="1" applyBorder="1" applyAlignment="1" applyProtection="1">
      <alignment horizontal="left" vertical="center"/>
      <protection locked="0"/>
    </xf>
    <xf numFmtId="0" fontId="13" fillId="22" borderId="11" xfId="0" applyFont="1" applyFill="1" applyBorder="1" applyAlignment="1" applyProtection="1">
      <alignment horizontal="center" vertical="center"/>
      <protection locked="0"/>
    </xf>
    <xf numFmtId="0" fontId="13" fillId="22" borderId="30" xfId="0" applyFont="1" applyFill="1" applyBorder="1" applyAlignment="1" applyProtection="1">
      <alignment horizontal="center" vertical="center"/>
      <protection locked="0"/>
    </xf>
    <xf numFmtId="165" fontId="13" fillId="23" borderId="11" xfId="0" applyNumberFormat="1" applyFont="1" applyFill="1" applyBorder="1" applyAlignment="1" applyProtection="1">
      <alignment horizontal="center" vertical="center"/>
      <protection locked="0"/>
    </xf>
    <xf numFmtId="165" fontId="13" fillId="23" borderId="30" xfId="0" applyNumberFormat="1" applyFont="1" applyFill="1" applyBorder="1" applyAlignment="1" applyProtection="1">
      <alignment horizontal="center" vertical="center"/>
      <protection locked="0"/>
    </xf>
    <xf numFmtId="0" fontId="2" fillId="20" borderId="2" xfId="3" applyFont="1" applyFill="1" applyBorder="1" applyAlignment="1" applyProtection="1">
      <alignment horizontal="center" vertical="center" readingOrder="1"/>
      <protection locked="0"/>
    </xf>
    <xf numFmtId="0" fontId="2" fillId="20" borderId="4" xfId="3" applyFont="1" applyFill="1" applyBorder="1" applyAlignment="1" applyProtection="1">
      <alignment horizontal="center" vertical="center" readingOrder="1"/>
      <protection locked="0"/>
    </xf>
    <xf numFmtId="0" fontId="2" fillId="20" borderId="28" xfId="3" applyFont="1" applyFill="1" applyBorder="1" applyAlignment="1" applyProtection="1">
      <alignment horizontal="center" vertical="center" readingOrder="1"/>
      <protection locked="0"/>
    </xf>
    <xf numFmtId="0" fontId="2" fillId="20" borderId="29" xfId="3" applyFont="1" applyFill="1" applyBorder="1" applyAlignment="1" applyProtection="1">
      <alignment horizontal="center" vertical="center" readingOrder="1"/>
      <protection locked="0"/>
    </xf>
    <xf numFmtId="0" fontId="2" fillId="20" borderId="8" xfId="3" applyFont="1" applyFill="1" applyBorder="1" applyAlignment="1" applyProtection="1">
      <alignment horizontal="center" vertical="center" readingOrder="1"/>
      <protection locked="0"/>
    </xf>
    <xf numFmtId="0" fontId="2" fillId="20" borderId="10" xfId="3" applyFont="1" applyFill="1" applyBorder="1" applyAlignment="1" applyProtection="1">
      <alignment horizontal="center" vertical="center" readingOrder="1"/>
      <protection locked="0"/>
    </xf>
    <xf numFmtId="165" fontId="3" fillId="24" borderId="1" xfId="0" applyNumberFormat="1" applyFont="1" applyFill="1" applyBorder="1" applyAlignment="1">
      <alignment horizontal="center" vertical="center"/>
    </xf>
    <xf numFmtId="167" fontId="3" fillId="24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right" vertical="center"/>
      <protection locked="0"/>
    </xf>
    <xf numFmtId="165" fontId="7" fillId="9" borderId="32" xfId="0" applyNumberFormat="1" applyFont="1" applyFill="1" applyBorder="1" applyAlignment="1" applyProtection="1">
      <alignment horizontal="center" vertical="center"/>
      <protection locked="0"/>
    </xf>
    <xf numFmtId="165" fontId="3" fillId="26" borderId="32" xfId="0" applyNumberFormat="1" applyFont="1" applyFill="1" applyBorder="1" applyAlignment="1" applyProtection="1">
      <alignment horizontal="center" vertical="center"/>
      <protection locked="0"/>
    </xf>
    <xf numFmtId="0" fontId="13" fillId="22" borderId="6" xfId="0" applyFont="1" applyFill="1" applyBorder="1" applyAlignment="1" applyProtection="1">
      <alignment horizontal="right" vertical="center"/>
      <protection locked="0"/>
    </xf>
    <xf numFmtId="0" fontId="3" fillId="20" borderId="11" xfId="0" applyFont="1" applyFill="1" applyBorder="1" applyAlignment="1" applyProtection="1">
      <alignment horizontal="center" vertical="center"/>
      <protection locked="0"/>
    </xf>
    <xf numFmtId="0" fontId="3" fillId="20" borderId="30" xfId="0" applyFont="1" applyFill="1" applyBorder="1" applyAlignment="1" applyProtection="1">
      <alignment horizontal="center" vertical="center"/>
      <protection locked="0"/>
    </xf>
    <xf numFmtId="0" fontId="3" fillId="20" borderId="12" xfId="0" applyFont="1" applyFill="1" applyBorder="1" applyAlignment="1" applyProtection="1">
      <alignment horizontal="center" vertical="center"/>
      <protection locked="0"/>
    </xf>
    <xf numFmtId="167" fontId="3" fillId="21" borderId="11" xfId="0" applyNumberFormat="1" applyFont="1" applyFill="1" applyBorder="1" applyAlignment="1" applyProtection="1">
      <alignment horizontal="center" vertical="center"/>
      <protection locked="0"/>
    </xf>
    <xf numFmtId="167" fontId="3" fillId="21" borderId="30" xfId="0" applyNumberFormat="1" applyFont="1" applyFill="1" applyBorder="1" applyAlignment="1" applyProtection="1">
      <alignment horizontal="center" vertical="center"/>
      <protection locked="0"/>
    </xf>
    <xf numFmtId="167" fontId="3" fillId="21" borderId="12" xfId="0" applyNumberFormat="1" applyFont="1" applyFill="1" applyBorder="1" applyAlignment="1" applyProtection="1">
      <alignment horizontal="center" vertical="center"/>
      <protection locked="0"/>
    </xf>
    <xf numFmtId="0" fontId="3" fillId="9" borderId="26" xfId="0" applyFont="1" applyFill="1" applyBorder="1" applyAlignment="1" applyProtection="1">
      <alignment horizontal="right" vertical="center"/>
      <protection locked="0"/>
    </xf>
    <xf numFmtId="0" fontId="3" fillId="2" borderId="26" xfId="0" applyFont="1" applyFill="1" applyBorder="1" applyAlignment="1" applyProtection="1">
      <alignment horizontal="right" vertical="center"/>
      <protection locked="0"/>
    </xf>
    <xf numFmtId="165" fontId="13" fillId="24" borderId="27" xfId="0" applyNumberFormat="1" applyFont="1" applyFill="1" applyBorder="1" applyAlignment="1">
      <alignment horizontal="center" vertical="center"/>
    </xf>
    <xf numFmtId="165" fontId="13" fillId="24" borderId="32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 applyProtection="1">
      <alignment horizontal="right" vertical="center"/>
      <protection locked="0"/>
    </xf>
    <xf numFmtId="164" fontId="3" fillId="18" borderId="1" xfId="0" applyNumberFormat="1" applyFont="1" applyFill="1" applyBorder="1" applyAlignment="1">
      <alignment horizontal="center" vertical="center" readingOrder="1"/>
    </xf>
    <xf numFmtId="164" fontId="3" fillId="18" borderId="7" xfId="0" applyNumberFormat="1" applyFont="1" applyFill="1" applyBorder="1" applyAlignment="1">
      <alignment horizontal="center" vertical="center" readingOrder="1"/>
    </xf>
    <xf numFmtId="0" fontId="2" fillId="18" borderId="1" xfId="0" applyFont="1" applyFill="1" applyBorder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2" fillId="19" borderId="24" xfId="0" applyFont="1" applyFill="1" applyBorder="1" applyAlignment="1" applyProtection="1">
      <alignment horizontal="center" vertical="center"/>
      <protection locked="0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3" fillId="18" borderId="6" xfId="0" applyFont="1" applyFill="1" applyBorder="1" applyAlignment="1" applyProtection="1">
      <alignment horizontal="center" vertical="center"/>
      <protection locked="0"/>
    </xf>
    <xf numFmtId="0" fontId="3" fillId="18" borderId="5" xfId="0" applyFont="1" applyFill="1" applyBorder="1" applyAlignment="1" applyProtection="1">
      <alignment horizontal="center" vertical="center"/>
      <protection locked="0"/>
    </xf>
    <xf numFmtId="0" fontId="3" fillId="19" borderId="2" xfId="0" applyFont="1" applyFill="1" applyBorder="1" applyAlignment="1" applyProtection="1">
      <alignment horizontal="center" vertical="center"/>
      <protection locked="0"/>
    </xf>
    <xf numFmtId="0" fontId="3" fillId="19" borderId="3" xfId="0" applyFont="1" applyFill="1" applyBorder="1" applyAlignment="1" applyProtection="1">
      <alignment horizontal="center" vertical="center"/>
      <protection locked="0"/>
    </xf>
    <xf numFmtId="0" fontId="3" fillId="19" borderId="4" xfId="0" applyFont="1" applyFill="1" applyBorder="1" applyAlignment="1" applyProtection="1">
      <alignment horizontal="center" vertical="center"/>
      <protection locked="0"/>
    </xf>
    <xf numFmtId="4" fontId="3" fillId="18" borderId="1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 readingOrder="1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horizontal="center" vertical="center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165" fontId="9" fillId="7" borderId="1" xfId="0" applyNumberFormat="1" applyFont="1" applyFill="1" applyBorder="1" applyAlignment="1" applyProtection="1">
      <alignment horizontal="center" vertical="center"/>
      <protection locked="0"/>
    </xf>
    <xf numFmtId="165" fontId="9" fillId="7" borderId="11" xfId="0" applyNumberFormat="1" applyFont="1" applyFill="1" applyBorder="1" applyAlignment="1" applyProtection="1">
      <alignment horizontal="center" vertical="center"/>
      <protection locked="0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3" fillId="10" borderId="8" xfId="0" applyFont="1" applyFill="1" applyBorder="1" applyAlignment="1" applyProtection="1">
      <alignment horizontal="center" vertical="center"/>
      <protection locked="0"/>
    </xf>
    <xf numFmtId="0" fontId="3" fillId="10" borderId="4" xfId="0" applyFont="1" applyFill="1" applyBorder="1" applyAlignment="1" applyProtection="1">
      <alignment horizontal="center" vertical="center"/>
      <protection locked="0"/>
    </xf>
    <xf numFmtId="0" fontId="3" fillId="10" borderId="10" xfId="0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165" fontId="2" fillId="8" borderId="7" xfId="1" applyNumberFormat="1" applyFont="1" applyFill="1" applyBorder="1" applyAlignment="1" applyProtection="1">
      <alignment horizontal="center" vertical="center"/>
      <protection locked="0"/>
    </xf>
    <xf numFmtId="165" fontId="2" fillId="8" borderId="6" xfId="1" applyNumberFormat="1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3" fillId="11" borderId="1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2" fontId="2" fillId="11" borderId="1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3" fillId="4" borderId="5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14" fontId="2" fillId="11" borderId="1" xfId="0" applyNumberFormat="1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2" fillId="11" borderId="3" xfId="0" applyFont="1" applyFill="1" applyBorder="1" applyAlignment="1" applyProtection="1">
      <alignment horizontal="center" vertical="center"/>
      <protection locked="0"/>
    </xf>
    <xf numFmtId="0" fontId="2" fillId="11" borderId="4" xfId="0" applyFont="1" applyFill="1" applyBorder="1" applyAlignment="1" applyProtection="1">
      <alignment horizontal="center" vertical="center"/>
      <protection locked="0"/>
    </xf>
    <xf numFmtId="0" fontId="2" fillId="11" borderId="8" xfId="0" applyFont="1" applyFill="1" applyBorder="1" applyAlignment="1" applyProtection="1">
      <alignment horizontal="center" vertical="center"/>
      <protection locked="0"/>
    </xf>
    <xf numFmtId="0" fontId="2" fillId="11" borderId="9" xfId="0" applyFont="1" applyFill="1" applyBorder="1" applyAlignment="1" applyProtection="1">
      <alignment horizontal="center" vertical="center"/>
      <protection locked="0"/>
    </xf>
    <xf numFmtId="0" fontId="2" fillId="11" borderId="10" xfId="0" applyFont="1" applyFill="1" applyBorder="1" applyAlignment="1" applyProtection="1">
      <alignment horizontal="center" vertical="center"/>
      <protection locked="0"/>
    </xf>
    <xf numFmtId="0" fontId="0" fillId="31" borderId="40" xfId="0" applyFill="1" applyBorder="1" applyAlignment="1">
      <alignment vertical="center"/>
    </xf>
    <xf numFmtId="0" fontId="0" fillId="32" borderId="41" xfId="0" applyFill="1" applyBorder="1" applyAlignment="1">
      <alignment vertical="center"/>
    </xf>
    <xf numFmtId="0" fontId="12" fillId="0" borderId="0" xfId="0" applyFont="1" applyAlignment="1" applyProtection="1">
      <alignment vertical="center"/>
      <protection locked="0"/>
    </xf>
    <xf numFmtId="0" fontId="0" fillId="33" borderId="30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0" fontId="2" fillId="34" borderId="42" xfId="0" applyFont="1" applyFill="1" applyBorder="1" applyAlignment="1" applyProtection="1">
      <alignment vertical="center"/>
      <protection locked="0"/>
    </xf>
    <xf numFmtId="169" fontId="0" fillId="7" borderId="42" xfId="0" applyNumberFormat="1" applyFill="1" applyBorder="1" applyAlignment="1">
      <alignment vertical="center"/>
    </xf>
    <xf numFmtId="44" fontId="2" fillId="35" borderId="12" xfId="1" applyFont="1" applyFill="1" applyBorder="1" applyAlignment="1" applyProtection="1">
      <alignment vertical="center"/>
      <protection locked="0"/>
    </xf>
    <xf numFmtId="44" fontId="2" fillId="36" borderId="12" xfId="1" applyFont="1" applyFill="1" applyBorder="1" applyAlignment="1" applyProtection="1">
      <alignment vertical="center"/>
      <protection locked="0"/>
    </xf>
    <xf numFmtId="8" fontId="2" fillId="0" borderId="0" xfId="0" applyNumberFormat="1" applyFont="1" applyAlignment="1" applyProtection="1">
      <alignment vertical="center"/>
      <protection locked="0"/>
    </xf>
    <xf numFmtId="0" fontId="2" fillId="31" borderId="22" xfId="0" applyFont="1" applyFill="1" applyBorder="1" applyAlignment="1" applyProtection="1">
      <alignment horizontal="center" vertical="center"/>
      <protection locked="0"/>
    </xf>
    <xf numFmtId="0" fontId="2" fillId="31" borderId="43" xfId="0" applyFont="1" applyFill="1" applyBorder="1" applyAlignment="1" applyProtection="1">
      <alignment horizontal="center" vertical="center"/>
      <protection locked="0"/>
    </xf>
  </cellXfs>
  <cellStyles count="4">
    <cellStyle name="Currency" xfId="1" builtinId="4"/>
    <cellStyle name="Normal" xfId="0" builtinId="0"/>
    <cellStyle name="Normal 3 2" xfId="3" xr:uid="{FF260B06-BFEE-DD4A-929A-9B428759BB83}"/>
    <cellStyle name="Percent" xfId="2" builtinId="5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Aptos Narrow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472C4"/>
        </top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rgb="FF4472C4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305496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none"/>
      </font>
      <numFmt numFmtId="165" formatCode="&quot;$&quot;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165" formatCode="&quot;$&quot;#,##0.00"/>
      <fill>
        <patternFill patternType="solid">
          <bgColor theme="4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numFmt numFmtId="165" formatCode="&quot;$&quot;#,##0.00"/>
      <fill>
        <patternFill patternType="solid">
          <bgColor theme="4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numFmt numFmtId="165" formatCode="&quot;$&quot;#,##0.00"/>
      <fill>
        <patternFill patternType="solid">
          <bgColor theme="4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  <protection locked="0" hidden="0"/>
    </dxf>
    <dxf>
      <fill>
        <patternFill patternType="solid">
          <bgColor theme="4" tint="0.59999389629810485"/>
        </patternFill>
      </fill>
    </dxf>
    <dxf>
      <border outline="0">
        <left style="thin">
          <color rgb="FF8EA9DB"/>
        </left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fill>
        <patternFill patternType="solid">
          <bgColor theme="4" tint="0.59999389629810485"/>
        </patternFill>
      </fill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fill>
        <patternFill patternType="solid">
          <bgColor theme="4" tint="0.59999389629810485"/>
        </patternFill>
      </fill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</dxfs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E2040E-28DF-0C43-9393-FD223343794C}" name="Table135220" displayName="Table135220" ref="BN6:BN15" totalsRowShown="0" headerRowDxfId="79" dataDxfId="78" tableBorderDxfId="77">
  <autoFilter ref="BN6:BN15" xr:uid="{A11A25F4-8C08-3B43-A566-A3FA3850CF0F}"/>
  <tableColumns count="1">
    <tableColumn id="1" xr3:uid="{00E17800-6D6E-AB46-AC25-378C6CB3271D}" name="Motivation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177439-F19C-0645-94AE-E74054946AFE}" name="Table36321" displayName="Table36321" ref="BV6:BV18" totalsRowShown="0" headerRowDxfId="75" dataDxfId="74">
  <autoFilter ref="BV6:BV18" xr:uid="{BDFE04D6-F5E5-6746-833B-0BE849951A2E}"/>
  <tableColumns count="1">
    <tableColumn id="1" xr3:uid="{2421ABFE-610B-474B-B50A-4BF5C0F38732}" name="Window Type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07A00-7567-AA47-ABB2-40A46C11B97C}" name="Table17822" displayName="Table17822" ref="BU6:BU14" totalsRowShown="0" headerRowDxfId="72" dataDxfId="71">
  <autoFilter ref="BU6:BU14" xr:uid="{C84E50B6-8B2C-CD4B-AAFB-05489C17C139}"/>
  <tableColumns count="1">
    <tableColumn id="1" xr3:uid="{037F3B9D-392F-084B-9CBC-C8DA8108E842}" name="Exposure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272753-598F-E34B-9273-68AEC28427DC}" name="Table3923" displayName="Table3923" ref="CH6:CK171" headerRowDxfId="69" dataDxfId="68" totalsRowDxfId="66" tableBorderDxfId="67">
  <autoFilter ref="CH6:CK171" xr:uid="{B2BBC930-CA7E-5C46-B440-DDBC7F1F87AF}"/>
  <tableColumns count="4">
    <tableColumn id="1" xr3:uid="{51497D28-5CD0-D54C-B7BC-D128A4924C9B}" name="Column1" totalsRowLabel="Total" dataDxfId="65" totalsRowDxfId="64"/>
    <tableColumn id="2" xr3:uid="{E92D9AB0-BFA2-5442-AABF-3C359DE6B319}" name="Column2" dataDxfId="63" totalsRowDxfId="62"/>
    <tableColumn id="4" xr3:uid="{D1C40BAC-E3B9-4A4A-884F-3474143B68D8}" name="Column3" dataDxfId="61" totalsRowDxfId="60">
      <calculatedColumnFormula>CI7*1.1</calculatedColumnFormula>
    </tableColumn>
    <tableColumn id="3" xr3:uid="{A891D777-1DFD-8D43-AA9C-86887C127102}" name="Column4" totalsRowFunction="sum" dataDxfId="59" totalsRowDxfId="5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1A77AB-27CF-B848-9F21-9AE8A2B70352}" name="Table1352624" displayName="Table1352624" ref="BS6:BS11" totalsRowShown="0" headerRowDxfId="57" dataDxfId="56" tableBorderDxfId="55">
  <autoFilter ref="BS6:BS11" xr:uid="{E91FA976-A22F-2248-9871-DF541956E6A3}"/>
  <tableColumns count="1">
    <tableColumn id="1" xr3:uid="{E3D2E9C0-B39F-BA4B-B6ED-FA1C7834D798}" name="Frame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50069A-2B87-814B-9BCD-9FAAE34A60A3}" name="Table13526725" displayName="Table13526725" ref="BT6:BT30" totalsRowShown="0" headerRowDxfId="53" dataDxfId="52" tableBorderDxfId="51">
  <autoFilter ref="BT6:BT30" xr:uid="{19E8D3AE-54BE-614F-B5BC-1DFC6E47D726}"/>
  <tableColumns count="1">
    <tableColumn id="1" xr3:uid="{2C41EDB7-9A9B-8C40-8214-4FADC4297B14}" name="Max Height" dataDxfId="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8074895-6746-7C4C-AB03-484219EDC8F2}" name="Table13526826" displayName="Table13526826" ref="BQ6:BQ12" totalsRowShown="0" headerRowDxfId="49" dataDxfId="48" tableBorderDxfId="47">
  <autoFilter ref="BQ6:BQ12" xr:uid="{6C67584E-E635-C84B-903D-9124750F2BFC}"/>
  <tableColumns count="1">
    <tableColumn id="1" xr3:uid="{58062085-800F-DF44-AB84-C1752446D98E}" name="Glass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709E24-AEE1-D04C-9C81-9265D1EFF61E}" name="Table13526927" displayName="Table13526927" ref="BR6:BR11" totalsRowShown="0" headerRowDxfId="45" dataDxfId="44" tableBorderDxfId="43">
  <autoFilter ref="BR6:BR11" xr:uid="{703CE024-15E6-C142-A37D-8077BEC66389}"/>
  <tableColumns count="1">
    <tableColumn id="1" xr3:uid="{77C798F5-9E73-AB44-8269-B9E585029407}" name="Gasket" dataDxfId="4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D4DC80-7820-8F4A-9E5D-1C83339EB07B}" name="Table135261028" displayName="Table135261028" ref="BO6:BO13" totalsRowShown="0" headerRowDxfId="41" dataDxfId="40" tableBorderDxfId="39">
  <autoFilter ref="BO6:BO13" xr:uid="{4C8550CA-1A96-A749-8F0D-3C82F179F7F0}"/>
  <tableColumns count="1">
    <tableColumn id="1" xr3:uid="{B6A1C18E-0F62-3443-9FF1-A9A4FC626B89}" name="Site Type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556DF-1203-DA43-B2B5-A19D0260ECFD}" name="Table1352691129" displayName="Table1352691129" ref="BP6:BP9" totalsRowShown="0" headerRowDxfId="37" dataDxfId="36" tableBorderDxfId="35">
  <autoFilter ref="BP6:BP9" xr:uid="{AA38758E-811B-1345-80C4-A2C5BCEE6C8E}"/>
  <tableColumns count="1">
    <tableColumn id="1" xr3:uid="{7F11814B-E3A1-CA44-9F07-AACBD1C3E19E}" name="Status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A3797F-7B56-4E4D-955A-86D787CC37F7}" name="Table1130" displayName="Table1130" ref="BX6:BX26" totalsRowShown="0" headerRowDxfId="33" dataDxfId="31" headerRowBorderDxfId="32" tableBorderDxfId="30" totalsRowBorderDxfId="29">
  <autoFilter ref="BX6:BX26" xr:uid="{903BE483-C306-CD4B-9470-AEFD09286118}"/>
  <tableColumns count="1">
    <tableColumn id="1" xr3:uid="{D415AFE4-5BAE-FD43-8FFC-B0F37F4E4717}" name="Additonal Hours" dataDxfId="28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174C89-5034-C542-8C37-D21B22347288}" name="Table1331" displayName="Table1331" ref="BZ6:CA11" totalsRowShown="0" headerRowDxfId="27" dataDxfId="25" headerRowBorderDxfId="26">
  <autoFilter ref="BZ6:CA11" xr:uid="{4EA1A3D9-2983-934C-A393-B0D00CB0FA39}"/>
  <tableColumns count="2">
    <tableColumn id="1" xr3:uid="{CF3B16EE-CE81-7044-AF77-E629E5EECA3F}" name="Install" dataDxfId="24"/>
    <tableColumn id="2" xr3:uid="{7018927F-8866-9448-91B6-2CA486BAB855}" name="$ multiplier" dataDxfId="23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3A7C66-CCBF-8342-8390-BC31609EE296}" name="Table1432" displayName="Table1432" ref="CD6:CD12" totalsRowShown="0" headerRowDxfId="22" dataDxfId="21" tableBorderDxfId="20">
  <autoFilter ref="CD6:CD12" xr:uid="{62BA1AC5-9747-AD4E-A351-387493B0F03B}"/>
  <tableColumns count="1">
    <tableColumn id="1" xr3:uid="{E046F148-F993-9E48-BEF0-0D0FC1602261}" name="Labor Time Add" dataDxfId="1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738144-5D53-3942-A868-C15D69B3C559}" name="Table1533" displayName="Table1533" ref="CB6:CC11" totalsRowShown="0" headerRowDxfId="18" tableBorderDxfId="17">
  <autoFilter ref="CB6:CC11" xr:uid="{CC588051-8D35-EC47-9AA9-35327552A6C7}"/>
  <tableColumns count="2">
    <tableColumn id="1" xr3:uid="{2D50E2DE-91EB-6743-9064-08136C792103}" name="Removal"/>
    <tableColumn id="2" xr3:uid="{9527650B-1010-9E44-8D73-F9B4648A0DAB}" name="Removal $" dataDxfId="1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3EF7899-419C-5944-9303-29980C884395}" name="Table1634" displayName="Table1634" ref="BY6:BY14" totalsRowShown="0" headerRowDxfId="15" dataDxfId="13" headerRowBorderDxfId="14" tableBorderDxfId="12">
  <autoFilter ref="BY6:BY14" xr:uid="{13BADE2F-4E73-9C46-8635-1FEA17C7027F}"/>
  <tableColumns count="1">
    <tableColumn id="1" xr3:uid="{D46E2D1C-F7E1-2D4E-BE09-E811883503E3}" name="Additional Minutes" dataDxfId="11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178F680-A89D-0C4D-AF13-BBD880FF276B}" name="Table1735" displayName="Table1735" ref="BW6:BW7" totalsRowShown="0" headerRowDxfId="10" dataDxfId="9">
  <autoFilter ref="BW6:BW7" xr:uid="{9B4AE313-D9A1-0545-ABA9-0858A7B6AB58}"/>
  <tableColumns count="1">
    <tableColumn id="1" xr3:uid="{9817D14F-899E-E243-AB9E-ABF654ED3CE4}" name="Removal" dataDxfId="8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BA33392-FCDC-3447-8791-5B0C1F005199}" name="Table1236" displayName="Table1236" ref="CE6:CE8" totalsRowShown="0" headerRowDxfId="7">
  <autoFilter ref="CE6:CE8" xr:uid="{6B5342F8-38A8-4E43-BBDE-31B4905234F2}"/>
  <tableColumns count="1">
    <tableColumn id="1" xr3:uid="{079FB7E6-103C-6746-B91B-00B509AA60E2}" name="Question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4C071FA-970F-EA45-84AA-DA673E12E949}" name="Table1837" displayName="Table1837" ref="CF6:CF10" totalsRowShown="0" headerRowDxfId="6">
  <autoFilter ref="CF6:CF10" xr:uid="{169B9ECE-1C4E-DE4F-A064-55E394A7F405}"/>
  <tableColumns count="1">
    <tableColumn id="1" xr3:uid="{F8C4B04B-FFFE-A84E-8CBF-5A33A2A98707}" name="PW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comments" Target="../comments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49AA5-3540-D94F-8422-FC29F5FC7744}">
  <sheetPr codeName="Sheet1"/>
  <dimension ref="A1:CO195"/>
  <sheetViews>
    <sheetView tabSelected="1" topLeftCell="Y1" zoomScale="125" zoomScaleNormal="200" workbookViewId="0">
      <selection activeCell="CN20" sqref="CN20"/>
    </sheetView>
  </sheetViews>
  <sheetFormatPr defaultColWidth="11.47265625" defaultRowHeight="11.05" customHeight="1" x14ac:dyDescent="0.55000000000000004"/>
  <cols>
    <col min="1" max="1" width="8.47265625" style="5" customWidth="1"/>
    <col min="2" max="2" width="10.83984375" style="5" customWidth="1"/>
    <col min="3" max="3" width="6.83984375" style="5" customWidth="1"/>
    <col min="4" max="4" width="2.3125" style="5" customWidth="1"/>
    <col min="5" max="5" width="5.15625" style="5" customWidth="1"/>
    <col min="6" max="6" width="4.3125" style="5" customWidth="1"/>
    <col min="7" max="7" width="4.47265625" style="5" customWidth="1"/>
    <col min="8" max="8" width="6.15625" style="5" bestFit="1" customWidth="1"/>
    <col min="9" max="10" width="5.47265625" style="5" customWidth="1"/>
    <col min="11" max="11" width="7.15625" style="5" customWidth="1"/>
    <col min="12" max="12" width="7" style="5" bestFit="1" customWidth="1"/>
    <col min="13" max="15" width="5.83984375" style="5" hidden="1" customWidth="1"/>
    <col min="16" max="16" width="4.68359375" style="5" hidden="1" customWidth="1"/>
    <col min="17" max="17" width="8.3125" style="5" bestFit="1" customWidth="1"/>
    <col min="18" max="18" width="15.15625" style="5" customWidth="1"/>
    <col min="19" max="19" width="14.3125" style="5" customWidth="1"/>
    <col min="20" max="20" width="9.15625" style="5" customWidth="1"/>
    <col min="21" max="21" width="7.3125" style="5" customWidth="1"/>
    <col min="22" max="22" width="7" style="5" customWidth="1"/>
    <col min="23" max="23" width="3.68359375" style="5" customWidth="1"/>
    <col min="24" max="24" width="13.3125" style="5" customWidth="1"/>
    <col min="25" max="25" width="12.3125" style="5" customWidth="1"/>
    <col min="26" max="26" width="9" style="5" customWidth="1"/>
    <col min="27" max="27" width="7.47265625" style="5" customWidth="1"/>
    <col min="28" max="28" width="14" style="5" bestFit="1" customWidth="1"/>
    <col min="29" max="29" width="13.15625" style="5" customWidth="1"/>
    <col min="30" max="30" width="12.47265625" style="5" customWidth="1"/>
    <col min="31" max="31" width="8.83984375" style="5" customWidth="1"/>
    <col min="32" max="32" width="14.47265625" style="5" hidden="1" customWidth="1"/>
    <col min="33" max="34" width="13.15625" style="6" hidden="1" customWidth="1"/>
    <col min="35" max="35" width="11" style="6" hidden="1" customWidth="1"/>
    <col min="36" max="37" width="18.3125" style="6" hidden="1" customWidth="1"/>
    <col min="38" max="42" width="10.47265625" style="6" hidden="1" customWidth="1"/>
    <col min="43" max="44" width="13.3125" style="5" hidden="1" customWidth="1"/>
    <col min="45" max="50" width="10.47265625" style="5" hidden="1" customWidth="1"/>
    <col min="51" max="51" width="10.83984375" style="5" hidden="1" customWidth="1"/>
    <col min="52" max="54" width="14.3125" style="6" hidden="1" customWidth="1"/>
    <col min="55" max="55" width="8.83984375" style="5" hidden="1" customWidth="1"/>
    <col min="56" max="57" width="10.83984375" style="5" hidden="1" customWidth="1"/>
    <col min="58" max="58" width="14.3125" style="6" hidden="1" customWidth="1"/>
    <col min="59" max="59" width="11.47265625" style="5" hidden="1" customWidth="1"/>
    <col min="60" max="61" width="14.3125" style="5" hidden="1" customWidth="1"/>
    <col min="62" max="62" width="8" style="5" hidden="1" customWidth="1"/>
    <col min="63" max="66" width="11.47265625" style="5" hidden="1" customWidth="1"/>
    <col min="67" max="68" width="14.3125" style="5" hidden="1" customWidth="1"/>
    <col min="69" max="73" width="11.47265625" style="5" hidden="1" customWidth="1"/>
    <col min="74" max="74" width="14.83984375" style="5" hidden="1" customWidth="1"/>
    <col min="75" max="75" width="11.47265625" style="5" hidden="1" customWidth="1"/>
    <col min="76" max="78" width="20.3125" style="5" hidden="1" customWidth="1"/>
    <col min="79" max="79" width="20.3125" style="7" hidden="1" customWidth="1"/>
    <col min="80" max="80" width="20.3125" style="5" hidden="1" customWidth="1"/>
    <col min="81" max="81" width="17.68359375" style="5" hidden="1" customWidth="1"/>
    <col min="82" max="84" width="20.3125" style="8" hidden="1" customWidth="1"/>
    <col min="85" max="85" width="13.15625" style="5" hidden="1" customWidth="1"/>
    <col min="86" max="86" width="31.83984375" style="5" hidden="1" customWidth="1"/>
    <col min="87" max="87" width="25.47265625" style="9" hidden="1" customWidth="1"/>
    <col min="88" max="88" width="18.83984375" style="10" hidden="1" customWidth="1"/>
    <col min="89" max="89" width="11.47265625" style="9" hidden="1" customWidth="1"/>
    <col min="90" max="90" width="11.47265625" style="5" customWidth="1"/>
    <col min="91" max="91" width="18.47265625" style="5" customWidth="1"/>
    <col min="92" max="116" width="11.47265625" style="5" customWidth="1"/>
    <col min="117" max="16384" width="11.47265625" style="5"/>
  </cols>
  <sheetData>
    <row r="1" spans="1:93" ht="14.05" customHeight="1" x14ac:dyDescent="0.55000000000000004">
      <c r="A1" s="267" t="s">
        <v>0</v>
      </c>
      <c r="B1" s="268"/>
      <c r="C1" s="259" t="s">
        <v>1</v>
      </c>
      <c r="D1" s="257"/>
      <c r="E1" s="257"/>
      <c r="F1" s="259" t="s">
        <v>2</v>
      </c>
      <c r="G1" s="259"/>
      <c r="H1" s="269"/>
      <c r="I1" s="270"/>
      <c r="J1" s="270"/>
      <c r="K1" s="270"/>
      <c r="L1" s="270"/>
      <c r="M1" s="270"/>
      <c r="N1" s="270"/>
      <c r="O1" s="270"/>
      <c r="P1" s="271"/>
      <c r="Q1" s="259" t="s">
        <v>3</v>
      </c>
      <c r="R1" s="257"/>
      <c r="S1" s="257"/>
      <c r="T1" s="259" t="s">
        <v>4</v>
      </c>
      <c r="U1" s="257"/>
      <c r="V1" s="257"/>
      <c r="W1" s="257"/>
      <c r="X1" s="264" t="s">
        <v>5</v>
      </c>
      <c r="Y1" s="265"/>
      <c r="Z1" s="266" t="s">
        <v>6</v>
      </c>
      <c r="AA1" s="265"/>
      <c r="AB1" s="3" t="s">
        <v>7</v>
      </c>
      <c r="AC1" s="4" t="s">
        <v>8</v>
      </c>
      <c r="AD1" s="261" t="s">
        <v>9</v>
      </c>
    </row>
    <row r="2" spans="1:93" ht="12" customHeight="1" x14ac:dyDescent="0.55000000000000004">
      <c r="A2" s="267"/>
      <c r="B2" s="268"/>
      <c r="C2" s="259"/>
      <c r="D2" s="257"/>
      <c r="E2" s="257"/>
      <c r="F2" s="259"/>
      <c r="G2" s="259"/>
      <c r="H2" s="272"/>
      <c r="I2" s="273"/>
      <c r="J2" s="273"/>
      <c r="K2" s="273"/>
      <c r="L2" s="273"/>
      <c r="M2" s="273"/>
      <c r="N2" s="273"/>
      <c r="O2" s="273"/>
      <c r="P2" s="274"/>
      <c r="Q2" s="259"/>
      <c r="R2" s="257"/>
      <c r="S2" s="257"/>
      <c r="T2" s="259"/>
      <c r="U2" s="257"/>
      <c r="V2" s="257"/>
      <c r="W2" s="257"/>
      <c r="X2" s="262" t="s">
        <v>10</v>
      </c>
      <c r="Y2" s="262"/>
      <c r="Z2" s="262" t="s">
        <v>10</v>
      </c>
      <c r="AA2" s="262"/>
      <c r="AB2" s="11">
        <f>IF($Z$2="No",(0),"$400")</f>
        <v>0</v>
      </c>
      <c r="AC2" s="12">
        <v>0</v>
      </c>
      <c r="AD2" s="261"/>
    </row>
    <row r="3" spans="1:93" ht="11.1" x14ac:dyDescent="0.55000000000000004">
      <c r="A3" s="259" t="s">
        <v>11</v>
      </c>
      <c r="B3" s="263"/>
      <c r="C3" s="259" t="s">
        <v>12</v>
      </c>
      <c r="D3" s="263"/>
      <c r="E3" s="263"/>
      <c r="F3" s="259" t="s">
        <v>13</v>
      </c>
      <c r="G3" s="259"/>
      <c r="H3" s="257"/>
      <c r="I3" s="257"/>
      <c r="J3" s="259" t="s">
        <v>14</v>
      </c>
      <c r="K3" s="257"/>
      <c r="L3" s="257"/>
      <c r="M3" s="258" t="s">
        <v>15</v>
      </c>
      <c r="N3" s="258"/>
      <c r="O3" s="258"/>
      <c r="P3" s="258"/>
      <c r="Q3" s="259" t="s">
        <v>16</v>
      </c>
      <c r="R3" s="257"/>
      <c r="S3" s="257"/>
      <c r="T3" s="259" t="s">
        <v>17</v>
      </c>
      <c r="U3" s="260"/>
      <c r="V3" s="260"/>
      <c r="W3" s="260"/>
      <c r="X3" s="266" t="s">
        <v>18</v>
      </c>
      <c r="Y3" s="264"/>
      <c r="Z3" s="264" t="s">
        <v>19</v>
      </c>
      <c r="AA3" s="265"/>
      <c r="AB3" s="2" t="s">
        <v>20</v>
      </c>
      <c r="AC3" s="1" t="s">
        <v>21</v>
      </c>
      <c r="AD3" s="261"/>
      <c r="AE3" s="13"/>
      <c r="AF3" s="13"/>
      <c r="AG3" s="14"/>
      <c r="AH3" s="14"/>
      <c r="AI3" s="14"/>
      <c r="AJ3" s="14"/>
      <c r="AK3" s="14"/>
      <c r="AL3" s="14"/>
      <c r="AM3" s="14"/>
      <c r="AN3" s="14"/>
      <c r="AO3" s="14"/>
      <c r="AP3" s="14"/>
      <c r="AS3" s="13"/>
      <c r="AT3" s="13"/>
      <c r="AZ3" s="5"/>
      <c r="BA3" s="5"/>
      <c r="BB3" s="5"/>
      <c r="BF3" s="5"/>
    </row>
    <row r="4" spans="1:93" ht="11.1" x14ac:dyDescent="0.55000000000000004">
      <c r="A4" s="259"/>
      <c r="B4" s="263"/>
      <c r="C4" s="259"/>
      <c r="D4" s="263"/>
      <c r="E4" s="263"/>
      <c r="F4" s="259"/>
      <c r="G4" s="259"/>
      <c r="H4" s="257"/>
      <c r="I4" s="257"/>
      <c r="J4" s="259"/>
      <c r="K4" s="257"/>
      <c r="L4" s="257"/>
      <c r="M4" s="258"/>
      <c r="N4" s="258"/>
      <c r="O4" s="258"/>
      <c r="P4" s="258"/>
      <c r="Q4" s="259"/>
      <c r="R4" s="257"/>
      <c r="S4" s="257"/>
      <c r="T4" s="259"/>
      <c r="U4" s="260"/>
      <c r="V4" s="260"/>
      <c r="W4" s="260"/>
      <c r="X4" s="255"/>
      <c r="Y4" s="256"/>
      <c r="Z4" s="15"/>
      <c r="AA4" s="16"/>
      <c r="AB4" s="17">
        <v>0</v>
      </c>
      <c r="AC4" s="18"/>
      <c r="AD4" s="261"/>
      <c r="AE4" s="13"/>
      <c r="AF4" s="13"/>
      <c r="AG4" s="14"/>
      <c r="AH4" s="14"/>
      <c r="AI4" s="14"/>
      <c r="AJ4" s="14"/>
      <c r="AK4" s="14"/>
      <c r="AL4" s="14"/>
      <c r="AM4" s="14"/>
      <c r="AN4" s="14"/>
      <c r="AO4" s="14"/>
      <c r="AP4" s="14"/>
      <c r="AS4" s="13"/>
      <c r="AT4" s="13"/>
      <c r="AY4" s="6"/>
      <c r="AZ4" s="5"/>
      <c r="BA4" s="5"/>
      <c r="BB4" s="5"/>
      <c r="BF4" s="5"/>
    </row>
    <row r="5" spans="1:93" ht="11.4" thickBot="1" x14ac:dyDescent="0.6">
      <c r="A5" s="244" t="s">
        <v>22</v>
      </c>
      <c r="B5" s="244" t="s">
        <v>23</v>
      </c>
      <c r="C5" s="244"/>
      <c r="D5" s="244"/>
      <c r="E5" s="244"/>
      <c r="F5" s="244" t="s">
        <v>24</v>
      </c>
      <c r="G5" s="244" t="s">
        <v>25</v>
      </c>
      <c r="H5" s="244" t="s">
        <v>26</v>
      </c>
      <c r="I5" s="244" t="s">
        <v>27</v>
      </c>
      <c r="J5" s="244" t="s">
        <v>28</v>
      </c>
      <c r="K5" s="244" t="s">
        <v>29</v>
      </c>
      <c r="L5" s="20" t="s">
        <v>30</v>
      </c>
      <c r="M5" s="21"/>
      <c r="N5" s="22"/>
      <c r="O5" s="22"/>
      <c r="P5" s="23"/>
      <c r="Q5" s="24">
        <v>0.2</v>
      </c>
      <c r="R5" s="245" t="s">
        <v>31</v>
      </c>
      <c r="S5" s="25" t="s">
        <v>32</v>
      </c>
      <c r="T5" s="247" t="s">
        <v>33</v>
      </c>
      <c r="U5" s="248"/>
      <c r="V5" s="248"/>
      <c r="W5" s="249"/>
      <c r="X5" s="253" t="s">
        <v>34</v>
      </c>
      <c r="Y5" s="253"/>
      <c r="Z5" s="254" t="s">
        <v>35</v>
      </c>
      <c r="AA5" s="254" t="s">
        <v>26</v>
      </c>
      <c r="AB5" s="237" t="s">
        <v>36</v>
      </c>
      <c r="AC5" s="239" t="s">
        <v>21</v>
      </c>
      <c r="AD5" s="261"/>
      <c r="AE5" s="13"/>
      <c r="AF5" s="13"/>
      <c r="AG5" s="14"/>
      <c r="AH5" s="14"/>
      <c r="AI5" s="14"/>
      <c r="AJ5" s="14"/>
      <c r="AK5" s="14"/>
      <c r="AL5" s="14"/>
      <c r="AM5" s="14"/>
      <c r="AN5" s="14"/>
      <c r="AO5" s="14"/>
      <c r="AP5" s="14"/>
      <c r="AS5" s="13"/>
      <c r="AT5" s="13"/>
      <c r="AY5" s="6"/>
      <c r="AZ5" s="5"/>
      <c r="BA5" s="5"/>
      <c r="BB5" s="5"/>
      <c r="BF5" s="5"/>
      <c r="CL5" s="5" t="s">
        <v>390</v>
      </c>
    </row>
    <row r="6" spans="1:93" ht="14.7" thickBot="1" x14ac:dyDescent="0.6">
      <c r="A6" s="244"/>
      <c r="B6" s="244"/>
      <c r="C6" s="244"/>
      <c r="D6" s="244"/>
      <c r="E6" s="244"/>
      <c r="F6" s="244"/>
      <c r="G6" s="244"/>
      <c r="H6" s="244"/>
      <c r="I6" s="244"/>
      <c r="J6" s="244"/>
      <c r="K6" s="244"/>
      <c r="L6" s="19" t="s">
        <v>37</v>
      </c>
      <c r="M6" s="26" t="s">
        <v>38</v>
      </c>
      <c r="N6" s="26" t="s">
        <v>39</v>
      </c>
      <c r="O6" s="26" t="s">
        <v>40</v>
      </c>
      <c r="P6" s="26" t="s">
        <v>41</v>
      </c>
      <c r="Q6" s="19" t="s">
        <v>42</v>
      </c>
      <c r="R6" s="246"/>
      <c r="S6" s="27" t="b">
        <v>0</v>
      </c>
      <c r="T6" s="250"/>
      <c r="U6" s="251"/>
      <c r="V6" s="251"/>
      <c r="W6" s="252"/>
      <c r="X6" s="253"/>
      <c r="Y6" s="253"/>
      <c r="Z6" s="254"/>
      <c r="AA6" s="254"/>
      <c r="AB6" s="238"/>
      <c r="AC6" s="240"/>
      <c r="AD6" s="261"/>
      <c r="AG6" s="28" t="s">
        <v>43</v>
      </c>
      <c r="AH6" s="14"/>
      <c r="AI6" s="14"/>
      <c r="AJ6" s="29" t="s">
        <v>44</v>
      </c>
      <c r="AK6" s="14"/>
      <c r="AL6" s="14"/>
      <c r="AM6" s="30" t="s">
        <v>45</v>
      </c>
      <c r="AN6" s="30" t="s">
        <v>46</v>
      </c>
      <c r="AO6" s="30" t="s">
        <v>47</v>
      </c>
      <c r="AP6" s="30" t="s">
        <v>48</v>
      </c>
      <c r="AQ6" s="31" t="s">
        <v>49</v>
      </c>
      <c r="AR6" s="30" t="s">
        <v>50</v>
      </c>
      <c r="AS6" s="32" t="s">
        <v>51</v>
      </c>
      <c r="AT6" s="33" t="s">
        <v>52</v>
      </c>
      <c r="AU6" s="32" t="s">
        <v>53</v>
      </c>
      <c r="AV6" s="28" t="s">
        <v>54</v>
      </c>
      <c r="AW6" s="28" t="s">
        <v>55</v>
      </c>
      <c r="AX6" s="14"/>
      <c r="AY6" s="34" t="s">
        <v>56</v>
      </c>
      <c r="AZ6" s="35" t="s">
        <v>57</v>
      </c>
      <c r="BA6" s="35" t="s">
        <v>58</v>
      </c>
      <c r="BB6" s="35" t="s">
        <v>59</v>
      </c>
      <c r="BC6" s="35" t="s">
        <v>60</v>
      </c>
      <c r="BD6" s="36" t="s">
        <v>61</v>
      </c>
      <c r="BE6" s="35" t="s">
        <v>62</v>
      </c>
      <c r="BF6" s="36" t="s">
        <v>63</v>
      </c>
      <c r="BG6" s="34" t="s">
        <v>64</v>
      </c>
      <c r="BH6" s="35" t="s">
        <v>65</v>
      </c>
      <c r="BI6" s="35" t="s">
        <v>66</v>
      </c>
      <c r="BJ6" s="35" t="s">
        <v>67</v>
      </c>
      <c r="BK6" s="36" t="s">
        <v>68</v>
      </c>
      <c r="BL6" s="30" t="s">
        <v>388</v>
      </c>
      <c r="BN6" s="5" t="s">
        <v>69</v>
      </c>
      <c r="BO6" s="5" t="s">
        <v>70</v>
      </c>
      <c r="BP6" s="5" t="s">
        <v>71</v>
      </c>
      <c r="BQ6" s="5" t="s">
        <v>72</v>
      </c>
      <c r="BR6" s="5" t="s">
        <v>73</v>
      </c>
      <c r="BS6" s="5" t="s">
        <v>74</v>
      </c>
      <c r="BT6" s="5" t="s">
        <v>75</v>
      </c>
      <c r="BU6" s="5" t="s">
        <v>76</v>
      </c>
      <c r="BV6" s="6" t="s">
        <v>77</v>
      </c>
      <c r="BW6" s="37" t="s">
        <v>26</v>
      </c>
      <c r="BX6" s="38" t="s">
        <v>78</v>
      </c>
      <c r="BY6" s="38" t="s">
        <v>79</v>
      </c>
      <c r="BZ6" s="38" t="s">
        <v>35</v>
      </c>
      <c r="CA6" s="39" t="s">
        <v>80</v>
      </c>
      <c r="CB6" s="40" t="s">
        <v>26</v>
      </c>
      <c r="CC6" s="40" t="s">
        <v>81</v>
      </c>
      <c r="CD6" s="41" t="s">
        <v>82</v>
      </c>
      <c r="CE6" s="41" t="s">
        <v>83</v>
      </c>
      <c r="CF6" s="41" t="s">
        <v>84</v>
      </c>
      <c r="CG6" s="10"/>
      <c r="CH6" s="141" t="s">
        <v>366</v>
      </c>
      <c r="CI6" s="142" t="s">
        <v>367</v>
      </c>
      <c r="CJ6" s="142" t="s">
        <v>368</v>
      </c>
      <c r="CK6" s="143" t="s">
        <v>369</v>
      </c>
      <c r="CL6" s="5" t="s">
        <v>391</v>
      </c>
      <c r="CN6" s="275" t="s">
        <v>392</v>
      </c>
      <c r="CO6" s="276" t="s">
        <v>393</v>
      </c>
    </row>
    <row r="7" spans="1:93" ht="12" customHeight="1" thickBot="1" x14ac:dyDescent="0.6">
      <c r="A7" s="42"/>
      <c r="B7" s="230"/>
      <c r="C7" s="231"/>
      <c r="D7" s="231"/>
      <c r="E7" s="232"/>
      <c r="F7" s="43"/>
      <c r="G7" s="43"/>
      <c r="H7" s="44"/>
      <c r="I7" s="45"/>
      <c r="J7" s="43"/>
      <c r="K7" s="46"/>
      <c r="L7" s="47">
        <f t="shared" ref="L7:L100" si="0">(I7*J7*K7)/144</f>
        <v>0</v>
      </c>
      <c r="M7" s="43"/>
      <c r="N7" s="43"/>
      <c r="O7" s="43"/>
      <c r="P7" s="46"/>
      <c r="Q7" s="47">
        <f>IF(P7&lt;&gt;"",M7*O7*P7/144,L7*(1+$Q$5))</f>
        <v>0</v>
      </c>
      <c r="R7" s="233"/>
      <c r="S7" s="234"/>
      <c r="T7" s="241"/>
      <c r="U7" s="242"/>
      <c r="V7" s="242"/>
      <c r="W7" s="243"/>
      <c r="X7" s="235" t="str">
        <f>IFERROR(INDEX(Table3923[],MATCH(R7,Table3923[Column1],),3),"")</f>
        <v/>
      </c>
      <c r="Y7" s="235"/>
      <c r="Z7" s="48" t="s">
        <v>85</v>
      </c>
      <c r="AA7" s="48" t="s">
        <v>85</v>
      </c>
      <c r="AB7" s="49"/>
      <c r="AC7" s="50"/>
      <c r="AD7" s="51">
        <f t="shared" ref="AD7:AD38" si="1">SUM(AV7+AW7)</f>
        <v>0</v>
      </c>
      <c r="AG7" s="52">
        <f t="shared" ref="AG7:AG70" si="2">(((I7*2)+(J7*2))*K7)/12</f>
        <v>0</v>
      </c>
      <c r="AH7" s="53"/>
      <c r="AJ7" s="54">
        <v>40</v>
      </c>
      <c r="AM7" s="55">
        <f t="shared" ref="AM7:AM70" si="3">IFERROR((Q7*X7),0)</f>
        <v>0</v>
      </c>
      <c r="AN7" s="55">
        <f t="shared" ref="AN7:AN70" si="4">IFERROR((AY7/$B$158)*$X$4,0)</f>
        <v>0</v>
      </c>
      <c r="AO7" s="55">
        <f t="shared" ref="AO7:AO38" si="5">BC7+BJ7+BE7</f>
        <v>0</v>
      </c>
      <c r="AP7" s="56">
        <f t="shared" ref="AP7:AP38" si="6">(($AB$4*$AJ$7)+($AC$2*$AJ$7))*BL7</f>
        <v>0</v>
      </c>
      <c r="AQ7" s="55" t="str">
        <f>IF(AND($X$2="Yes", $Z$2="No"), ((AO7+AP7)*0.25),"0.00")</f>
        <v>0.00</v>
      </c>
      <c r="AR7" s="55" t="str">
        <f t="shared" ref="AR7:AR38" si="7">IF($Z$2="No","0",(((AP7/$AJ$7)+BF7+BH7)*$AJ$13)-(AP7+BC7+BE7+BJ7))</f>
        <v>0</v>
      </c>
      <c r="AS7" s="57">
        <f>((AO7+AP7)/$AJ$7)*$AJ$10</f>
        <v>0</v>
      </c>
      <c r="AT7" s="58">
        <f t="shared" ref="AT7:AT70" si="8">AD7*$AB$163</f>
        <v>0</v>
      </c>
      <c r="AU7" s="57">
        <f t="shared" ref="AU7:AU70" si="9">AD7-AV7-AT7-AS7</f>
        <v>0</v>
      </c>
      <c r="AV7" s="59">
        <f>SUM(AM7+AN7+AO7+AP7+AQ7+AR7)</f>
        <v>0</v>
      </c>
      <c r="AW7" s="59">
        <f t="shared" ref="AW7:AW70" si="10">AV7*$AB$167</f>
        <v>0</v>
      </c>
      <c r="AX7" s="9"/>
      <c r="AY7" s="60">
        <f t="shared" ref="AY7:AY38" si="11">IF(R7="removal only",0,((I7*J7*K7)/144))</f>
        <v>0</v>
      </c>
      <c r="AZ7" s="61">
        <f>_xlfn.IFNA(INDEX(Table3923[Column4],MATCH(R7,Table3923[Column1],0)),1.5)</f>
        <v>1.5</v>
      </c>
      <c r="BA7" s="62">
        <f>VLOOKUP(Z7,Table1331[#All],2,FALSE)</f>
        <v>1</v>
      </c>
      <c r="BB7" s="61">
        <f>AZ7*BA7</f>
        <v>1.5</v>
      </c>
      <c r="BC7" s="55">
        <f t="shared" ref="BC7:BC38" si="12">IF(R7="removal only",0,(AY7*BB7))</f>
        <v>0</v>
      </c>
      <c r="BD7" s="43">
        <f t="shared" ref="BD7:BD38" si="13">IF(R7="removal only",0,K7)</f>
        <v>0</v>
      </c>
      <c r="BE7" s="63">
        <f t="shared" ref="BE7:BE38" si="14">(AB7/60)*$AJ$7</f>
        <v>0</v>
      </c>
      <c r="BF7" s="60">
        <f t="shared" ref="BF7:BF38" si="15">IF(R7="removal only",0,(BC7+BE7)/$AJ$7)</f>
        <v>0</v>
      </c>
      <c r="BG7" s="60">
        <f t="shared" ref="BG7:BG38" si="16">IF(H7="Yes",((I7*J7*K7)/144),0)</f>
        <v>0</v>
      </c>
      <c r="BH7" s="60">
        <f t="shared" ref="BH7:BH38" si="17">IF(BG7="0",0,BJ7/$AJ$7)</f>
        <v>0</v>
      </c>
      <c r="BI7" s="55">
        <f>VLOOKUP(AA7,Table1533[#All],2,FALSE)</f>
        <v>1.25</v>
      </c>
      <c r="BJ7" s="55">
        <f t="shared" ref="BJ7:BJ38" si="18">IF(H7="Yes",BG7*BI7,0)</f>
        <v>0</v>
      </c>
      <c r="BK7" s="43" t="str">
        <f t="shared" ref="BK7:BK38" si="19">IF(H7="Yes",K7,"0")</f>
        <v>0</v>
      </c>
      <c r="BL7" s="62">
        <f>IFERROR((BF7+BH7)/($S$158-$AB$4-$AC$2),0)</f>
        <v>0</v>
      </c>
      <c r="BN7" s="5" t="s">
        <v>86</v>
      </c>
      <c r="BO7" s="5" t="s">
        <v>87</v>
      </c>
      <c r="BP7" s="5" t="s">
        <v>88</v>
      </c>
      <c r="BQ7" s="5" t="s">
        <v>89</v>
      </c>
      <c r="BR7" s="5" t="s">
        <v>90</v>
      </c>
      <c r="BS7" s="5" t="s">
        <v>91</v>
      </c>
      <c r="BT7" s="6" t="s">
        <v>92</v>
      </c>
      <c r="BU7" s="6" t="s">
        <v>93</v>
      </c>
      <c r="BV7" s="6" t="s">
        <v>94</v>
      </c>
      <c r="BW7" s="64" t="s">
        <v>95</v>
      </c>
      <c r="BX7" s="65">
        <v>0</v>
      </c>
      <c r="BY7" s="66">
        <v>10</v>
      </c>
      <c r="BZ7" s="67" t="s">
        <v>96</v>
      </c>
      <c r="CA7" s="68">
        <v>0</v>
      </c>
      <c r="CB7" s="69" t="s">
        <v>97</v>
      </c>
      <c r="CC7" s="70">
        <v>0.75</v>
      </c>
      <c r="CD7" s="71" t="s">
        <v>98</v>
      </c>
      <c r="CE7" s="72" t="s">
        <v>95</v>
      </c>
      <c r="CF7" s="72" t="s">
        <v>10</v>
      </c>
      <c r="CG7" s="10"/>
      <c r="CH7" s="144" t="s">
        <v>99</v>
      </c>
      <c r="CI7" s="145">
        <v>0</v>
      </c>
      <c r="CJ7" s="145">
        <f t="shared" ref="CJ7:CJ12" si="20">CI7*1.1</f>
        <v>0</v>
      </c>
      <c r="CK7" s="146">
        <v>1.5</v>
      </c>
      <c r="CL7" s="277">
        <f>(L9*H9)/12</f>
        <v>0</v>
      </c>
      <c r="CN7" s="278">
        <v>0</v>
      </c>
      <c r="CO7" s="279">
        <v>0</v>
      </c>
    </row>
    <row r="8" spans="1:93" ht="12" customHeight="1" thickBot="1" x14ac:dyDescent="0.6">
      <c r="A8" s="42"/>
      <c r="B8" s="230"/>
      <c r="C8" s="231"/>
      <c r="D8" s="231"/>
      <c r="E8" s="232"/>
      <c r="F8" s="43"/>
      <c r="G8" s="43"/>
      <c r="H8" s="44"/>
      <c r="I8" s="45"/>
      <c r="J8" s="43"/>
      <c r="K8" s="46"/>
      <c r="L8" s="47">
        <f t="shared" si="0"/>
        <v>0</v>
      </c>
      <c r="M8" s="43"/>
      <c r="N8" s="43"/>
      <c r="O8" s="43"/>
      <c r="P8" s="46"/>
      <c r="Q8" s="47">
        <f t="shared" ref="Q8:Q71" si="21">IF(P8&lt;&gt;"",M8*O8*P8/144,L8*(1+$Q$5))</f>
        <v>0</v>
      </c>
      <c r="R8" s="233"/>
      <c r="S8" s="234"/>
      <c r="T8" s="230"/>
      <c r="U8" s="231"/>
      <c r="V8" s="231"/>
      <c r="W8" s="232"/>
      <c r="X8" s="235" t="str">
        <f>IFERROR(INDEX(Table3923[],MATCH(R8,Table3923[Column1],),3),"")</f>
        <v/>
      </c>
      <c r="Y8" s="235"/>
      <c r="Z8" s="48" t="s">
        <v>85</v>
      </c>
      <c r="AA8" s="48" t="s">
        <v>85</v>
      </c>
      <c r="AB8" s="49"/>
      <c r="AC8" s="50"/>
      <c r="AD8" s="51">
        <f t="shared" si="1"/>
        <v>0</v>
      </c>
      <c r="AG8" s="52">
        <f t="shared" si="2"/>
        <v>0</v>
      </c>
      <c r="AH8" s="53"/>
      <c r="AJ8" s="73"/>
      <c r="AM8" s="55">
        <f t="shared" si="3"/>
        <v>0</v>
      </c>
      <c r="AN8" s="55">
        <f t="shared" si="4"/>
        <v>0</v>
      </c>
      <c r="AO8" s="55">
        <f t="shared" si="5"/>
        <v>0</v>
      </c>
      <c r="AP8" s="56">
        <f t="shared" si="6"/>
        <v>0</v>
      </c>
      <c r="AQ8" s="55" t="str">
        <f t="shared" ref="AQ8:AQ71" si="22">IF(AND($X$2="Yes", $Z$2="No"), ((AO8+AP8)*0.25),"0.00")</f>
        <v>0.00</v>
      </c>
      <c r="AR8" s="55" t="str">
        <f t="shared" si="7"/>
        <v>0</v>
      </c>
      <c r="AS8" s="57">
        <f t="shared" ref="AS8:AS71" si="23">((AO8+AP8)/$AJ$7)*$AJ$10</f>
        <v>0</v>
      </c>
      <c r="AT8" s="58">
        <f t="shared" si="8"/>
        <v>0</v>
      </c>
      <c r="AU8" s="57">
        <f t="shared" si="9"/>
        <v>0</v>
      </c>
      <c r="AV8" s="59">
        <f t="shared" ref="AV8:AV71" si="24">SUM(AM8+AN8+AO8+AP8+AQ8+AR8)</f>
        <v>0</v>
      </c>
      <c r="AW8" s="59">
        <f t="shared" si="10"/>
        <v>0</v>
      </c>
      <c r="AX8" s="9"/>
      <c r="AY8" s="60">
        <f t="shared" si="11"/>
        <v>0</v>
      </c>
      <c r="AZ8" s="61">
        <f>_xlfn.IFNA(INDEX(Table3923[Column4],MATCH(R8,Table3923[Column1],0)),1.5)</f>
        <v>1.5</v>
      </c>
      <c r="BA8" s="62">
        <f>VLOOKUP(Z8,Table1331[#All],2,FALSE)</f>
        <v>1</v>
      </c>
      <c r="BB8" s="61">
        <f t="shared" ref="BB8:BB100" si="25">AZ8*BA8</f>
        <v>1.5</v>
      </c>
      <c r="BC8" s="55">
        <f t="shared" si="12"/>
        <v>0</v>
      </c>
      <c r="BD8" s="43">
        <f t="shared" si="13"/>
        <v>0</v>
      </c>
      <c r="BE8" s="63">
        <f t="shared" si="14"/>
        <v>0</v>
      </c>
      <c r="BF8" s="60">
        <f t="shared" si="15"/>
        <v>0</v>
      </c>
      <c r="BG8" s="60">
        <f t="shared" si="16"/>
        <v>0</v>
      </c>
      <c r="BH8" s="60">
        <f t="shared" si="17"/>
        <v>0</v>
      </c>
      <c r="BI8" s="55">
        <f>VLOOKUP(AA8,Table1533[#All],2,FALSE)</f>
        <v>1.25</v>
      </c>
      <c r="BJ8" s="55">
        <f t="shared" si="18"/>
        <v>0</v>
      </c>
      <c r="BK8" s="43" t="str">
        <f t="shared" si="19"/>
        <v>0</v>
      </c>
      <c r="BL8" s="62">
        <f t="shared" ref="BL8:BL71" si="26">IFERROR((BF8+BH8)/($S$158-$AB$4-$AC$2),0)</f>
        <v>0</v>
      </c>
      <c r="BN8" s="5" t="s">
        <v>100</v>
      </c>
      <c r="BO8" s="5" t="s">
        <v>101</v>
      </c>
      <c r="BP8" s="5" t="s">
        <v>102</v>
      </c>
      <c r="BQ8" s="5" t="s">
        <v>103</v>
      </c>
      <c r="BR8" s="5" t="s">
        <v>104</v>
      </c>
      <c r="BS8" s="5" t="s">
        <v>105</v>
      </c>
      <c r="BT8" s="6" t="s">
        <v>106</v>
      </c>
      <c r="BU8" s="6" t="s">
        <v>107</v>
      </c>
      <c r="BV8" s="6" t="s">
        <v>108</v>
      </c>
      <c r="BW8" s="64"/>
      <c r="BX8" s="67">
        <v>1</v>
      </c>
      <c r="BY8" s="67">
        <v>15</v>
      </c>
      <c r="BZ8" s="66" t="s">
        <v>97</v>
      </c>
      <c r="CA8" s="74">
        <v>0.5</v>
      </c>
      <c r="CB8" s="75" t="s">
        <v>85</v>
      </c>
      <c r="CC8" s="76">
        <v>1.25</v>
      </c>
      <c r="CD8" s="77" t="s">
        <v>109</v>
      </c>
      <c r="CE8" s="77" t="s">
        <v>10</v>
      </c>
      <c r="CF8" s="77" t="s">
        <v>110</v>
      </c>
      <c r="CG8" s="10"/>
      <c r="CH8" s="144"/>
      <c r="CI8" s="145"/>
      <c r="CJ8" s="145"/>
      <c r="CK8" s="146"/>
      <c r="CL8" s="277">
        <f>(L10*H10)/12</f>
        <v>0</v>
      </c>
      <c r="CN8" s="280" t="s">
        <v>394</v>
      </c>
      <c r="CO8" s="281" cm="1">
        <f t="array" aca="1" ref="CO8" ca="1">IFERROR(CN7*12,0)+SUM(MID(0&amp;CO7,LARGE(ISNUMBER(--MID(CO7,ROW(INDIRECT("1:"&amp;LEN(CO7))),1))*ROW(INDIRECT("1:"&amp;LEN(CO7))),ROW(INDIRECT("1:"&amp;LEN(CO7))))+1,1)*10^ROW(INDIRECT("1:"&amp;LEN(CO7)))/10)</f>
        <v>0</v>
      </c>
    </row>
    <row r="9" spans="1:93" ht="12" customHeight="1" thickBot="1" x14ac:dyDescent="0.6">
      <c r="A9" s="42"/>
      <c r="B9" s="230"/>
      <c r="C9" s="231"/>
      <c r="D9" s="231"/>
      <c r="E9" s="232"/>
      <c r="F9" s="43"/>
      <c r="G9" s="43"/>
      <c r="H9" s="44"/>
      <c r="I9" s="45"/>
      <c r="J9" s="43"/>
      <c r="K9" s="46"/>
      <c r="L9" s="47">
        <f t="shared" si="0"/>
        <v>0</v>
      </c>
      <c r="M9" s="43"/>
      <c r="N9" s="43"/>
      <c r="O9" s="43"/>
      <c r="P9" s="46"/>
      <c r="Q9" s="47">
        <f t="shared" si="21"/>
        <v>0</v>
      </c>
      <c r="R9" s="233"/>
      <c r="S9" s="234"/>
      <c r="T9" s="230"/>
      <c r="U9" s="231"/>
      <c r="V9" s="231"/>
      <c r="W9" s="232"/>
      <c r="X9" s="235" t="str">
        <f>IFERROR(INDEX(Table3923[],MATCH(R9,Table3923[Column1],),3),"")</f>
        <v/>
      </c>
      <c r="Y9" s="235"/>
      <c r="Z9" s="48" t="s">
        <v>85</v>
      </c>
      <c r="AA9" s="48" t="s">
        <v>85</v>
      </c>
      <c r="AB9" s="49"/>
      <c r="AC9" s="50"/>
      <c r="AD9" s="51">
        <f t="shared" si="1"/>
        <v>0</v>
      </c>
      <c r="AG9" s="52">
        <f t="shared" si="2"/>
        <v>0</v>
      </c>
      <c r="AH9" s="53"/>
      <c r="AJ9" s="29" t="s">
        <v>111</v>
      </c>
      <c r="AM9" s="55">
        <f t="shared" si="3"/>
        <v>0</v>
      </c>
      <c r="AN9" s="55">
        <f t="shared" si="4"/>
        <v>0</v>
      </c>
      <c r="AO9" s="55">
        <f t="shared" si="5"/>
        <v>0</v>
      </c>
      <c r="AP9" s="56">
        <f t="shared" si="6"/>
        <v>0</v>
      </c>
      <c r="AQ9" s="55" t="str">
        <f t="shared" si="22"/>
        <v>0.00</v>
      </c>
      <c r="AR9" s="55" t="str">
        <f t="shared" si="7"/>
        <v>0</v>
      </c>
      <c r="AS9" s="57">
        <f t="shared" si="23"/>
        <v>0</v>
      </c>
      <c r="AT9" s="58">
        <f t="shared" si="8"/>
        <v>0</v>
      </c>
      <c r="AU9" s="57">
        <f t="shared" si="9"/>
        <v>0</v>
      </c>
      <c r="AV9" s="59">
        <f t="shared" si="24"/>
        <v>0</v>
      </c>
      <c r="AW9" s="59">
        <f t="shared" si="10"/>
        <v>0</v>
      </c>
      <c r="AX9" s="9"/>
      <c r="AY9" s="60">
        <f t="shared" si="11"/>
        <v>0</v>
      </c>
      <c r="AZ9" s="61">
        <f>_xlfn.IFNA(INDEX(Table3923[Column4],MATCH(R9,Table3923[Column1],0)),1.5)</f>
        <v>1.5</v>
      </c>
      <c r="BA9" s="62">
        <f>VLOOKUP(Z9,Table1331[#All],2,FALSE)</f>
        <v>1</v>
      </c>
      <c r="BB9" s="61">
        <f t="shared" si="25"/>
        <v>1.5</v>
      </c>
      <c r="BC9" s="55">
        <f t="shared" si="12"/>
        <v>0</v>
      </c>
      <c r="BD9" s="43">
        <f t="shared" si="13"/>
        <v>0</v>
      </c>
      <c r="BE9" s="63">
        <f t="shared" si="14"/>
        <v>0</v>
      </c>
      <c r="BF9" s="60">
        <f t="shared" si="15"/>
        <v>0</v>
      </c>
      <c r="BG9" s="60">
        <f t="shared" si="16"/>
        <v>0</v>
      </c>
      <c r="BH9" s="60">
        <f t="shared" si="17"/>
        <v>0</v>
      </c>
      <c r="BI9" s="55">
        <f>VLOOKUP(AA9,Table1533[#All],2,FALSE)</f>
        <v>1.25</v>
      </c>
      <c r="BJ9" s="55">
        <f t="shared" si="18"/>
        <v>0</v>
      </c>
      <c r="BK9" s="43" t="str">
        <f t="shared" si="19"/>
        <v>0</v>
      </c>
      <c r="BL9" s="62">
        <f t="shared" si="26"/>
        <v>0</v>
      </c>
      <c r="BN9" s="5" t="s">
        <v>112</v>
      </c>
      <c r="BO9" s="5" t="s">
        <v>113</v>
      </c>
      <c r="BP9" s="5" t="s">
        <v>114</v>
      </c>
      <c r="BQ9" s="5" t="s">
        <v>115</v>
      </c>
      <c r="BR9" s="5" t="s">
        <v>116</v>
      </c>
      <c r="BS9" s="5" t="s">
        <v>117</v>
      </c>
      <c r="BT9" s="6" t="s">
        <v>118</v>
      </c>
      <c r="BU9" s="6" t="s">
        <v>119</v>
      </c>
      <c r="BV9" s="6" t="s">
        <v>120</v>
      </c>
      <c r="BW9" s="64"/>
      <c r="BX9" s="65">
        <v>1.5</v>
      </c>
      <c r="BY9" s="67">
        <v>20</v>
      </c>
      <c r="BZ9" s="67" t="s">
        <v>85</v>
      </c>
      <c r="CA9" s="68">
        <v>1</v>
      </c>
      <c r="CB9" s="69" t="s">
        <v>121</v>
      </c>
      <c r="CC9" s="70">
        <v>1.75</v>
      </c>
      <c r="CD9" s="72" t="s">
        <v>122</v>
      </c>
      <c r="CE9" s="77"/>
      <c r="CF9" s="77" t="s">
        <v>123</v>
      </c>
      <c r="CG9" s="10"/>
      <c r="CH9" s="144" t="s">
        <v>124</v>
      </c>
      <c r="CI9" s="145">
        <v>0</v>
      </c>
      <c r="CJ9" s="145">
        <f t="shared" si="20"/>
        <v>0</v>
      </c>
      <c r="CK9" s="146">
        <v>0</v>
      </c>
      <c r="CL9" s="277">
        <f>(L11*H11)/12</f>
        <v>0</v>
      </c>
    </row>
    <row r="10" spans="1:93" ht="12" customHeight="1" thickBot="1" x14ac:dyDescent="0.6">
      <c r="A10" s="42"/>
      <c r="B10" s="230"/>
      <c r="C10" s="231"/>
      <c r="D10" s="231"/>
      <c r="E10" s="232"/>
      <c r="F10" s="43"/>
      <c r="G10" s="43"/>
      <c r="H10" s="44"/>
      <c r="I10" s="45"/>
      <c r="J10" s="43"/>
      <c r="K10" s="46"/>
      <c r="L10" s="47">
        <f t="shared" si="0"/>
        <v>0</v>
      </c>
      <c r="M10" s="43"/>
      <c r="N10" s="43"/>
      <c r="O10" s="43"/>
      <c r="P10" s="46"/>
      <c r="Q10" s="47">
        <f t="shared" si="21"/>
        <v>0</v>
      </c>
      <c r="R10" s="233"/>
      <c r="S10" s="234"/>
      <c r="T10" s="230"/>
      <c r="U10" s="231"/>
      <c r="V10" s="231"/>
      <c r="W10" s="232"/>
      <c r="X10" s="235" t="str">
        <f>IFERROR(INDEX(Table3923[],MATCH(R10,Table3923[Column1],),3),"")</f>
        <v/>
      </c>
      <c r="Y10" s="235"/>
      <c r="Z10" s="48" t="s">
        <v>85</v>
      </c>
      <c r="AA10" s="48" t="s">
        <v>85</v>
      </c>
      <c r="AB10" s="49"/>
      <c r="AC10" s="50"/>
      <c r="AD10" s="51">
        <f t="shared" si="1"/>
        <v>0</v>
      </c>
      <c r="AG10" s="52">
        <f t="shared" si="2"/>
        <v>0</v>
      </c>
      <c r="AH10" s="53"/>
      <c r="AJ10" s="54">
        <v>45</v>
      </c>
      <c r="AM10" s="55">
        <f t="shared" si="3"/>
        <v>0</v>
      </c>
      <c r="AN10" s="55">
        <f t="shared" si="4"/>
        <v>0</v>
      </c>
      <c r="AO10" s="55">
        <f t="shared" si="5"/>
        <v>0</v>
      </c>
      <c r="AP10" s="56">
        <f t="shared" si="6"/>
        <v>0</v>
      </c>
      <c r="AQ10" s="55" t="str">
        <f t="shared" si="22"/>
        <v>0.00</v>
      </c>
      <c r="AR10" s="55" t="str">
        <f t="shared" si="7"/>
        <v>0</v>
      </c>
      <c r="AS10" s="57">
        <f t="shared" si="23"/>
        <v>0</v>
      </c>
      <c r="AT10" s="58">
        <f t="shared" si="8"/>
        <v>0</v>
      </c>
      <c r="AU10" s="57">
        <f t="shared" si="9"/>
        <v>0</v>
      </c>
      <c r="AV10" s="59">
        <f t="shared" si="24"/>
        <v>0</v>
      </c>
      <c r="AW10" s="59">
        <f t="shared" si="10"/>
        <v>0</v>
      </c>
      <c r="AX10" s="9"/>
      <c r="AY10" s="60">
        <f t="shared" si="11"/>
        <v>0</v>
      </c>
      <c r="AZ10" s="61">
        <f>_xlfn.IFNA(INDEX(Table3923[Column4],MATCH(R10,Table3923[Column1],0)),1.5)</f>
        <v>1.5</v>
      </c>
      <c r="BA10" s="62">
        <f>VLOOKUP(Z10,Table1331[#All],2,FALSE)</f>
        <v>1</v>
      </c>
      <c r="BB10" s="61">
        <f t="shared" si="25"/>
        <v>1.5</v>
      </c>
      <c r="BC10" s="55">
        <f t="shared" si="12"/>
        <v>0</v>
      </c>
      <c r="BD10" s="43">
        <f t="shared" si="13"/>
        <v>0</v>
      </c>
      <c r="BE10" s="63">
        <f t="shared" si="14"/>
        <v>0</v>
      </c>
      <c r="BF10" s="60">
        <f t="shared" si="15"/>
        <v>0</v>
      </c>
      <c r="BG10" s="60">
        <f t="shared" si="16"/>
        <v>0</v>
      </c>
      <c r="BH10" s="60">
        <f t="shared" si="17"/>
        <v>0</v>
      </c>
      <c r="BI10" s="55">
        <f>VLOOKUP(AA10,Table1533[#All],2,FALSE)</f>
        <v>1.25</v>
      </c>
      <c r="BJ10" s="55">
        <f t="shared" si="18"/>
        <v>0</v>
      </c>
      <c r="BK10" s="43" t="str">
        <f t="shared" si="19"/>
        <v>0</v>
      </c>
      <c r="BL10" s="62">
        <f t="shared" si="26"/>
        <v>0</v>
      </c>
      <c r="BN10" s="5" t="s">
        <v>125</v>
      </c>
      <c r="BO10" s="5" t="s">
        <v>126</v>
      </c>
      <c r="BQ10" s="5" t="s">
        <v>127</v>
      </c>
      <c r="BR10" s="5" t="s">
        <v>128</v>
      </c>
      <c r="BS10" s="5" t="s">
        <v>129</v>
      </c>
      <c r="BT10" s="6" t="s">
        <v>130</v>
      </c>
      <c r="BU10" s="6" t="s">
        <v>131</v>
      </c>
      <c r="BV10" s="6" t="s">
        <v>132</v>
      </c>
      <c r="BW10" s="64"/>
      <c r="BX10" s="67">
        <v>2</v>
      </c>
      <c r="BY10" s="67">
        <v>30</v>
      </c>
      <c r="BZ10" s="67" t="s">
        <v>121</v>
      </c>
      <c r="CA10" s="68">
        <v>1.5</v>
      </c>
      <c r="CB10" s="67" t="s">
        <v>133</v>
      </c>
      <c r="CC10" s="76">
        <v>2.5</v>
      </c>
      <c r="CD10" s="77" t="s">
        <v>134</v>
      </c>
      <c r="CE10" s="77"/>
      <c r="CF10" s="77" t="s">
        <v>135</v>
      </c>
      <c r="CG10" s="78"/>
      <c r="CH10" s="147"/>
      <c r="CI10" s="145"/>
      <c r="CJ10" s="145"/>
      <c r="CK10" s="146"/>
      <c r="CL10" s="277">
        <f>(L12*H12)/12</f>
        <v>0</v>
      </c>
      <c r="CN10" s="285" t="s">
        <v>395</v>
      </c>
      <c r="CO10" s="286"/>
    </row>
    <row r="11" spans="1:93" ht="12" customHeight="1" thickBot="1" x14ac:dyDescent="0.6">
      <c r="A11" s="42"/>
      <c r="B11" s="230"/>
      <c r="C11" s="231"/>
      <c r="D11" s="231"/>
      <c r="E11" s="232"/>
      <c r="F11" s="43"/>
      <c r="G11" s="43"/>
      <c r="H11" s="44"/>
      <c r="I11" s="45"/>
      <c r="J11" s="43"/>
      <c r="K11" s="46"/>
      <c r="L11" s="47">
        <f t="shared" si="0"/>
        <v>0</v>
      </c>
      <c r="M11" s="43"/>
      <c r="N11" s="43"/>
      <c r="O11" s="43"/>
      <c r="P11" s="46"/>
      <c r="Q11" s="47">
        <f t="shared" si="21"/>
        <v>0</v>
      </c>
      <c r="R11" s="233"/>
      <c r="S11" s="234"/>
      <c r="T11" s="230"/>
      <c r="U11" s="231"/>
      <c r="V11" s="231"/>
      <c r="W11" s="232"/>
      <c r="X11" s="235" t="str">
        <f>IFERROR(INDEX(Table3923[],MATCH(R11,Table3923[Column1],),3),"")</f>
        <v/>
      </c>
      <c r="Y11" s="235"/>
      <c r="Z11" s="48" t="s">
        <v>85</v>
      </c>
      <c r="AA11" s="48" t="s">
        <v>85</v>
      </c>
      <c r="AB11" s="49"/>
      <c r="AC11" s="50"/>
      <c r="AD11" s="51">
        <f t="shared" si="1"/>
        <v>0</v>
      </c>
      <c r="AG11" s="52">
        <f t="shared" si="2"/>
        <v>0</v>
      </c>
      <c r="AH11" s="53"/>
      <c r="AM11" s="55">
        <f t="shared" si="3"/>
        <v>0</v>
      </c>
      <c r="AN11" s="55">
        <f t="shared" si="4"/>
        <v>0</v>
      </c>
      <c r="AO11" s="55">
        <f t="shared" si="5"/>
        <v>0</v>
      </c>
      <c r="AP11" s="56">
        <f t="shared" si="6"/>
        <v>0</v>
      </c>
      <c r="AQ11" s="55" t="str">
        <f t="shared" si="22"/>
        <v>0.00</v>
      </c>
      <c r="AR11" s="55" t="str">
        <f t="shared" si="7"/>
        <v>0</v>
      </c>
      <c r="AS11" s="57">
        <f t="shared" si="23"/>
        <v>0</v>
      </c>
      <c r="AT11" s="58">
        <f t="shared" si="8"/>
        <v>0</v>
      </c>
      <c r="AU11" s="57">
        <f t="shared" si="9"/>
        <v>0</v>
      </c>
      <c r="AV11" s="59">
        <f t="shared" si="24"/>
        <v>0</v>
      </c>
      <c r="AW11" s="59">
        <f t="shared" si="10"/>
        <v>0</v>
      </c>
      <c r="AX11" s="9"/>
      <c r="AY11" s="60">
        <f t="shared" si="11"/>
        <v>0</v>
      </c>
      <c r="AZ11" s="61">
        <f>_xlfn.IFNA(INDEX(Table3923[Column4],MATCH(R11,Table3923[Column1],0)),1.5)</f>
        <v>1.5</v>
      </c>
      <c r="BA11" s="62">
        <f>VLOOKUP(Z11,Table1331[#All],2,FALSE)</f>
        <v>1</v>
      </c>
      <c r="BB11" s="61">
        <f t="shared" si="25"/>
        <v>1.5</v>
      </c>
      <c r="BC11" s="55">
        <f t="shared" si="12"/>
        <v>0</v>
      </c>
      <c r="BD11" s="43">
        <f t="shared" si="13"/>
        <v>0</v>
      </c>
      <c r="BE11" s="63">
        <f t="shared" si="14"/>
        <v>0</v>
      </c>
      <c r="BF11" s="60">
        <f t="shared" si="15"/>
        <v>0</v>
      </c>
      <c r="BG11" s="60">
        <f t="shared" si="16"/>
        <v>0</v>
      </c>
      <c r="BH11" s="60">
        <f t="shared" si="17"/>
        <v>0</v>
      </c>
      <c r="BI11" s="55">
        <f>VLOOKUP(AA11,Table1533[#All],2,FALSE)</f>
        <v>1.25</v>
      </c>
      <c r="BJ11" s="55">
        <f t="shared" si="18"/>
        <v>0</v>
      </c>
      <c r="BK11" s="43" t="str">
        <f t="shared" si="19"/>
        <v>0</v>
      </c>
      <c r="BL11" s="62">
        <f t="shared" si="26"/>
        <v>0</v>
      </c>
      <c r="BN11" s="5" t="s">
        <v>136</v>
      </c>
      <c r="BO11" s="5" t="s">
        <v>137</v>
      </c>
      <c r="BQ11" s="5" t="s">
        <v>138</v>
      </c>
      <c r="BR11" s="5" t="s">
        <v>139</v>
      </c>
      <c r="BS11" s="5" t="s">
        <v>140</v>
      </c>
      <c r="BT11" s="6" t="s">
        <v>141</v>
      </c>
      <c r="BU11" s="6" t="s">
        <v>142</v>
      </c>
      <c r="BV11" s="6" t="s">
        <v>143</v>
      </c>
      <c r="BW11" s="64"/>
      <c r="BX11" s="65">
        <v>2.5</v>
      </c>
      <c r="BY11" s="67">
        <v>45</v>
      </c>
      <c r="BZ11" s="67" t="s">
        <v>133</v>
      </c>
      <c r="CA11" s="68">
        <v>2</v>
      </c>
      <c r="CB11" s="75" t="s">
        <v>144</v>
      </c>
      <c r="CC11" s="76">
        <v>2.5</v>
      </c>
      <c r="CD11" s="72" t="s">
        <v>145</v>
      </c>
      <c r="CE11" s="77"/>
      <c r="CF11" s="77"/>
      <c r="CG11" s="78"/>
      <c r="CH11" s="148" t="s">
        <v>376</v>
      </c>
      <c r="CI11" s="149">
        <v>1</v>
      </c>
      <c r="CJ11" s="145">
        <f t="shared" si="20"/>
        <v>1.1000000000000001</v>
      </c>
      <c r="CK11" s="150">
        <v>1.25</v>
      </c>
      <c r="CL11" s="277">
        <f>(L13*H13)/12</f>
        <v>0</v>
      </c>
      <c r="CN11" s="282">
        <v>0</v>
      </c>
      <c r="CO11" s="283">
        <f>(CN11+50)*1.0755</f>
        <v>53.774999999999991</v>
      </c>
    </row>
    <row r="12" spans="1:93" ht="12" customHeight="1" x14ac:dyDescent="0.55000000000000004">
      <c r="A12" s="42"/>
      <c r="B12" s="230"/>
      <c r="C12" s="231"/>
      <c r="D12" s="231"/>
      <c r="E12" s="232"/>
      <c r="F12" s="43"/>
      <c r="G12" s="43"/>
      <c r="H12" s="44"/>
      <c r="I12" s="45"/>
      <c r="J12" s="43"/>
      <c r="K12" s="46"/>
      <c r="L12" s="47">
        <f t="shared" si="0"/>
        <v>0</v>
      </c>
      <c r="M12" s="43"/>
      <c r="N12" s="43"/>
      <c r="O12" s="43"/>
      <c r="P12" s="46"/>
      <c r="Q12" s="47">
        <f t="shared" si="21"/>
        <v>0</v>
      </c>
      <c r="R12" s="233"/>
      <c r="S12" s="234"/>
      <c r="T12" s="230"/>
      <c r="U12" s="231"/>
      <c r="V12" s="231"/>
      <c r="W12" s="232"/>
      <c r="X12" s="235" t="str">
        <f>IFERROR(INDEX(Table3923[],MATCH(R12,Table3923[Column1],),3),"")</f>
        <v/>
      </c>
      <c r="Y12" s="235"/>
      <c r="Z12" s="48" t="s">
        <v>85</v>
      </c>
      <c r="AA12" s="48" t="s">
        <v>85</v>
      </c>
      <c r="AB12" s="49"/>
      <c r="AC12" s="50"/>
      <c r="AD12" s="51">
        <f t="shared" si="1"/>
        <v>0</v>
      </c>
      <c r="AG12" s="52">
        <f t="shared" si="2"/>
        <v>0</v>
      </c>
      <c r="AH12" s="53"/>
      <c r="AJ12" s="29" t="s">
        <v>146</v>
      </c>
      <c r="AM12" s="55">
        <f t="shared" si="3"/>
        <v>0</v>
      </c>
      <c r="AN12" s="55">
        <f t="shared" si="4"/>
        <v>0</v>
      </c>
      <c r="AO12" s="55">
        <f t="shared" si="5"/>
        <v>0</v>
      </c>
      <c r="AP12" s="56">
        <f t="shared" si="6"/>
        <v>0</v>
      </c>
      <c r="AQ12" s="55" t="str">
        <f t="shared" si="22"/>
        <v>0.00</v>
      </c>
      <c r="AR12" s="55" t="str">
        <f t="shared" si="7"/>
        <v>0</v>
      </c>
      <c r="AS12" s="57">
        <f t="shared" si="23"/>
        <v>0</v>
      </c>
      <c r="AT12" s="58">
        <f t="shared" si="8"/>
        <v>0</v>
      </c>
      <c r="AU12" s="57">
        <f t="shared" si="9"/>
        <v>0</v>
      </c>
      <c r="AV12" s="59">
        <f t="shared" si="24"/>
        <v>0</v>
      </c>
      <c r="AW12" s="59">
        <f t="shared" si="10"/>
        <v>0</v>
      </c>
      <c r="AX12" s="9"/>
      <c r="AY12" s="60">
        <f t="shared" si="11"/>
        <v>0</v>
      </c>
      <c r="AZ12" s="61">
        <f>_xlfn.IFNA(INDEX(Table3923[Column4],MATCH(R12,Table3923[Column1],0)),1.5)</f>
        <v>1.5</v>
      </c>
      <c r="BA12" s="62">
        <f>VLOOKUP(Z12,Table1331[#All],2,FALSE)</f>
        <v>1</v>
      </c>
      <c r="BB12" s="61">
        <f t="shared" si="25"/>
        <v>1.5</v>
      </c>
      <c r="BC12" s="55">
        <f t="shared" si="12"/>
        <v>0</v>
      </c>
      <c r="BD12" s="43">
        <f t="shared" si="13"/>
        <v>0</v>
      </c>
      <c r="BE12" s="63">
        <f t="shared" si="14"/>
        <v>0</v>
      </c>
      <c r="BF12" s="60">
        <f t="shared" si="15"/>
        <v>0</v>
      </c>
      <c r="BG12" s="60">
        <f t="shared" si="16"/>
        <v>0</v>
      </c>
      <c r="BH12" s="60">
        <f t="shared" si="17"/>
        <v>0</v>
      </c>
      <c r="BI12" s="55">
        <f>VLOOKUP(AA12,Table1533[#All],2,FALSE)</f>
        <v>1.25</v>
      </c>
      <c r="BJ12" s="55">
        <f t="shared" si="18"/>
        <v>0</v>
      </c>
      <c r="BK12" s="43" t="str">
        <f t="shared" si="19"/>
        <v>0</v>
      </c>
      <c r="BL12" s="62">
        <f t="shared" si="26"/>
        <v>0</v>
      </c>
      <c r="BN12" s="5" t="s">
        <v>147</v>
      </c>
      <c r="BO12" s="5" t="s">
        <v>148</v>
      </c>
      <c r="BQ12" s="5" t="s">
        <v>149</v>
      </c>
      <c r="BT12" s="6" t="s">
        <v>150</v>
      </c>
      <c r="BU12" s="6" t="s">
        <v>151</v>
      </c>
      <c r="BV12" s="6" t="s">
        <v>152</v>
      </c>
      <c r="BW12" s="64"/>
      <c r="BX12" s="79">
        <v>3</v>
      </c>
      <c r="BY12" s="79">
        <v>60</v>
      </c>
      <c r="BZ12" s="67"/>
      <c r="CA12" s="68"/>
      <c r="CB12" s="6"/>
      <c r="CC12" s="6"/>
      <c r="CD12" s="77" t="s">
        <v>153</v>
      </c>
      <c r="CE12" s="77"/>
      <c r="CF12" s="77"/>
      <c r="CH12" s="148" t="s">
        <v>377</v>
      </c>
      <c r="CI12" s="151">
        <v>1.65</v>
      </c>
      <c r="CJ12" s="145">
        <f t="shared" si="20"/>
        <v>1.8149999999999999</v>
      </c>
      <c r="CK12" s="150">
        <v>1.25</v>
      </c>
      <c r="CL12" s="277">
        <f>(L14*H14)/12</f>
        <v>0</v>
      </c>
    </row>
    <row r="13" spans="1:93" ht="12" customHeight="1" thickBot="1" x14ac:dyDescent="0.6">
      <c r="A13" s="42"/>
      <c r="B13" s="230"/>
      <c r="C13" s="231"/>
      <c r="D13" s="231"/>
      <c r="E13" s="232"/>
      <c r="F13" s="43"/>
      <c r="G13" s="43"/>
      <c r="H13" s="44"/>
      <c r="I13" s="45"/>
      <c r="J13" s="43"/>
      <c r="K13" s="46"/>
      <c r="L13" s="47">
        <f t="shared" si="0"/>
        <v>0</v>
      </c>
      <c r="M13" s="43"/>
      <c r="N13" s="43"/>
      <c r="O13" s="43"/>
      <c r="P13" s="46"/>
      <c r="Q13" s="47">
        <f t="shared" si="21"/>
        <v>0</v>
      </c>
      <c r="R13" s="233"/>
      <c r="S13" s="234"/>
      <c r="T13" s="230"/>
      <c r="U13" s="231"/>
      <c r="V13" s="231"/>
      <c r="W13" s="232"/>
      <c r="X13" s="235" t="str">
        <f>IFERROR(INDEX(Table3923[],MATCH(R13,Table3923[Column1],),3),"")</f>
        <v/>
      </c>
      <c r="Y13" s="235"/>
      <c r="Z13" s="48" t="s">
        <v>85</v>
      </c>
      <c r="AA13" s="48" t="s">
        <v>85</v>
      </c>
      <c r="AB13" s="49"/>
      <c r="AC13" s="50"/>
      <c r="AD13" s="51">
        <f t="shared" si="1"/>
        <v>0</v>
      </c>
      <c r="AG13" s="52">
        <f t="shared" si="2"/>
        <v>0</v>
      </c>
      <c r="AH13" s="53"/>
      <c r="AJ13" s="54" t="e" cm="1">
        <f t="array" ref="AJ13">_xlfn.IFS(Z2="Riverside/San B/Orange","$105",Z2="San Diego","$92",Z2="Saturday PW","$160")</f>
        <v>#N/A</v>
      </c>
      <c r="AM13" s="55">
        <f t="shared" si="3"/>
        <v>0</v>
      </c>
      <c r="AN13" s="55">
        <f t="shared" si="4"/>
        <v>0</v>
      </c>
      <c r="AO13" s="55">
        <f t="shared" si="5"/>
        <v>0</v>
      </c>
      <c r="AP13" s="56">
        <f t="shared" si="6"/>
        <v>0</v>
      </c>
      <c r="AQ13" s="55" t="str">
        <f t="shared" si="22"/>
        <v>0.00</v>
      </c>
      <c r="AR13" s="55" t="str">
        <f t="shared" si="7"/>
        <v>0</v>
      </c>
      <c r="AS13" s="57">
        <f t="shared" si="23"/>
        <v>0</v>
      </c>
      <c r="AT13" s="58">
        <f t="shared" si="8"/>
        <v>0</v>
      </c>
      <c r="AU13" s="57">
        <f t="shared" si="9"/>
        <v>0</v>
      </c>
      <c r="AV13" s="59">
        <f t="shared" si="24"/>
        <v>0</v>
      </c>
      <c r="AW13" s="59">
        <f t="shared" si="10"/>
        <v>0</v>
      </c>
      <c r="AX13" s="9"/>
      <c r="AY13" s="60">
        <f t="shared" si="11"/>
        <v>0</v>
      </c>
      <c r="AZ13" s="61">
        <f>_xlfn.IFNA(INDEX(Table3923[Column4],MATCH(R13,Table3923[Column1],0)),1.5)</f>
        <v>1.5</v>
      </c>
      <c r="BA13" s="62">
        <f>VLOOKUP(Z13,Table1331[#All],2,FALSE)</f>
        <v>1</v>
      </c>
      <c r="BB13" s="61">
        <f t="shared" si="25"/>
        <v>1.5</v>
      </c>
      <c r="BC13" s="55">
        <f t="shared" si="12"/>
        <v>0</v>
      </c>
      <c r="BD13" s="43">
        <f t="shared" si="13"/>
        <v>0</v>
      </c>
      <c r="BE13" s="63">
        <f t="shared" si="14"/>
        <v>0</v>
      </c>
      <c r="BF13" s="60">
        <f t="shared" si="15"/>
        <v>0</v>
      </c>
      <c r="BG13" s="60">
        <f t="shared" si="16"/>
        <v>0</v>
      </c>
      <c r="BH13" s="60">
        <f t="shared" si="17"/>
        <v>0</v>
      </c>
      <c r="BI13" s="55">
        <f>VLOOKUP(AA13,Table1533[#All],2,FALSE)</f>
        <v>1.25</v>
      </c>
      <c r="BJ13" s="55">
        <f t="shared" si="18"/>
        <v>0</v>
      </c>
      <c r="BK13" s="43" t="str">
        <f t="shared" si="19"/>
        <v>0</v>
      </c>
      <c r="BL13" s="62">
        <f t="shared" si="26"/>
        <v>0</v>
      </c>
      <c r="BN13" s="5" t="s">
        <v>154</v>
      </c>
      <c r="BO13" s="5" t="s">
        <v>155</v>
      </c>
      <c r="BT13" s="6" t="s">
        <v>156</v>
      </c>
      <c r="BU13" s="6" t="s">
        <v>157</v>
      </c>
      <c r="BV13" s="6" t="s">
        <v>158</v>
      </c>
      <c r="BW13" s="64"/>
      <c r="BX13" s="80">
        <v>3.5</v>
      </c>
      <c r="BY13" s="80">
        <v>90</v>
      </c>
      <c r="BZ13" s="67"/>
      <c r="CA13" s="68"/>
      <c r="CB13" s="6"/>
      <c r="CC13" s="6"/>
      <c r="CD13" s="81"/>
      <c r="CE13" s="81"/>
      <c r="CF13" s="81"/>
      <c r="CG13" s="6"/>
      <c r="CH13" s="148" t="s">
        <v>375</v>
      </c>
      <c r="CI13" s="149">
        <v>1.7</v>
      </c>
      <c r="CJ13" s="145">
        <f>CI13*1.1</f>
        <v>1.87</v>
      </c>
      <c r="CK13" s="150">
        <v>1.5</v>
      </c>
      <c r="CL13" s="277">
        <f>(L15*H15)/12</f>
        <v>0</v>
      </c>
      <c r="CO13" s="284"/>
    </row>
    <row r="14" spans="1:93" ht="12" customHeight="1" thickBot="1" x14ac:dyDescent="0.6">
      <c r="A14" s="42"/>
      <c r="B14" s="230"/>
      <c r="C14" s="231"/>
      <c r="D14" s="231"/>
      <c r="E14" s="232"/>
      <c r="F14" s="43"/>
      <c r="G14" s="43"/>
      <c r="H14" s="44"/>
      <c r="I14" s="45"/>
      <c r="J14" s="43"/>
      <c r="K14" s="46"/>
      <c r="L14" s="47">
        <f t="shared" si="0"/>
        <v>0</v>
      </c>
      <c r="M14" s="43"/>
      <c r="N14" s="43"/>
      <c r="O14" s="43"/>
      <c r="P14" s="46"/>
      <c r="Q14" s="47">
        <f t="shared" si="21"/>
        <v>0</v>
      </c>
      <c r="R14" s="233"/>
      <c r="S14" s="234"/>
      <c r="T14" s="230"/>
      <c r="U14" s="231"/>
      <c r="V14" s="231"/>
      <c r="W14" s="232"/>
      <c r="X14" s="235" t="str">
        <f>IFERROR(INDEX(Table3923[],MATCH(R14,Table3923[Column1],),3),"")</f>
        <v/>
      </c>
      <c r="Y14" s="235"/>
      <c r="Z14" s="48" t="s">
        <v>85</v>
      </c>
      <c r="AA14" s="48" t="s">
        <v>85</v>
      </c>
      <c r="AB14" s="49"/>
      <c r="AC14" s="50"/>
      <c r="AD14" s="51">
        <f t="shared" si="1"/>
        <v>0</v>
      </c>
      <c r="AG14" s="52">
        <f t="shared" si="2"/>
        <v>0</v>
      </c>
      <c r="AH14" s="53"/>
      <c r="AM14" s="55">
        <f t="shared" si="3"/>
        <v>0</v>
      </c>
      <c r="AN14" s="55">
        <f t="shared" si="4"/>
        <v>0</v>
      </c>
      <c r="AO14" s="55">
        <f t="shared" si="5"/>
        <v>0</v>
      </c>
      <c r="AP14" s="56">
        <f t="shared" si="6"/>
        <v>0</v>
      </c>
      <c r="AQ14" s="55" t="str">
        <f t="shared" si="22"/>
        <v>0.00</v>
      </c>
      <c r="AR14" s="55" t="str">
        <f t="shared" si="7"/>
        <v>0</v>
      </c>
      <c r="AS14" s="57">
        <f t="shared" si="23"/>
        <v>0</v>
      </c>
      <c r="AT14" s="58">
        <f t="shared" si="8"/>
        <v>0</v>
      </c>
      <c r="AU14" s="57">
        <f t="shared" si="9"/>
        <v>0</v>
      </c>
      <c r="AV14" s="59">
        <f t="shared" si="24"/>
        <v>0</v>
      </c>
      <c r="AW14" s="59">
        <f t="shared" si="10"/>
        <v>0</v>
      </c>
      <c r="AX14" s="9"/>
      <c r="AY14" s="60">
        <f t="shared" si="11"/>
        <v>0</v>
      </c>
      <c r="AZ14" s="61">
        <f>_xlfn.IFNA(INDEX(Table3923[Column4],MATCH(R14,Table3923[Column1],0)),1.5)</f>
        <v>1.5</v>
      </c>
      <c r="BA14" s="62">
        <f>VLOOKUP(Z14,Table1331[#All],2,FALSE)</f>
        <v>1</v>
      </c>
      <c r="BB14" s="61">
        <f t="shared" si="25"/>
        <v>1.5</v>
      </c>
      <c r="BC14" s="55">
        <f t="shared" si="12"/>
        <v>0</v>
      </c>
      <c r="BD14" s="43">
        <f t="shared" si="13"/>
        <v>0</v>
      </c>
      <c r="BE14" s="63">
        <f t="shared" si="14"/>
        <v>0</v>
      </c>
      <c r="BF14" s="60">
        <f t="shared" si="15"/>
        <v>0</v>
      </c>
      <c r="BG14" s="60">
        <f t="shared" si="16"/>
        <v>0</v>
      </c>
      <c r="BH14" s="60">
        <f t="shared" si="17"/>
        <v>0</v>
      </c>
      <c r="BI14" s="55">
        <f>VLOOKUP(AA14,Table1533[#All],2,FALSE)</f>
        <v>1.25</v>
      </c>
      <c r="BJ14" s="55">
        <f t="shared" si="18"/>
        <v>0</v>
      </c>
      <c r="BK14" s="43" t="str">
        <f t="shared" si="19"/>
        <v>0</v>
      </c>
      <c r="BL14" s="62">
        <f t="shared" si="26"/>
        <v>0</v>
      </c>
      <c r="BN14" s="5" t="s">
        <v>159</v>
      </c>
      <c r="BT14" s="6" t="s">
        <v>160</v>
      </c>
      <c r="BU14" s="6" t="s">
        <v>161</v>
      </c>
      <c r="BV14" s="6" t="s">
        <v>162</v>
      </c>
      <c r="BW14" s="64"/>
      <c r="BX14" s="80">
        <v>4</v>
      </c>
      <c r="BY14" s="80">
        <v>120</v>
      </c>
      <c r="BZ14" s="78"/>
      <c r="CA14" s="82"/>
      <c r="CB14" s="6"/>
      <c r="CC14" s="6"/>
      <c r="CD14" s="83"/>
      <c r="CE14" s="83"/>
      <c r="CF14" s="83"/>
      <c r="CG14" s="6"/>
      <c r="CH14" s="148" t="s">
        <v>374</v>
      </c>
      <c r="CI14" s="151">
        <v>4.25</v>
      </c>
      <c r="CJ14" s="145">
        <f>CI14*1.1</f>
        <v>4.6750000000000007</v>
      </c>
      <c r="CK14" s="150">
        <v>1.5</v>
      </c>
      <c r="CL14" s="277">
        <f>(L16*H16)/12</f>
        <v>0</v>
      </c>
    </row>
    <row r="15" spans="1:93" ht="12" customHeight="1" x14ac:dyDescent="0.55000000000000004">
      <c r="A15" s="42"/>
      <c r="B15" s="230"/>
      <c r="C15" s="231"/>
      <c r="D15" s="231"/>
      <c r="E15" s="232"/>
      <c r="F15" s="43"/>
      <c r="G15" s="43"/>
      <c r="H15" s="44"/>
      <c r="I15" s="45"/>
      <c r="J15" s="43"/>
      <c r="K15" s="46"/>
      <c r="L15" s="47">
        <f t="shared" si="0"/>
        <v>0</v>
      </c>
      <c r="M15" s="43"/>
      <c r="N15" s="43"/>
      <c r="O15" s="43"/>
      <c r="P15" s="46"/>
      <c r="Q15" s="47">
        <f t="shared" si="21"/>
        <v>0</v>
      </c>
      <c r="R15" s="233"/>
      <c r="S15" s="234"/>
      <c r="T15" s="230"/>
      <c r="U15" s="231"/>
      <c r="V15" s="231"/>
      <c r="W15" s="232"/>
      <c r="X15" s="235" t="str">
        <f>IFERROR(INDEX(Table3923[],MATCH(R15,Table3923[Column1],),3),"")</f>
        <v/>
      </c>
      <c r="Y15" s="235"/>
      <c r="Z15" s="48" t="s">
        <v>85</v>
      </c>
      <c r="AA15" s="48" t="s">
        <v>85</v>
      </c>
      <c r="AB15" s="49"/>
      <c r="AC15" s="50"/>
      <c r="AD15" s="51">
        <f t="shared" si="1"/>
        <v>0</v>
      </c>
      <c r="AG15" s="52">
        <f t="shared" si="2"/>
        <v>0</v>
      </c>
      <c r="AH15" s="53"/>
      <c r="AJ15" s="29" t="s">
        <v>163</v>
      </c>
      <c r="AM15" s="55">
        <f t="shared" si="3"/>
        <v>0</v>
      </c>
      <c r="AN15" s="55">
        <f t="shared" si="4"/>
        <v>0</v>
      </c>
      <c r="AO15" s="55">
        <f t="shared" si="5"/>
        <v>0</v>
      </c>
      <c r="AP15" s="56">
        <f t="shared" si="6"/>
        <v>0</v>
      </c>
      <c r="AQ15" s="55" t="str">
        <f t="shared" si="22"/>
        <v>0.00</v>
      </c>
      <c r="AR15" s="55" t="str">
        <f t="shared" si="7"/>
        <v>0</v>
      </c>
      <c r="AS15" s="57">
        <f t="shared" si="23"/>
        <v>0</v>
      </c>
      <c r="AT15" s="58">
        <f t="shared" si="8"/>
        <v>0</v>
      </c>
      <c r="AU15" s="57">
        <f t="shared" si="9"/>
        <v>0</v>
      </c>
      <c r="AV15" s="59">
        <f t="shared" si="24"/>
        <v>0</v>
      </c>
      <c r="AW15" s="59">
        <f t="shared" si="10"/>
        <v>0</v>
      </c>
      <c r="AX15" s="9"/>
      <c r="AY15" s="60">
        <f t="shared" si="11"/>
        <v>0</v>
      </c>
      <c r="AZ15" s="61">
        <f>_xlfn.IFNA(INDEX(Table3923[Column4],MATCH(R15,Table3923[Column1],0)),1.5)</f>
        <v>1.5</v>
      </c>
      <c r="BA15" s="62">
        <f>VLOOKUP(Z15,Table1331[#All],2,FALSE)</f>
        <v>1</v>
      </c>
      <c r="BB15" s="61">
        <f t="shared" si="25"/>
        <v>1.5</v>
      </c>
      <c r="BC15" s="55">
        <f t="shared" si="12"/>
        <v>0</v>
      </c>
      <c r="BD15" s="43">
        <f t="shared" si="13"/>
        <v>0</v>
      </c>
      <c r="BE15" s="63">
        <f t="shared" si="14"/>
        <v>0</v>
      </c>
      <c r="BF15" s="60">
        <f t="shared" si="15"/>
        <v>0</v>
      </c>
      <c r="BG15" s="60">
        <f t="shared" si="16"/>
        <v>0</v>
      </c>
      <c r="BH15" s="60">
        <f t="shared" si="17"/>
        <v>0</v>
      </c>
      <c r="BI15" s="55">
        <f>VLOOKUP(AA15,Table1533[#All],2,FALSE)</f>
        <v>1.25</v>
      </c>
      <c r="BJ15" s="55">
        <f t="shared" si="18"/>
        <v>0</v>
      </c>
      <c r="BK15" s="43" t="str">
        <f t="shared" si="19"/>
        <v>0</v>
      </c>
      <c r="BL15" s="62">
        <f t="shared" si="26"/>
        <v>0</v>
      </c>
      <c r="BN15" s="5" t="s">
        <v>164</v>
      </c>
      <c r="BT15" s="6" t="s">
        <v>165</v>
      </c>
      <c r="BV15" s="6" t="s">
        <v>166</v>
      </c>
      <c r="BW15" s="64"/>
      <c r="BX15" s="80">
        <v>4.5</v>
      </c>
      <c r="BY15" s="6"/>
      <c r="BZ15" s="6"/>
      <c r="CB15" s="6"/>
      <c r="CC15" s="6"/>
      <c r="CD15" s="83"/>
      <c r="CE15" s="83"/>
      <c r="CF15" s="83"/>
      <c r="CG15" s="6"/>
      <c r="CH15" s="147" t="s">
        <v>379</v>
      </c>
      <c r="CI15" s="152">
        <v>7</v>
      </c>
      <c r="CJ15" s="145">
        <f>CI15*1.1</f>
        <v>7.7000000000000011</v>
      </c>
      <c r="CK15" s="150">
        <v>3</v>
      </c>
      <c r="CL15" s="277">
        <f>(L17*H17)/12</f>
        <v>0</v>
      </c>
    </row>
    <row r="16" spans="1:93" ht="12" customHeight="1" thickBot="1" x14ac:dyDescent="0.6">
      <c r="A16" s="42"/>
      <c r="B16" s="230"/>
      <c r="C16" s="231"/>
      <c r="D16" s="231"/>
      <c r="E16" s="232"/>
      <c r="F16" s="43"/>
      <c r="G16" s="43"/>
      <c r="H16" s="44"/>
      <c r="I16" s="45"/>
      <c r="J16" s="43"/>
      <c r="K16" s="46"/>
      <c r="L16" s="47">
        <f t="shared" si="0"/>
        <v>0</v>
      </c>
      <c r="M16" s="43"/>
      <c r="N16" s="43"/>
      <c r="O16" s="43"/>
      <c r="P16" s="46"/>
      <c r="Q16" s="47">
        <f t="shared" si="21"/>
        <v>0</v>
      </c>
      <c r="R16" s="233"/>
      <c r="S16" s="234"/>
      <c r="T16" s="230"/>
      <c r="U16" s="231"/>
      <c r="V16" s="231"/>
      <c r="W16" s="232"/>
      <c r="X16" s="235" t="str">
        <f>IFERROR(INDEX(Table3923[],MATCH(R16,Table3923[Column1],),3),"")</f>
        <v/>
      </c>
      <c r="Y16" s="235"/>
      <c r="Z16" s="48" t="s">
        <v>85</v>
      </c>
      <c r="AA16" s="48" t="s">
        <v>85</v>
      </c>
      <c r="AB16" s="49"/>
      <c r="AC16" s="50"/>
      <c r="AD16" s="51">
        <f t="shared" si="1"/>
        <v>0</v>
      </c>
      <c r="AG16" s="52">
        <f t="shared" si="2"/>
        <v>0</v>
      </c>
      <c r="AH16" s="53"/>
      <c r="AJ16" s="54">
        <v>20</v>
      </c>
      <c r="AM16" s="55">
        <f t="shared" si="3"/>
        <v>0</v>
      </c>
      <c r="AN16" s="55">
        <f t="shared" si="4"/>
        <v>0</v>
      </c>
      <c r="AO16" s="55">
        <f t="shared" si="5"/>
        <v>0</v>
      </c>
      <c r="AP16" s="56">
        <f t="shared" si="6"/>
        <v>0</v>
      </c>
      <c r="AQ16" s="55" t="str">
        <f t="shared" si="22"/>
        <v>0.00</v>
      </c>
      <c r="AR16" s="55" t="str">
        <f t="shared" si="7"/>
        <v>0</v>
      </c>
      <c r="AS16" s="57">
        <f t="shared" si="23"/>
        <v>0</v>
      </c>
      <c r="AT16" s="58">
        <f t="shared" si="8"/>
        <v>0</v>
      </c>
      <c r="AU16" s="57">
        <f t="shared" si="9"/>
        <v>0</v>
      </c>
      <c r="AV16" s="59">
        <f t="shared" si="24"/>
        <v>0</v>
      </c>
      <c r="AW16" s="59">
        <f t="shared" si="10"/>
        <v>0</v>
      </c>
      <c r="AX16" s="9"/>
      <c r="AY16" s="60">
        <f t="shared" si="11"/>
        <v>0</v>
      </c>
      <c r="AZ16" s="61">
        <f>_xlfn.IFNA(INDEX(Table3923[Column4],MATCH(R16,Table3923[Column1],0)),1.5)</f>
        <v>1.5</v>
      </c>
      <c r="BA16" s="62">
        <f>VLOOKUP(Z16,Table1331[#All],2,FALSE)</f>
        <v>1</v>
      </c>
      <c r="BB16" s="61">
        <f t="shared" si="25"/>
        <v>1.5</v>
      </c>
      <c r="BC16" s="55">
        <f t="shared" si="12"/>
        <v>0</v>
      </c>
      <c r="BD16" s="43">
        <f t="shared" si="13"/>
        <v>0</v>
      </c>
      <c r="BE16" s="63">
        <f t="shared" si="14"/>
        <v>0</v>
      </c>
      <c r="BF16" s="60">
        <f t="shared" si="15"/>
        <v>0</v>
      </c>
      <c r="BG16" s="60">
        <f t="shared" si="16"/>
        <v>0</v>
      </c>
      <c r="BH16" s="60">
        <f t="shared" si="17"/>
        <v>0</v>
      </c>
      <c r="BI16" s="55">
        <f>VLOOKUP(AA16,Table1533[#All],2,FALSE)</f>
        <v>1.25</v>
      </c>
      <c r="BJ16" s="55">
        <f t="shared" si="18"/>
        <v>0</v>
      </c>
      <c r="BK16" s="43" t="str">
        <f t="shared" si="19"/>
        <v>0</v>
      </c>
      <c r="BL16" s="62">
        <f t="shared" si="26"/>
        <v>0</v>
      </c>
      <c r="BT16" s="6" t="s">
        <v>167</v>
      </c>
      <c r="BV16" s="6" t="s">
        <v>168</v>
      </c>
      <c r="BW16" s="64"/>
      <c r="BX16" s="80">
        <v>5</v>
      </c>
      <c r="BY16" s="6"/>
      <c r="BZ16" s="6"/>
      <c r="CB16" s="6"/>
      <c r="CC16" s="6"/>
      <c r="CD16" s="83"/>
      <c r="CE16" s="83"/>
      <c r="CF16" s="83"/>
      <c r="CG16" s="6"/>
      <c r="CH16" s="148" t="s">
        <v>373</v>
      </c>
      <c r="CI16" s="149">
        <v>1.25</v>
      </c>
      <c r="CJ16" s="145">
        <f>CI16*1.1</f>
        <v>1.375</v>
      </c>
      <c r="CK16" s="150">
        <v>1.25</v>
      </c>
      <c r="CL16" s="277">
        <f>(L18*H18)/12</f>
        <v>0</v>
      </c>
    </row>
    <row r="17" spans="1:90" ht="12" customHeight="1" x14ac:dyDescent="0.55000000000000004">
      <c r="A17" s="42"/>
      <c r="B17" s="230"/>
      <c r="C17" s="231"/>
      <c r="D17" s="231"/>
      <c r="E17" s="232"/>
      <c r="F17" s="43"/>
      <c r="G17" s="43"/>
      <c r="H17" s="44"/>
      <c r="I17" s="45"/>
      <c r="J17" s="43"/>
      <c r="K17" s="46"/>
      <c r="L17" s="47">
        <f t="shared" si="0"/>
        <v>0</v>
      </c>
      <c r="M17" s="43"/>
      <c r="N17" s="43"/>
      <c r="O17" s="43"/>
      <c r="P17" s="46"/>
      <c r="Q17" s="47">
        <f t="shared" si="21"/>
        <v>0</v>
      </c>
      <c r="R17" s="233"/>
      <c r="S17" s="234"/>
      <c r="T17" s="230"/>
      <c r="U17" s="231"/>
      <c r="V17" s="231"/>
      <c r="W17" s="232"/>
      <c r="X17" s="235" t="str">
        <f>IFERROR(INDEX(Table3923[],MATCH(R17,Table3923[Column1],),3),"")</f>
        <v/>
      </c>
      <c r="Y17" s="235"/>
      <c r="Z17" s="48" t="s">
        <v>85</v>
      </c>
      <c r="AA17" s="48" t="s">
        <v>85</v>
      </c>
      <c r="AB17" s="49"/>
      <c r="AC17" s="50"/>
      <c r="AD17" s="51">
        <f t="shared" si="1"/>
        <v>0</v>
      </c>
      <c r="AG17" s="52">
        <f t="shared" si="2"/>
        <v>0</v>
      </c>
      <c r="AH17" s="53"/>
      <c r="AM17" s="55">
        <f t="shared" si="3"/>
        <v>0</v>
      </c>
      <c r="AN17" s="55">
        <f t="shared" si="4"/>
        <v>0</v>
      </c>
      <c r="AO17" s="55">
        <f t="shared" si="5"/>
        <v>0</v>
      </c>
      <c r="AP17" s="56">
        <f t="shared" si="6"/>
        <v>0</v>
      </c>
      <c r="AQ17" s="55" t="str">
        <f t="shared" si="22"/>
        <v>0.00</v>
      </c>
      <c r="AR17" s="55" t="str">
        <f t="shared" si="7"/>
        <v>0</v>
      </c>
      <c r="AS17" s="57">
        <f t="shared" si="23"/>
        <v>0</v>
      </c>
      <c r="AT17" s="58">
        <f t="shared" si="8"/>
        <v>0</v>
      </c>
      <c r="AU17" s="57">
        <f t="shared" si="9"/>
        <v>0</v>
      </c>
      <c r="AV17" s="59">
        <f t="shared" si="24"/>
        <v>0</v>
      </c>
      <c r="AW17" s="59">
        <f t="shared" si="10"/>
        <v>0</v>
      </c>
      <c r="AX17" s="9"/>
      <c r="AY17" s="60">
        <f t="shared" si="11"/>
        <v>0</v>
      </c>
      <c r="AZ17" s="61">
        <f>_xlfn.IFNA(INDEX(Table3923[Column4],MATCH(R17,Table3923[Column1],0)),1.5)</f>
        <v>1.5</v>
      </c>
      <c r="BA17" s="62">
        <f>VLOOKUP(Z17,Table1331[#All],2,FALSE)</f>
        <v>1</v>
      </c>
      <c r="BB17" s="61">
        <f t="shared" si="25"/>
        <v>1.5</v>
      </c>
      <c r="BC17" s="55">
        <f t="shared" si="12"/>
        <v>0</v>
      </c>
      <c r="BD17" s="43">
        <f t="shared" si="13"/>
        <v>0</v>
      </c>
      <c r="BE17" s="63">
        <f t="shared" si="14"/>
        <v>0</v>
      </c>
      <c r="BF17" s="60">
        <f t="shared" si="15"/>
        <v>0</v>
      </c>
      <c r="BG17" s="60">
        <f t="shared" si="16"/>
        <v>0</v>
      </c>
      <c r="BH17" s="60">
        <f t="shared" si="17"/>
        <v>0</v>
      </c>
      <c r="BI17" s="55">
        <f>VLOOKUP(AA17,Table1533[#All],2,FALSE)</f>
        <v>1.25</v>
      </c>
      <c r="BJ17" s="55">
        <f t="shared" si="18"/>
        <v>0</v>
      </c>
      <c r="BK17" s="43" t="str">
        <f t="shared" si="19"/>
        <v>0</v>
      </c>
      <c r="BL17" s="62">
        <f t="shared" si="26"/>
        <v>0</v>
      </c>
      <c r="BT17" s="6" t="s">
        <v>169</v>
      </c>
      <c r="BV17" s="6" t="s">
        <v>170</v>
      </c>
      <c r="BW17" s="64"/>
      <c r="BX17" s="80">
        <v>5.5</v>
      </c>
      <c r="BY17" s="6"/>
      <c r="BZ17" s="6"/>
      <c r="CB17" s="6"/>
      <c r="CC17" s="6"/>
      <c r="CD17" s="78"/>
      <c r="CE17" s="78"/>
      <c r="CF17" s="78"/>
      <c r="CG17" s="6"/>
      <c r="CH17" s="148" t="s">
        <v>372</v>
      </c>
      <c r="CI17" s="151">
        <v>1.25</v>
      </c>
      <c r="CJ17" s="145">
        <f>CI17*1.1</f>
        <v>1.375</v>
      </c>
      <c r="CK17" s="150">
        <v>1.25</v>
      </c>
      <c r="CL17" s="277">
        <f>(L19*H19)/12</f>
        <v>0</v>
      </c>
    </row>
    <row r="18" spans="1:90" ht="12" customHeight="1" x14ac:dyDescent="0.55000000000000004">
      <c r="A18" s="42"/>
      <c r="B18" s="230"/>
      <c r="C18" s="231"/>
      <c r="D18" s="231"/>
      <c r="E18" s="232"/>
      <c r="F18" s="43"/>
      <c r="G18" s="43"/>
      <c r="H18" s="44"/>
      <c r="I18" s="45"/>
      <c r="J18" s="43"/>
      <c r="K18" s="46"/>
      <c r="L18" s="47">
        <f t="shared" si="0"/>
        <v>0</v>
      </c>
      <c r="M18" s="43"/>
      <c r="N18" s="43"/>
      <c r="O18" s="43"/>
      <c r="P18" s="46"/>
      <c r="Q18" s="47">
        <f t="shared" si="21"/>
        <v>0</v>
      </c>
      <c r="R18" s="233"/>
      <c r="S18" s="234"/>
      <c r="T18" s="230"/>
      <c r="U18" s="231"/>
      <c r="V18" s="231"/>
      <c r="W18" s="232"/>
      <c r="X18" s="235" t="str">
        <f>IFERROR(INDEX(Table3923[],MATCH(R18,Table3923[Column1],),3),"")</f>
        <v/>
      </c>
      <c r="Y18" s="235"/>
      <c r="Z18" s="48" t="s">
        <v>85</v>
      </c>
      <c r="AA18" s="48" t="s">
        <v>85</v>
      </c>
      <c r="AB18" s="49"/>
      <c r="AC18" s="50"/>
      <c r="AD18" s="51">
        <f t="shared" si="1"/>
        <v>0</v>
      </c>
      <c r="AG18" s="52">
        <f t="shared" si="2"/>
        <v>0</v>
      </c>
      <c r="AH18" s="53"/>
      <c r="AM18" s="55">
        <f t="shared" si="3"/>
        <v>0</v>
      </c>
      <c r="AN18" s="55">
        <f t="shared" si="4"/>
        <v>0</v>
      </c>
      <c r="AO18" s="55">
        <f t="shared" si="5"/>
        <v>0</v>
      </c>
      <c r="AP18" s="56">
        <f t="shared" si="6"/>
        <v>0</v>
      </c>
      <c r="AQ18" s="55" t="str">
        <f t="shared" si="22"/>
        <v>0.00</v>
      </c>
      <c r="AR18" s="55" t="str">
        <f t="shared" si="7"/>
        <v>0</v>
      </c>
      <c r="AS18" s="57">
        <f t="shared" si="23"/>
        <v>0</v>
      </c>
      <c r="AT18" s="58">
        <f t="shared" si="8"/>
        <v>0</v>
      </c>
      <c r="AU18" s="57">
        <f t="shared" si="9"/>
        <v>0</v>
      </c>
      <c r="AV18" s="59">
        <f t="shared" si="24"/>
        <v>0</v>
      </c>
      <c r="AW18" s="59">
        <f t="shared" si="10"/>
        <v>0</v>
      </c>
      <c r="AX18" s="9"/>
      <c r="AY18" s="60">
        <f t="shared" si="11"/>
        <v>0</v>
      </c>
      <c r="AZ18" s="61">
        <f>_xlfn.IFNA(INDEX(Table3923[Column4],MATCH(R18,Table3923[Column1],0)),1.5)</f>
        <v>1.5</v>
      </c>
      <c r="BA18" s="62">
        <f>VLOOKUP(Z18,Table1331[#All],2,FALSE)</f>
        <v>1</v>
      </c>
      <c r="BB18" s="61">
        <f t="shared" si="25"/>
        <v>1.5</v>
      </c>
      <c r="BC18" s="55">
        <f t="shared" si="12"/>
        <v>0</v>
      </c>
      <c r="BD18" s="43">
        <f t="shared" si="13"/>
        <v>0</v>
      </c>
      <c r="BE18" s="63">
        <f t="shared" si="14"/>
        <v>0</v>
      </c>
      <c r="BF18" s="60">
        <f t="shared" si="15"/>
        <v>0</v>
      </c>
      <c r="BG18" s="60">
        <f t="shared" si="16"/>
        <v>0</v>
      </c>
      <c r="BH18" s="60">
        <f t="shared" si="17"/>
        <v>0</v>
      </c>
      <c r="BI18" s="55">
        <f>VLOOKUP(AA18,Table1533[#All],2,FALSE)</f>
        <v>1.25</v>
      </c>
      <c r="BJ18" s="55">
        <f t="shared" si="18"/>
        <v>0</v>
      </c>
      <c r="BK18" s="43" t="str">
        <f t="shared" si="19"/>
        <v>0</v>
      </c>
      <c r="BL18" s="62">
        <f t="shared" si="26"/>
        <v>0</v>
      </c>
      <c r="BT18" s="6" t="s">
        <v>171</v>
      </c>
      <c r="BV18" s="6" t="s">
        <v>172</v>
      </c>
      <c r="BW18" s="64"/>
      <c r="BX18" s="80">
        <v>6</v>
      </c>
      <c r="BY18" s="6"/>
      <c r="BZ18" s="6"/>
      <c r="CB18" s="6"/>
      <c r="CC18" s="6"/>
      <c r="CD18" s="83"/>
      <c r="CE18" s="83"/>
      <c r="CF18" s="83"/>
      <c r="CG18" s="6"/>
      <c r="CH18" s="147" t="s">
        <v>380</v>
      </c>
      <c r="CI18" s="149">
        <v>1.61</v>
      </c>
      <c r="CJ18" s="145">
        <f t="shared" ref="CJ18" si="27">CI18*1.1</f>
        <v>1.7710000000000004</v>
      </c>
      <c r="CK18" s="153">
        <v>1.75</v>
      </c>
      <c r="CL18" s="277">
        <f>(L20*H20)/12</f>
        <v>0</v>
      </c>
    </row>
    <row r="19" spans="1:90" ht="12" customHeight="1" x14ac:dyDescent="0.55000000000000004">
      <c r="A19" s="42"/>
      <c r="B19" s="230"/>
      <c r="C19" s="231"/>
      <c r="D19" s="231"/>
      <c r="E19" s="232"/>
      <c r="F19" s="43"/>
      <c r="G19" s="43"/>
      <c r="H19" s="44"/>
      <c r="I19" s="45"/>
      <c r="J19" s="43"/>
      <c r="K19" s="46"/>
      <c r="L19" s="47">
        <f t="shared" si="0"/>
        <v>0</v>
      </c>
      <c r="M19" s="43"/>
      <c r="N19" s="43"/>
      <c r="O19" s="43"/>
      <c r="P19" s="46"/>
      <c r="Q19" s="47">
        <f t="shared" si="21"/>
        <v>0</v>
      </c>
      <c r="R19" s="233"/>
      <c r="S19" s="234"/>
      <c r="T19" s="230"/>
      <c r="U19" s="231"/>
      <c r="V19" s="231"/>
      <c r="W19" s="232"/>
      <c r="X19" s="235" t="str">
        <f>IFERROR(INDEX(Table3923[],MATCH(R19,Table3923[Column1],),3),"")</f>
        <v/>
      </c>
      <c r="Y19" s="235"/>
      <c r="Z19" s="48" t="s">
        <v>85</v>
      </c>
      <c r="AA19" s="48" t="s">
        <v>85</v>
      </c>
      <c r="AB19" s="49"/>
      <c r="AC19" s="50"/>
      <c r="AD19" s="51">
        <f t="shared" si="1"/>
        <v>0</v>
      </c>
      <c r="AG19" s="52">
        <f t="shared" si="2"/>
        <v>0</v>
      </c>
      <c r="AH19" s="53"/>
      <c r="AM19" s="55">
        <f t="shared" si="3"/>
        <v>0</v>
      </c>
      <c r="AN19" s="55">
        <f t="shared" si="4"/>
        <v>0</v>
      </c>
      <c r="AO19" s="55">
        <f t="shared" si="5"/>
        <v>0</v>
      </c>
      <c r="AP19" s="56">
        <f t="shared" si="6"/>
        <v>0</v>
      </c>
      <c r="AQ19" s="55" t="str">
        <f t="shared" si="22"/>
        <v>0.00</v>
      </c>
      <c r="AR19" s="55" t="str">
        <f t="shared" si="7"/>
        <v>0</v>
      </c>
      <c r="AS19" s="57">
        <f t="shared" si="23"/>
        <v>0</v>
      </c>
      <c r="AT19" s="58">
        <f t="shared" si="8"/>
        <v>0</v>
      </c>
      <c r="AU19" s="57">
        <f t="shared" si="9"/>
        <v>0</v>
      </c>
      <c r="AV19" s="59">
        <f t="shared" si="24"/>
        <v>0</v>
      </c>
      <c r="AW19" s="59">
        <f t="shared" si="10"/>
        <v>0</v>
      </c>
      <c r="AX19" s="9"/>
      <c r="AY19" s="60">
        <f t="shared" si="11"/>
        <v>0</v>
      </c>
      <c r="AZ19" s="61">
        <f>_xlfn.IFNA(INDEX(Table3923[Column4],MATCH(R19,Table3923[Column1],0)),1.5)</f>
        <v>1.5</v>
      </c>
      <c r="BA19" s="62">
        <f>VLOOKUP(Z19,Table1331[#All],2,FALSE)</f>
        <v>1</v>
      </c>
      <c r="BB19" s="61">
        <f t="shared" si="25"/>
        <v>1.5</v>
      </c>
      <c r="BC19" s="55">
        <f t="shared" si="12"/>
        <v>0</v>
      </c>
      <c r="BD19" s="43">
        <f t="shared" si="13"/>
        <v>0</v>
      </c>
      <c r="BE19" s="63">
        <f t="shared" si="14"/>
        <v>0</v>
      </c>
      <c r="BF19" s="60">
        <f t="shared" si="15"/>
        <v>0</v>
      </c>
      <c r="BG19" s="60">
        <f t="shared" si="16"/>
        <v>0</v>
      </c>
      <c r="BH19" s="60">
        <f t="shared" si="17"/>
        <v>0</v>
      </c>
      <c r="BI19" s="55">
        <f>VLOOKUP(AA19,Table1533[#All],2,FALSE)</f>
        <v>1.25</v>
      </c>
      <c r="BJ19" s="55">
        <f t="shared" si="18"/>
        <v>0</v>
      </c>
      <c r="BK19" s="43" t="str">
        <f t="shared" si="19"/>
        <v>0</v>
      </c>
      <c r="BL19" s="62">
        <f t="shared" si="26"/>
        <v>0</v>
      </c>
      <c r="BT19" s="6" t="s">
        <v>173</v>
      </c>
      <c r="BV19" s="6"/>
      <c r="BW19" s="6"/>
      <c r="BX19" s="80">
        <v>6.5</v>
      </c>
      <c r="BY19" s="6"/>
      <c r="BZ19" s="6"/>
      <c r="CD19" s="83"/>
      <c r="CE19" s="83"/>
      <c r="CF19" s="83"/>
      <c r="CG19" s="6"/>
      <c r="CH19" s="147" t="s">
        <v>378</v>
      </c>
      <c r="CI19" s="149">
        <v>1.1299999999999999</v>
      </c>
      <c r="CJ19" s="145">
        <f>CI19*1.1</f>
        <v>1.2429999999999999</v>
      </c>
      <c r="CK19" s="153">
        <v>1.5</v>
      </c>
      <c r="CL19" s="277">
        <f>(L21*H21)/12</f>
        <v>0</v>
      </c>
    </row>
    <row r="20" spans="1:90" ht="12" customHeight="1" x14ac:dyDescent="0.55000000000000004">
      <c r="A20" s="42"/>
      <c r="B20" s="230"/>
      <c r="C20" s="231"/>
      <c r="D20" s="231"/>
      <c r="E20" s="232"/>
      <c r="F20" s="43"/>
      <c r="G20" s="43"/>
      <c r="H20" s="44"/>
      <c r="I20" s="45"/>
      <c r="J20" s="43"/>
      <c r="K20" s="46"/>
      <c r="L20" s="47">
        <f t="shared" si="0"/>
        <v>0</v>
      </c>
      <c r="M20" s="43"/>
      <c r="N20" s="43"/>
      <c r="O20" s="43"/>
      <c r="P20" s="46"/>
      <c r="Q20" s="47">
        <f t="shared" si="21"/>
        <v>0</v>
      </c>
      <c r="R20" s="233"/>
      <c r="S20" s="234"/>
      <c r="T20" s="230"/>
      <c r="U20" s="231"/>
      <c r="V20" s="231"/>
      <c r="W20" s="232"/>
      <c r="X20" s="235" t="str">
        <f>IFERROR(INDEX(Table3923[],MATCH(R20,Table3923[Column1],),3),"")</f>
        <v/>
      </c>
      <c r="Y20" s="235"/>
      <c r="Z20" s="48" t="s">
        <v>85</v>
      </c>
      <c r="AA20" s="48" t="s">
        <v>85</v>
      </c>
      <c r="AB20" s="49"/>
      <c r="AC20" s="50"/>
      <c r="AD20" s="51">
        <f t="shared" si="1"/>
        <v>0</v>
      </c>
      <c r="AG20" s="52">
        <f t="shared" si="2"/>
        <v>0</v>
      </c>
      <c r="AH20" s="53"/>
      <c r="AM20" s="55">
        <f t="shared" si="3"/>
        <v>0</v>
      </c>
      <c r="AN20" s="55">
        <f t="shared" si="4"/>
        <v>0</v>
      </c>
      <c r="AO20" s="55">
        <f t="shared" si="5"/>
        <v>0</v>
      </c>
      <c r="AP20" s="56">
        <f t="shared" si="6"/>
        <v>0</v>
      </c>
      <c r="AQ20" s="55" t="str">
        <f t="shared" si="22"/>
        <v>0.00</v>
      </c>
      <c r="AR20" s="55" t="str">
        <f t="shared" si="7"/>
        <v>0</v>
      </c>
      <c r="AS20" s="57">
        <f t="shared" si="23"/>
        <v>0</v>
      </c>
      <c r="AT20" s="58">
        <f t="shared" si="8"/>
        <v>0</v>
      </c>
      <c r="AU20" s="57">
        <f t="shared" si="9"/>
        <v>0</v>
      </c>
      <c r="AV20" s="59">
        <f t="shared" si="24"/>
        <v>0</v>
      </c>
      <c r="AW20" s="59">
        <f t="shared" si="10"/>
        <v>0</v>
      </c>
      <c r="AX20" s="9"/>
      <c r="AY20" s="60">
        <f t="shared" si="11"/>
        <v>0</v>
      </c>
      <c r="AZ20" s="61">
        <f>_xlfn.IFNA(INDEX(Table3923[Column4],MATCH(R20,Table3923[Column1],0)),1.5)</f>
        <v>1.5</v>
      </c>
      <c r="BA20" s="62">
        <f>VLOOKUP(Z20,Table1331[#All],2,FALSE)</f>
        <v>1</v>
      </c>
      <c r="BB20" s="61">
        <f t="shared" si="25"/>
        <v>1.5</v>
      </c>
      <c r="BC20" s="55">
        <f t="shared" si="12"/>
        <v>0</v>
      </c>
      <c r="BD20" s="43">
        <f t="shared" si="13"/>
        <v>0</v>
      </c>
      <c r="BE20" s="63">
        <f t="shared" si="14"/>
        <v>0</v>
      </c>
      <c r="BF20" s="60">
        <f t="shared" si="15"/>
        <v>0</v>
      </c>
      <c r="BG20" s="60">
        <f t="shared" si="16"/>
        <v>0</v>
      </c>
      <c r="BH20" s="60">
        <f t="shared" si="17"/>
        <v>0</v>
      </c>
      <c r="BI20" s="55">
        <f>VLOOKUP(AA20,Table1533[#All],2,FALSE)</f>
        <v>1.25</v>
      </c>
      <c r="BJ20" s="55">
        <f t="shared" si="18"/>
        <v>0</v>
      </c>
      <c r="BK20" s="43" t="str">
        <f t="shared" si="19"/>
        <v>0</v>
      </c>
      <c r="BL20" s="62">
        <f t="shared" si="26"/>
        <v>0</v>
      </c>
      <c r="BT20" s="6" t="s">
        <v>175</v>
      </c>
      <c r="BX20" s="80">
        <v>7</v>
      </c>
      <c r="BY20" s="6"/>
      <c r="BZ20" s="6"/>
      <c r="CD20" s="83"/>
      <c r="CE20" s="83"/>
      <c r="CF20" s="83"/>
      <c r="CH20" s="147" t="s">
        <v>370</v>
      </c>
      <c r="CI20" s="152">
        <v>1</v>
      </c>
      <c r="CJ20" s="145">
        <f>CI20*1.1</f>
        <v>1.1000000000000001</v>
      </c>
      <c r="CK20" s="150">
        <v>1.25</v>
      </c>
      <c r="CL20" s="277">
        <f>(L22*H22)/12</f>
        <v>0</v>
      </c>
    </row>
    <row r="21" spans="1:90" ht="12" customHeight="1" x14ac:dyDescent="0.55000000000000004">
      <c r="A21" s="42"/>
      <c r="B21" s="230"/>
      <c r="C21" s="231"/>
      <c r="D21" s="231"/>
      <c r="E21" s="232"/>
      <c r="F21" s="43"/>
      <c r="G21" s="43"/>
      <c r="H21" s="44"/>
      <c r="I21" s="45"/>
      <c r="J21" s="43"/>
      <c r="K21" s="46"/>
      <c r="L21" s="47">
        <f t="shared" si="0"/>
        <v>0</v>
      </c>
      <c r="M21" s="43"/>
      <c r="N21" s="43"/>
      <c r="O21" s="43"/>
      <c r="P21" s="46"/>
      <c r="Q21" s="47">
        <f t="shared" si="21"/>
        <v>0</v>
      </c>
      <c r="R21" s="233"/>
      <c r="S21" s="234"/>
      <c r="T21" s="230"/>
      <c r="U21" s="231"/>
      <c r="V21" s="231"/>
      <c r="W21" s="232"/>
      <c r="X21" s="235" t="str">
        <f>IFERROR(INDEX(Table3923[],MATCH(R21,Table3923[Column1],),3),"")</f>
        <v/>
      </c>
      <c r="Y21" s="235"/>
      <c r="Z21" s="48" t="s">
        <v>85</v>
      </c>
      <c r="AA21" s="48" t="s">
        <v>85</v>
      </c>
      <c r="AB21" s="49"/>
      <c r="AC21" s="50"/>
      <c r="AD21" s="51">
        <f t="shared" si="1"/>
        <v>0</v>
      </c>
      <c r="AG21" s="52">
        <f t="shared" si="2"/>
        <v>0</v>
      </c>
      <c r="AH21" s="53"/>
      <c r="AM21" s="55">
        <f t="shared" si="3"/>
        <v>0</v>
      </c>
      <c r="AN21" s="55">
        <f t="shared" si="4"/>
        <v>0</v>
      </c>
      <c r="AO21" s="55">
        <f t="shared" si="5"/>
        <v>0</v>
      </c>
      <c r="AP21" s="56">
        <f t="shared" si="6"/>
        <v>0</v>
      </c>
      <c r="AQ21" s="55" t="str">
        <f t="shared" si="22"/>
        <v>0.00</v>
      </c>
      <c r="AR21" s="55" t="str">
        <f t="shared" si="7"/>
        <v>0</v>
      </c>
      <c r="AS21" s="57">
        <f t="shared" si="23"/>
        <v>0</v>
      </c>
      <c r="AT21" s="58">
        <f t="shared" si="8"/>
        <v>0</v>
      </c>
      <c r="AU21" s="57">
        <f t="shared" si="9"/>
        <v>0</v>
      </c>
      <c r="AV21" s="59">
        <f t="shared" si="24"/>
        <v>0</v>
      </c>
      <c r="AW21" s="59">
        <f t="shared" si="10"/>
        <v>0</v>
      </c>
      <c r="AX21" s="9"/>
      <c r="AY21" s="60">
        <f t="shared" si="11"/>
        <v>0</v>
      </c>
      <c r="AZ21" s="61">
        <f>_xlfn.IFNA(INDEX(Table3923[Column4],MATCH(R21,Table3923[Column1],0)),1.5)</f>
        <v>1.5</v>
      </c>
      <c r="BA21" s="62">
        <f>VLOOKUP(Z21,Table1331[#All],2,FALSE)</f>
        <v>1</v>
      </c>
      <c r="BB21" s="61">
        <f t="shared" si="25"/>
        <v>1.5</v>
      </c>
      <c r="BC21" s="55">
        <f t="shared" si="12"/>
        <v>0</v>
      </c>
      <c r="BD21" s="43">
        <f t="shared" si="13"/>
        <v>0</v>
      </c>
      <c r="BE21" s="63">
        <f t="shared" si="14"/>
        <v>0</v>
      </c>
      <c r="BF21" s="60">
        <f t="shared" si="15"/>
        <v>0</v>
      </c>
      <c r="BG21" s="60">
        <f t="shared" si="16"/>
        <v>0</v>
      </c>
      <c r="BH21" s="60">
        <f t="shared" si="17"/>
        <v>0</v>
      </c>
      <c r="BI21" s="55">
        <f>VLOOKUP(AA21,Table1533[#All],2,FALSE)</f>
        <v>1.25</v>
      </c>
      <c r="BJ21" s="55">
        <f t="shared" si="18"/>
        <v>0</v>
      </c>
      <c r="BK21" s="43" t="str">
        <f t="shared" si="19"/>
        <v>0</v>
      </c>
      <c r="BL21" s="62">
        <f t="shared" si="26"/>
        <v>0</v>
      </c>
      <c r="BT21" s="6" t="s">
        <v>177</v>
      </c>
      <c r="BX21" s="80">
        <v>7.5</v>
      </c>
      <c r="BY21" s="6"/>
      <c r="BZ21" s="6"/>
      <c r="CH21" s="147" t="s">
        <v>371</v>
      </c>
      <c r="CI21" s="149">
        <v>0.98</v>
      </c>
      <c r="CJ21" s="145">
        <f t="shared" ref="CJ21" si="28">CI21*1.1</f>
        <v>1.0780000000000001</v>
      </c>
      <c r="CK21" s="153">
        <v>1.5</v>
      </c>
      <c r="CL21" s="277">
        <f>(L23*H23)/12</f>
        <v>0</v>
      </c>
    </row>
    <row r="22" spans="1:90" ht="12" customHeight="1" x14ac:dyDescent="0.55000000000000004">
      <c r="A22" s="42"/>
      <c r="B22" s="230"/>
      <c r="C22" s="231"/>
      <c r="D22" s="231"/>
      <c r="E22" s="232"/>
      <c r="F22" s="43"/>
      <c r="G22" s="43"/>
      <c r="H22" s="44"/>
      <c r="I22" s="45"/>
      <c r="J22" s="43"/>
      <c r="K22" s="46"/>
      <c r="L22" s="47">
        <f t="shared" si="0"/>
        <v>0</v>
      </c>
      <c r="M22" s="43"/>
      <c r="N22" s="43"/>
      <c r="O22" s="43"/>
      <c r="P22" s="46"/>
      <c r="Q22" s="47">
        <f t="shared" si="21"/>
        <v>0</v>
      </c>
      <c r="R22" s="233"/>
      <c r="S22" s="234"/>
      <c r="T22" s="230"/>
      <c r="U22" s="231"/>
      <c r="V22" s="231"/>
      <c r="W22" s="232"/>
      <c r="X22" s="235" t="str">
        <f>IFERROR(INDEX(Table3923[],MATCH(R22,Table3923[Column1],),3),"")</f>
        <v/>
      </c>
      <c r="Y22" s="235"/>
      <c r="Z22" s="48" t="s">
        <v>85</v>
      </c>
      <c r="AA22" s="48" t="s">
        <v>85</v>
      </c>
      <c r="AB22" s="49"/>
      <c r="AC22" s="50"/>
      <c r="AD22" s="51">
        <f t="shared" si="1"/>
        <v>0</v>
      </c>
      <c r="AG22" s="52">
        <f t="shared" si="2"/>
        <v>0</v>
      </c>
      <c r="AH22" s="53"/>
      <c r="AM22" s="55">
        <f t="shared" si="3"/>
        <v>0</v>
      </c>
      <c r="AN22" s="55">
        <f t="shared" si="4"/>
        <v>0</v>
      </c>
      <c r="AO22" s="55">
        <f t="shared" si="5"/>
        <v>0</v>
      </c>
      <c r="AP22" s="56">
        <f t="shared" si="6"/>
        <v>0</v>
      </c>
      <c r="AQ22" s="55" t="str">
        <f t="shared" si="22"/>
        <v>0.00</v>
      </c>
      <c r="AR22" s="55" t="str">
        <f t="shared" si="7"/>
        <v>0</v>
      </c>
      <c r="AS22" s="57">
        <f t="shared" si="23"/>
        <v>0</v>
      </c>
      <c r="AT22" s="58">
        <f t="shared" si="8"/>
        <v>0</v>
      </c>
      <c r="AU22" s="57">
        <f t="shared" si="9"/>
        <v>0</v>
      </c>
      <c r="AV22" s="59">
        <f t="shared" si="24"/>
        <v>0</v>
      </c>
      <c r="AW22" s="59">
        <f t="shared" si="10"/>
        <v>0</v>
      </c>
      <c r="AX22" s="9"/>
      <c r="AY22" s="60">
        <f t="shared" si="11"/>
        <v>0</v>
      </c>
      <c r="AZ22" s="61">
        <f>_xlfn.IFNA(INDEX(Table3923[Column4],MATCH(R22,Table3923[Column1],0)),1.5)</f>
        <v>1.5</v>
      </c>
      <c r="BA22" s="62">
        <f>VLOOKUP(Z22,Table1331[#All],2,FALSE)</f>
        <v>1</v>
      </c>
      <c r="BB22" s="61">
        <f t="shared" si="25"/>
        <v>1.5</v>
      </c>
      <c r="BC22" s="55">
        <f t="shared" si="12"/>
        <v>0</v>
      </c>
      <c r="BD22" s="43">
        <f t="shared" si="13"/>
        <v>0</v>
      </c>
      <c r="BE22" s="63">
        <f t="shared" si="14"/>
        <v>0</v>
      </c>
      <c r="BF22" s="60">
        <f t="shared" si="15"/>
        <v>0</v>
      </c>
      <c r="BG22" s="60">
        <f t="shared" si="16"/>
        <v>0</v>
      </c>
      <c r="BH22" s="60">
        <f t="shared" si="17"/>
        <v>0</v>
      </c>
      <c r="BI22" s="55">
        <f>VLOOKUP(AA22,Table1533[#All],2,FALSE)</f>
        <v>1.25</v>
      </c>
      <c r="BJ22" s="55">
        <f t="shared" si="18"/>
        <v>0</v>
      </c>
      <c r="BK22" s="43" t="str">
        <f t="shared" si="19"/>
        <v>0</v>
      </c>
      <c r="BL22" s="62">
        <f t="shared" si="26"/>
        <v>0</v>
      </c>
      <c r="BT22" s="6" t="s">
        <v>179</v>
      </c>
      <c r="BX22" s="80">
        <v>8</v>
      </c>
      <c r="BY22" s="6"/>
      <c r="CH22" s="147" t="s">
        <v>381</v>
      </c>
      <c r="CI22" s="151">
        <v>1.41</v>
      </c>
      <c r="CJ22" s="145">
        <f t="shared" ref="CJ22:CJ27" si="29">CI22*1.1</f>
        <v>1.5509999999999999</v>
      </c>
      <c r="CK22" s="153">
        <v>1.5</v>
      </c>
      <c r="CL22" s="277">
        <f>(L24*H24)/12</f>
        <v>0</v>
      </c>
    </row>
    <row r="23" spans="1:90" ht="12" customHeight="1" x14ac:dyDescent="0.55000000000000004">
      <c r="A23" s="42"/>
      <c r="B23" s="230"/>
      <c r="C23" s="231"/>
      <c r="D23" s="231"/>
      <c r="E23" s="232"/>
      <c r="F23" s="43"/>
      <c r="G23" s="43"/>
      <c r="H23" s="44"/>
      <c r="I23" s="45"/>
      <c r="J23" s="43"/>
      <c r="K23" s="46"/>
      <c r="L23" s="47">
        <f t="shared" si="0"/>
        <v>0</v>
      </c>
      <c r="M23" s="43"/>
      <c r="N23" s="43"/>
      <c r="O23" s="43"/>
      <c r="P23" s="46"/>
      <c r="Q23" s="47">
        <f t="shared" si="21"/>
        <v>0</v>
      </c>
      <c r="R23" s="233"/>
      <c r="S23" s="234"/>
      <c r="T23" s="230"/>
      <c r="U23" s="231"/>
      <c r="V23" s="231"/>
      <c r="W23" s="232"/>
      <c r="X23" s="235" t="str">
        <f>IFERROR(INDEX(Table3923[],MATCH(R23,Table3923[Column1],),3),"")</f>
        <v/>
      </c>
      <c r="Y23" s="235"/>
      <c r="Z23" s="48" t="s">
        <v>85</v>
      </c>
      <c r="AA23" s="48" t="s">
        <v>85</v>
      </c>
      <c r="AB23" s="49"/>
      <c r="AC23" s="50"/>
      <c r="AD23" s="51">
        <f t="shared" si="1"/>
        <v>0</v>
      </c>
      <c r="AG23" s="52">
        <f t="shared" si="2"/>
        <v>0</v>
      </c>
      <c r="AH23" s="53"/>
      <c r="AM23" s="55">
        <f t="shared" si="3"/>
        <v>0</v>
      </c>
      <c r="AN23" s="55">
        <f t="shared" si="4"/>
        <v>0</v>
      </c>
      <c r="AO23" s="55">
        <f t="shared" si="5"/>
        <v>0</v>
      </c>
      <c r="AP23" s="56">
        <f t="shared" si="6"/>
        <v>0</v>
      </c>
      <c r="AQ23" s="55" t="str">
        <f t="shared" si="22"/>
        <v>0.00</v>
      </c>
      <c r="AR23" s="55" t="str">
        <f t="shared" si="7"/>
        <v>0</v>
      </c>
      <c r="AS23" s="57">
        <f t="shared" si="23"/>
        <v>0</v>
      </c>
      <c r="AT23" s="58">
        <f t="shared" si="8"/>
        <v>0</v>
      </c>
      <c r="AU23" s="57">
        <f t="shared" si="9"/>
        <v>0</v>
      </c>
      <c r="AV23" s="59">
        <f t="shared" si="24"/>
        <v>0</v>
      </c>
      <c r="AW23" s="59">
        <f t="shared" si="10"/>
        <v>0</v>
      </c>
      <c r="AX23" s="9"/>
      <c r="AY23" s="60">
        <f t="shared" si="11"/>
        <v>0</v>
      </c>
      <c r="AZ23" s="61">
        <f>_xlfn.IFNA(INDEX(Table3923[Column4],MATCH(R23,Table3923[Column1],0)),1.5)</f>
        <v>1.5</v>
      </c>
      <c r="BA23" s="62">
        <f>VLOOKUP(Z23,Table1331[#All],2,FALSE)</f>
        <v>1</v>
      </c>
      <c r="BB23" s="61">
        <f t="shared" si="25"/>
        <v>1.5</v>
      </c>
      <c r="BC23" s="55">
        <f t="shared" si="12"/>
        <v>0</v>
      </c>
      <c r="BD23" s="43">
        <f t="shared" si="13"/>
        <v>0</v>
      </c>
      <c r="BE23" s="63">
        <f t="shared" si="14"/>
        <v>0</v>
      </c>
      <c r="BF23" s="60">
        <f t="shared" si="15"/>
        <v>0</v>
      </c>
      <c r="BG23" s="60">
        <f t="shared" si="16"/>
        <v>0</v>
      </c>
      <c r="BH23" s="60">
        <f t="shared" si="17"/>
        <v>0</v>
      </c>
      <c r="BI23" s="55">
        <f>VLOOKUP(AA23,Table1533[#All],2,FALSE)</f>
        <v>1.25</v>
      </c>
      <c r="BJ23" s="55">
        <f t="shared" si="18"/>
        <v>0</v>
      </c>
      <c r="BK23" s="43" t="str">
        <f t="shared" si="19"/>
        <v>0</v>
      </c>
      <c r="BL23" s="62">
        <f t="shared" si="26"/>
        <v>0</v>
      </c>
      <c r="BT23" s="6" t="s">
        <v>181</v>
      </c>
      <c r="BX23" s="84">
        <v>8.5</v>
      </c>
      <c r="CH23" s="147" t="s">
        <v>382</v>
      </c>
      <c r="CI23" s="149">
        <v>1.41</v>
      </c>
      <c r="CJ23" s="145">
        <f t="shared" si="29"/>
        <v>1.5509999999999999</v>
      </c>
      <c r="CK23" s="153">
        <v>1.5</v>
      </c>
      <c r="CL23" s="277">
        <f>(L25*H25)/12</f>
        <v>0</v>
      </c>
    </row>
    <row r="24" spans="1:90" ht="12" customHeight="1" x14ac:dyDescent="0.55000000000000004">
      <c r="A24" s="42"/>
      <c r="B24" s="230"/>
      <c r="C24" s="231"/>
      <c r="D24" s="231"/>
      <c r="E24" s="232"/>
      <c r="F24" s="43"/>
      <c r="G24" s="43"/>
      <c r="H24" s="44"/>
      <c r="I24" s="45"/>
      <c r="J24" s="43"/>
      <c r="K24" s="46"/>
      <c r="L24" s="47">
        <f t="shared" si="0"/>
        <v>0</v>
      </c>
      <c r="M24" s="43"/>
      <c r="N24" s="43"/>
      <c r="O24" s="43"/>
      <c r="P24" s="46"/>
      <c r="Q24" s="47">
        <f t="shared" si="21"/>
        <v>0</v>
      </c>
      <c r="R24" s="233"/>
      <c r="S24" s="234"/>
      <c r="T24" s="230"/>
      <c r="U24" s="231"/>
      <c r="V24" s="231"/>
      <c r="W24" s="232"/>
      <c r="X24" s="235" t="str">
        <f>IFERROR(INDEX(Table3923[],MATCH(R24,Table3923[Column1],),3),"")</f>
        <v/>
      </c>
      <c r="Y24" s="235"/>
      <c r="Z24" s="48" t="s">
        <v>85</v>
      </c>
      <c r="AA24" s="48" t="s">
        <v>85</v>
      </c>
      <c r="AB24" s="49"/>
      <c r="AC24" s="50"/>
      <c r="AD24" s="51">
        <f t="shared" si="1"/>
        <v>0</v>
      </c>
      <c r="AG24" s="52">
        <f t="shared" si="2"/>
        <v>0</v>
      </c>
      <c r="AH24" s="53"/>
      <c r="AM24" s="55">
        <f t="shared" si="3"/>
        <v>0</v>
      </c>
      <c r="AN24" s="55">
        <f t="shared" si="4"/>
        <v>0</v>
      </c>
      <c r="AO24" s="55">
        <f t="shared" si="5"/>
        <v>0</v>
      </c>
      <c r="AP24" s="56">
        <f t="shared" si="6"/>
        <v>0</v>
      </c>
      <c r="AQ24" s="55" t="str">
        <f t="shared" si="22"/>
        <v>0.00</v>
      </c>
      <c r="AR24" s="55" t="str">
        <f t="shared" si="7"/>
        <v>0</v>
      </c>
      <c r="AS24" s="57">
        <f t="shared" si="23"/>
        <v>0</v>
      </c>
      <c r="AT24" s="58">
        <f t="shared" si="8"/>
        <v>0</v>
      </c>
      <c r="AU24" s="57">
        <f t="shared" si="9"/>
        <v>0</v>
      </c>
      <c r="AV24" s="59">
        <f t="shared" si="24"/>
        <v>0</v>
      </c>
      <c r="AW24" s="59">
        <f t="shared" si="10"/>
        <v>0</v>
      </c>
      <c r="AX24" s="9"/>
      <c r="AY24" s="60">
        <f t="shared" si="11"/>
        <v>0</v>
      </c>
      <c r="AZ24" s="61">
        <f>_xlfn.IFNA(INDEX(Table3923[Column4],MATCH(R24,Table3923[Column1],0)),1.5)</f>
        <v>1.5</v>
      </c>
      <c r="BA24" s="62">
        <f>VLOOKUP(Z24,Table1331[#All],2,FALSE)</f>
        <v>1</v>
      </c>
      <c r="BB24" s="61">
        <f t="shared" si="25"/>
        <v>1.5</v>
      </c>
      <c r="BC24" s="55">
        <f t="shared" si="12"/>
        <v>0</v>
      </c>
      <c r="BD24" s="43">
        <f t="shared" si="13"/>
        <v>0</v>
      </c>
      <c r="BE24" s="63">
        <f t="shared" si="14"/>
        <v>0</v>
      </c>
      <c r="BF24" s="60">
        <f t="shared" si="15"/>
        <v>0</v>
      </c>
      <c r="BG24" s="60">
        <f t="shared" si="16"/>
        <v>0</v>
      </c>
      <c r="BH24" s="60">
        <f t="shared" si="17"/>
        <v>0</v>
      </c>
      <c r="BI24" s="55">
        <f>VLOOKUP(AA24,Table1533[#All],2,FALSE)</f>
        <v>1.25</v>
      </c>
      <c r="BJ24" s="55">
        <f t="shared" si="18"/>
        <v>0</v>
      </c>
      <c r="BK24" s="43" t="str">
        <f t="shared" si="19"/>
        <v>0</v>
      </c>
      <c r="BL24" s="62">
        <f t="shared" si="26"/>
        <v>0</v>
      </c>
      <c r="BT24" s="6" t="s">
        <v>183</v>
      </c>
      <c r="BX24" s="80">
        <v>9</v>
      </c>
      <c r="CH24" s="147" t="s">
        <v>383</v>
      </c>
      <c r="CI24" s="151">
        <v>1.41</v>
      </c>
      <c r="CJ24" s="145">
        <f t="shared" si="29"/>
        <v>1.5509999999999999</v>
      </c>
      <c r="CK24" s="153">
        <v>1.5</v>
      </c>
      <c r="CL24" s="277">
        <f>(L26*H26)/12</f>
        <v>0</v>
      </c>
    </row>
    <row r="25" spans="1:90" ht="12" customHeight="1" x14ac:dyDescent="0.55000000000000004">
      <c r="A25" s="42"/>
      <c r="B25" s="230"/>
      <c r="C25" s="231"/>
      <c r="D25" s="231"/>
      <c r="E25" s="232"/>
      <c r="F25" s="43"/>
      <c r="G25" s="43"/>
      <c r="H25" s="44"/>
      <c r="I25" s="45"/>
      <c r="J25" s="43"/>
      <c r="K25" s="46"/>
      <c r="L25" s="47">
        <f t="shared" si="0"/>
        <v>0</v>
      </c>
      <c r="M25" s="43"/>
      <c r="N25" s="43"/>
      <c r="O25" s="43"/>
      <c r="P25" s="46"/>
      <c r="Q25" s="47">
        <f t="shared" si="21"/>
        <v>0</v>
      </c>
      <c r="R25" s="233"/>
      <c r="S25" s="234"/>
      <c r="T25" s="230"/>
      <c r="U25" s="231"/>
      <c r="V25" s="231"/>
      <c r="W25" s="232"/>
      <c r="X25" s="235" t="str">
        <f>IFERROR(INDEX(Table3923[],MATCH(R25,Table3923[Column1],),3),"")</f>
        <v/>
      </c>
      <c r="Y25" s="235"/>
      <c r="Z25" s="48" t="s">
        <v>85</v>
      </c>
      <c r="AA25" s="48" t="s">
        <v>85</v>
      </c>
      <c r="AB25" s="49"/>
      <c r="AC25" s="50"/>
      <c r="AD25" s="51">
        <f t="shared" si="1"/>
        <v>0</v>
      </c>
      <c r="AG25" s="52">
        <f t="shared" si="2"/>
        <v>0</v>
      </c>
      <c r="AH25" s="53"/>
      <c r="AM25" s="55">
        <f t="shared" si="3"/>
        <v>0</v>
      </c>
      <c r="AN25" s="55">
        <f t="shared" si="4"/>
        <v>0</v>
      </c>
      <c r="AO25" s="55">
        <f t="shared" si="5"/>
        <v>0</v>
      </c>
      <c r="AP25" s="56">
        <f t="shared" si="6"/>
        <v>0</v>
      </c>
      <c r="AQ25" s="55" t="str">
        <f t="shared" si="22"/>
        <v>0.00</v>
      </c>
      <c r="AR25" s="55" t="str">
        <f t="shared" si="7"/>
        <v>0</v>
      </c>
      <c r="AS25" s="57">
        <f t="shared" si="23"/>
        <v>0</v>
      </c>
      <c r="AT25" s="58">
        <f t="shared" si="8"/>
        <v>0</v>
      </c>
      <c r="AU25" s="57">
        <f t="shared" si="9"/>
        <v>0</v>
      </c>
      <c r="AV25" s="59">
        <f t="shared" si="24"/>
        <v>0</v>
      </c>
      <c r="AW25" s="59">
        <f t="shared" si="10"/>
        <v>0</v>
      </c>
      <c r="AX25" s="9"/>
      <c r="AY25" s="60">
        <f t="shared" si="11"/>
        <v>0</v>
      </c>
      <c r="AZ25" s="61">
        <f>_xlfn.IFNA(INDEX(Table3923[Column4],MATCH(R25,Table3923[Column1],0)),1.5)</f>
        <v>1.5</v>
      </c>
      <c r="BA25" s="62">
        <f>VLOOKUP(Z25,Table1331[#All],2,FALSE)</f>
        <v>1</v>
      </c>
      <c r="BB25" s="61">
        <f t="shared" si="25"/>
        <v>1.5</v>
      </c>
      <c r="BC25" s="55">
        <f t="shared" si="12"/>
        <v>0</v>
      </c>
      <c r="BD25" s="43">
        <f t="shared" si="13"/>
        <v>0</v>
      </c>
      <c r="BE25" s="63">
        <f t="shared" si="14"/>
        <v>0</v>
      </c>
      <c r="BF25" s="60">
        <f t="shared" si="15"/>
        <v>0</v>
      </c>
      <c r="BG25" s="60">
        <f t="shared" si="16"/>
        <v>0</v>
      </c>
      <c r="BH25" s="60">
        <f t="shared" si="17"/>
        <v>0</v>
      </c>
      <c r="BI25" s="55">
        <f>VLOOKUP(AA25,Table1533[#All],2,FALSE)</f>
        <v>1.25</v>
      </c>
      <c r="BJ25" s="55">
        <f t="shared" si="18"/>
        <v>0</v>
      </c>
      <c r="BK25" s="43" t="str">
        <f t="shared" si="19"/>
        <v>0</v>
      </c>
      <c r="BL25" s="62">
        <f t="shared" si="26"/>
        <v>0</v>
      </c>
      <c r="BT25" s="6" t="s">
        <v>185</v>
      </c>
      <c r="BX25" s="84">
        <v>9.5</v>
      </c>
      <c r="CH25" s="148" t="s">
        <v>384</v>
      </c>
      <c r="CI25" s="151">
        <v>2.39</v>
      </c>
      <c r="CJ25" s="145">
        <f t="shared" si="29"/>
        <v>2.6290000000000004</v>
      </c>
      <c r="CK25" s="150">
        <v>1.5</v>
      </c>
      <c r="CL25" s="277">
        <f>(L27*H27)/12</f>
        <v>0</v>
      </c>
    </row>
    <row r="26" spans="1:90" ht="12" customHeight="1" x14ac:dyDescent="0.55000000000000004">
      <c r="A26" s="42"/>
      <c r="B26" s="230"/>
      <c r="C26" s="231"/>
      <c r="D26" s="231"/>
      <c r="E26" s="232"/>
      <c r="F26" s="43"/>
      <c r="G26" s="43"/>
      <c r="H26" s="44"/>
      <c r="I26" s="45"/>
      <c r="J26" s="43"/>
      <c r="K26" s="46"/>
      <c r="L26" s="47">
        <f t="shared" si="0"/>
        <v>0</v>
      </c>
      <c r="M26" s="43"/>
      <c r="N26" s="43"/>
      <c r="O26" s="43"/>
      <c r="P26" s="46"/>
      <c r="Q26" s="47">
        <f t="shared" si="21"/>
        <v>0</v>
      </c>
      <c r="R26" s="233"/>
      <c r="S26" s="234"/>
      <c r="T26" s="230"/>
      <c r="U26" s="231"/>
      <c r="V26" s="231"/>
      <c r="W26" s="232"/>
      <c r="X26" s="235" t="str">
        <f>IFERROR(INDEX(Table3923[],MATCH(R26,Table3923[Column1],),3),"")</f>
        <v/>
      </c>
      <c r="Y26" s="235"/>
      <c r="Z26" s="48" t="s">
        <v>85</v>
      </c>
      <c r="AA26" s="48" t="s">
        <v>85</v>
      </c>
      <c r="AB26" s="49"/>
      <c r="AC26" s="50"/>
      <c r="AD26" s="51">
        <f t="shared" si="1"/>
        <v>0</v>
      </c>
      <c r="AG26" s="52">
        <f t="shared" si="2"/>
        <v>0</v>
      </c>
      <c r="AH26" s="53"/>
      <c r="AM26" s="55">
        <f t="shared" si="3"/>
        <v>0</v>
      </c>
      <c r="AN26" s="55">
        <f t="shared" si="4"/>
        <v>0</v>
      </c>
      <c r="AO26" s="55">
        <f t="shared" si="5"/>
        <v>0</v>
      </c>
      <c r="AP26" s="56">
        <f t="shared" si="6"/>
        <v>0</v>
      </c>
      <c r="AQ26" s="55" t="str">
        <f t="shared" si="22"/>
        <v>0.00</v>
      </c>
      <c r="AR26" s="55" t="str">
        <f t="shared" si="7"/>
        <v>0</v>
      </c>
      <c r="AS26" s="57">
        <f t="shared" si="23"/>
        <v>0</v>
      </c>
      <c r="AT26" s="58">
        <f t="shared" si="8"/>
        <v>0</v>
      </c>
      <c r="AU26" s="57">
        <f t="shared" si="9"/>
        <v>0</v>
      </c>
      <c r="AV26" s="59">
        <f t="shared" si="24"/>
        <v>0</v>
      </c>
      <c r="AW26" s="59">
        <f t="shared" si="10"/>
        <v>0</v>
      </c>
      <c r="AX26" s="9"/>
      <c r="AY26" s="60">
        <f t="shared" si="11"/>
        <v>0</v>
      </c>
      <c r="AZ26" s="61">
        <f>_xlfn.IFNA(INDEX(Table3923[Column4],MATCH(R26,Table3923[Column1],0)),1.5)</f>
        <v>1.5</v>
      </c>
      <c r="BA26" s="62">
        <f>VLOOKUP(Z26,Table1331[#All],2,FALSE)</f>
        <v>1</v>
      </c>
      <c r="BB26" s="61">
        <f t="shared" si="25"/>
        <v>1.5</v>
      </c>
      <c r="BC26" s="55">
        <f t="shared" si="12"/>
        <v>0</v>
      </c>
      <c r="BD26" s="43">
        <f t="shared" si="13"/>
        <v>0</v>
      </c>
      <c r="BE26" s="63">
        <f t="shared" si="14"/>
        <v>0</v>
      </c>
      <c r="BF26" s="60">
        <f t="shared" si="15"/>
        <v>0</v>
      </c>
      <c r="BG26" s="60">
        <f t="shared" si="16"/>
        <v>0</v>
      </c>
      <c r="BH26" s="60">
        <f t="shared" si="17"/>
        <v>0</v>
      </c>
      <c r="BI26" s="55">
        <f>VLOOKUP(AA26,Table1533[#All],2,FALSE)</f>
        <v>1.25</v>
      </c>
      <c r="BJ26" s="55">
        <f t="shared" si="18"/>
        <v>0</v>
      </c>
      <c r="BK26" s="43" t="str">
        <f t="shared" si="19"/>
        <v>0</v>
      </c>
      <c r="BL26" s="62">
        <f t="shared" si="26"/>
        <v>0</v>
      </c>
      <c r="BN26" s="6"/>
      <c r="BO26" s="6"/>
      <c r="BP26" s="6"/>
      <c r="BQ26" s="6"/>
      <c r="BR26" s="6"/>
      <c r="BS26" s="6"/>
      <c r="BT26" s="6" t="s">
        <v>187</v>
      </c>
      <c r="BU26" s="9"/>
      <c r="BX26" s="80">
        <v>10</v>
      </c>
      <c r="CH26" s="148" t="s">
        <v>385</v>
      </c>
      <c r="CI26" s="151">
        <v>2.39</v>
      </c>
      <c r="CJ26" s="145">
        <f t="shared" si="29"/>
        <v>2.6290000000000004</v>
      </c>
      <c r="CK26" s="150">
        <v>1.5</v>
      </c>
      <c r="CL26" s="277">
        <f>(L28*H28)/12</f>
        <v>0</v>
      </c>
    </row>
    <row r="27" spans="1:90" ht="12" customHeight="1" x14ac:dyDescent="0.55000000000000004">
      <c r="A27" s="42"/>
      <c r="B27" s="230"/>
      <c r="C27" s="231"/>
      <c r="D27" s="231"/>
      <c r="E27" s="232"/>
      <c r="F27" s="43"/>
      <c r="G27" s="43"/>
      <c r="H27" s="44"/>
      <c r="I27" s="45"/>
      <c r="J27" s="43"/>
      <c r="K27" s="46"/>
      <c r="L27" s="47">
        <f t="shared" si="0"/>
        <v>0</v>
      </c>
      <c r="M27" s="43"/>
      <c r="N27" s="43"/>
      <c r="O27" s="43"/>
      <c r="P27" s="46"/>
      <c r="Q27" s="47">
        <f t="shared" si="21"/>
        <v>0</v>
      </c>
      <c r="R27" s="233"/>
      <c r="S27" s="234"/>
      <c r="T27" s="230"/>
      <c r="U27" s="231"/>
      <c r="V27" s="231"/>
      <c r="W27" s="232"/>
      <c r="X27" s="235" t="str">
        <f>IFERROR(INDEX(Table3923[],MATCH(R27,Table3923[Column1],),3),"")</f>
        <v/>
      </c>
      <c r="Y27" s="235"/>
      <c r="Z27" s="48" t="s">
        <v>85</v>
      </c>
      <c r="AA27" s="48" t="s">
        <v>85</v>
      </c>
      <c r="AB27" s="49"/>
      <c r="AC27" s="50"/>
      <c r="AD27" s="51">
        <f t="shared" si="1"/>
        <v>0</v>
      </c>
      <c r="AG27" s="52">
        <f t="shared" si="2"/>
        <v>0</v>
      </c>
      <c r="AH27" s="53"/>
      <c r="AM27" s="55">
        <f t="shared" si="3"/>
        <v>0</v>
      </c>
      <c r="AN27" s="55">
        <f t="shared" si="4"/>
        <v>0</v>
      </c>
      <c r="AO27" s="55">
        <f t="shared" si="5"/>
        <v>0</v>
      </c>
      <c r="AP27" s="56">
        <f t="shared" si="6"/>
        <v>0</v>
      </c>
      <c r="AQ27" s="55" t="str">
        <f t="shared" si="22"/>
        <v>0.00</v>
      </c>
      <c r="AR27" s="55" t="str">
        <f t="shared" si="7"/>
        <v>0</v>
      </c>
      <c r="AS27" s="57">
        <f t="shared" si="23"/>
        <v>0</v>
      </c>
      <c r="AT27" s="58">
        <f t="shared" si="8"/>
        <v>0</v>
      </c>
      <c r="AU27" s="57">
        <f t="shared" si="9"/>
        <v>0</v>
      </c>
      <c r="AV27" s="59">
        <f t="shared" si="24"/>
        <v>0</v>
      </c>
      <c r="AW27" s="59">
        <f t="shared" si="10"/>
        <v>0</v>
      </c>
      <c r="AX27" s="9"/>
      <c r="AY27" s="60">
        <f t="shared" si="11"/>
        <v>0</v>
      </c>
      <c r="AZ27" s="61">
        <f>_xlfn.IFNA(INDEX(Table3923[Column4],MATCH(R27,Table3923[Column1],0)),1.5)</f>
        <v>1.5</v>
      </c>
      <c r="BA27" s="62">
        <f>VLOOKUP(Z27,Table1331[#All],2,FALSE)</f>
        <v>1</v>
      </c>
      <c r="BB27" s="61">
        <f t="shared" si="25"/>
        <v>1.5</v>
      </c>
      <c r="BC27" s="55">
        <f t="shared" si="12"/>
        <v>0</v>
      </c>
      <c r="BD27" s="43">
        <f t="shared" si="13"/>
        <v>0</v>
      </c>
      <c r="BE27" s="63">
        <f t="shared" si="14"/>
        <v>0</v>
      </c>
      <c r="BF27" s="60">
        <f t="shared" si="15"/>
        <v>0</v>
      </c>
      <c r="BG27" s="60">
        <f t="shared" si="16"/>
        <v>0</v>
      </c>
      <c r="BH27" s="60">
        <f t="shared" si="17"/>
        <v>0</v>
      </c>
      <c r="BI27" s="55">
        <f>VLOOKUP(AA27,Table1533[#All],2,FALSE)</f>
        <v>1.25</v>
      </c>
      <c r="BJ27" s="55">
        <f t="shared" si="18"/>
        <v>0</v>
      </c>
      <c r="BK27" s="43" t="str">
        <f t="shared" si="19"/>
        <v>0</v>
      </c>
      <c r="BL27" s="62">
        <f t="shared" si="26"/>
        <v>0</v>
      </c>
      <c r="BN27" s="6"/>
      <c r="BO27" s="6"/>
      <c r="BP27" s="6"/>
      <c r="BQ27" s="6"/>
      <c r="BR27" s="6"/>
      <c r="BS27" s="6"/>
      <c r="BT27" s="6" t="s">
        <v>189</v>
      </c>
      <c r="BU27" s="9"/>
      <c r="CH27" s="148" t="s">
        <v>386</v>
      </c>
      <c r="CI27" s="151">
        <v>2.39</v>
      </c>
      <c r="CJ27" s="145">
        <f t="shared" si="29"/>
        <v>2.6290000000000004</v>
      </c>
      <c r="CK27" s="150">
        <v>1.5</v>
      </c>
      <c r="CL27" s="277">
        <f>(L29*H29)/12</f>
        <v>0</v>
      </c>
    </row>
    <row r="28" spans="1:90" ht="13" customHeight="1" x14ac:dyDescent="0.55000000000000004">
      <c r="A28" s="42"/>
      <c r="B28" s="230"/>
      <c r="C28" s="231"/>
      <c r="D28" s="231"/>
      <c r="E28" s="232"/>
      <c r="F28" s="43"/>
      <c r="G28" s="43"/>
      <c r="H28" s="44"/>
      <c r="I28" s="45"/>
      <c r="J28" s="43"/>
      <c r="K28" s="46"/>
      <c r="L28" s="47">
        <f t="shared" si="0"/>
        <v>0</v>
      </c>
      <c r="M28" s="43"/>
      <c r="N28" s="43"/>
      <c r="O28" s="43"/>
      <c r="P28" s="46"/>
      <c r="Q28" s="47">
        <f t="shared" si="21"/>
        <v>0</v>
      </c>
      <c r="R28" s="233"/>
      <c r="S28" s="234"/>
      <c r="T28" s="230"/>
      <c r="U28" s="231"/>
      <c r="V28" s="231"/>
      <c r="W28" s="232"/>
      <c r="X28" s="235" t="str">
        <f>IFERROR(INDEX(Table3923[],MATCH(R28,Table3923[Column1],),3),"")</f>
        <v/>
      </c>
      <c r="Y28" s="235"/>
      <c r="Z28" s="48" t="s">
        <v>85</v>
      </c>
      <c r="AA28" s="48" t="s">
        <v>85</v>
      </c>
      <c r="AB28" s="49"/>
      <c r="AC28" s="50"/>
      <c r="AD28" s="51">
        <f t="shared" si="1"/>
        <v>0</v>
      </c>
      <c r="AG28" s="52">
        <f t="shared" si="2"/>
        <v>0</v>
      </c>
      <c r="AH28" s="53"/>
      <c r="AM28" s="55">
        <f t="shared" si="3"/>
        <v>0</v>
      </c>
      <c r="AN28" s="55">
        <f t="shared" si="4"/>
        <v>0</v>
      </c>
      <c r="AO28" s="55">
        <f t="shared" si="5"/>
        <v>0</v>
      </c>
      <c r="AP28" s="56">
        <f t="shared" si="6"/>
        <v>0</v>
      </c>
      <c r="AQ28" s="55" t="str">
        <f t="shared" si="22"/>
        <v>0.00</v>
      </c>
      <c r="AR28" s="55" t="str">
        <f t="shared" si="7"/>
        <v>0</v>
      </c>
      <c r="AS28" s="57">
        <f t="shared" si="23"/>
        <v>0</v>
      </c>
      <c r="AT28" s="58">
        <f t="shared" si="8"/>
        <v>0</v>
      </c>
      <c r="AU28" s="57">
        <f t="shared" si="9"/>
        <v>0</v>
      </c>
      <c r="AV28" s="59">
        <f t="shared" si="24"/>
        <v>0</v>
      </c>
      <c r="AW28" s="59">
        <f t="shared" si="10"/>
        <v>0</v>
      </c>
      <c r="AX28" s="9"/>
      <c r="AY28" s="60">
        <f t="shared" si="11"/>
        <v>0</v>
      </c>
      <c r="AZ28" s="61">
        <f>_xlfn.IFNA(INDEX(Table3923[Column4],MATCH(R28,Table3923[Column1],0)),1.5)</f>
        <v>1.5</v>
      </c>
      <c r="BA28" s="62">
        <f>VLOOKUP(Z28,Table1331[#All],2,FALSE)</f>
        <v>1</v>
      </c>
      <c r="BB28" s="61">
        <f t="shared" si="25"/>
        <v>1.5</v>
      </c>
      <c r="BC28" s="55">
        <f t="shared" si="12"/>
        <v>0</v>
      </c>
      <c r="BD28" s="43">
        <f t="shared" si="13"/>
        <v>0</v>
      </c>
      <c r="BE28" s="63">
        <f t="shared" si="14"/>
        <v>0</v>
      </c>
      <c r="BF28" s="60">
        <f t="shared" si="15"/>
        <v>0</v>
      </c>
      <c r="BG28" s="60">
        <f t="shared" si="16"/>
        <v>0</v>
      </c>
      <c r="BH28" s="60">
        <f t="shared" si="17"/>
        <v>0</v>
      </c>
      <c r="BI28" s="55">
        <f>VLOOKUP(AA28,Table1533[#All],2,FALSE)</f>
        <v>1.25</v>
      </c>
      <c r="BJ28" s="55">
        <f t="shared" si="18"/>
        <v>0</v>
      </c>
      <c r="BK28" s="43" t="str">
        <f t="shared" si="19"/>
        <v>0</v>
      </c>
      <c r="BL28" s="62">
        <f t="shared" si="26"/>
        <v>0</v>
      </c>
      <c r="BN28" s="6"/>
      <c r="BO28" s="6"/>
      <c r="BP28" s="6"/>
      <c r="BQ28" s="6"/>
      <c r="BR28" s="6"/>
      <c r="BS28" s="6"/>
      <c r="BT28" s="6" t="s">
        <v>191</v>
      </c>
      <c r="BU28" s="9"/>
      <c r="CH28" s="148" t="s">
        <v>387</v>
      </c>
      <c r="CI28" s="151">
        <v>2.39</v>
      </c>
      <c r="CJ28" s="145">
        <f>CI28*1.1</f>
        <v>2.6290000000000004</v>
      </c>
      <c r="CK28" s="150">
        <v>1.5</v>
      </c>
      <c r="CL28" s="277">
        <f>(L30*H30)/12</f>
        <v>0</v>
      </c>
    </row>
    <row r="29" spans="1:90" ht="12" customHeight="1" x14ac:dyDescent="0.55000000000000004">
      <c r="A29" s="42"/>
      <c r="B29" s="230"/>
      <c r="C29" s="231"/>
      <c r="D29" s="231"/>
      <c r="E29" s="232"/>
      <c r="F29" s="43"/>
      <c r="G29" s="43"/>
      <c r="H29" s="44"/>
      <c r="I29" s="45"/>
      <c r="J29" s="43"/>
      <c r="K29" s="46"/>
      <c r="L29" s="47">
        <f t="shared" si="0"/>
        <v>0</v>
      </c>
      <c r="M29" s="43"/>
      <c r="N29" s="43"/>
      <c r="O29" s="43"/>
      <c r="P29" s="46"/>
      <c r="Q29" s="47">
        <f t="shared" si="21"/>
        <v>0</v>
      </c>
      <c r="R29" s="233"/>
      <c r="S29" s="234"/>
      <c r="T29" s="230"/>
      <c r="U29" s="231"/>
      <c r="V29" s="231"/>
      <c r="W29" s="232"/>
      <c r="X29" s="235" t="str">
        <f>IFERROR(INDEX(Table3923[],MATCH(R29,Table3923[Column1],),3),"")</f>
        <v/>
      </c>
      <c r="Y29" s="235"/>
      <c r="Z29" s="48" t="s">
        <v>85</v>
      </c>
      <c r="AA29" s="48" t="s">
        <v>85</v>
      </c>
      <c r="AB29" s="49"/>
      <c r="AC29" s="50"/>
      <c r="AD29" s="51">
        <f t="shared" si="1"/>
        <v>0</v>
      </c>
      <c r="AG29" s="52">
        <f t="shared" si="2"/>
        <v>0</v>
      </c>
      <c r="AH29" s="53"/>
      <c r="AM29" s="55">
        <f t="shared" si="3"/>
        <v>0</v>
      </c>
      <c r="AN29" s="55">
        <f t="shared" si="4"/>
        <v>0</v>
      </c>
      <c r="AO29" s="55">
        <f t="shared" si="5"/>
        <v>0</v>
      </c>
      <c r="AP29" s="56">
        <f t="shared" si="6"/>
        <v>0</v>
      </c>
      <c r="AQ29" s="55" t="str">
        <f t="shared" si="22"/>
        <v>0.00</v>
      </c>
      <c r="AR29" s="55" t="str">
        <f t="shared" si="7"/>
        <v>0</v>
      </c>
      <c r="AS29" s="57">
        <f t="shared" si="23"/>
        <v>0</v>
      </c>
      <c r="AT29" s="58">
        <f t="shared" si="8"/>
        <v>0</v>
      </c>
      <c r="AU29" s="57">
        <f t="shared" si="9"/>
        <v>0</v>
      </c>
      <c r="AV29" s="59">
        <f t="shared" si="24"/>
        <v>0</v>
      </c>
      <c r="AW29" s="59">
        <f t="shared" si="10"/>
        <v>0</v>
      </c>
      <c r="AX29" s="9"/>
      <c r="AY29" s="60">
        <f t="shared" si="11"/>
        <v>0</v>
      </c>
      <c r="AZ29" s="61">
        <f>_xlfn.IFNA(INDEX(Table3923[Column4],MATCH(R29,Table3923[Column1],0)),1.5)</f>
        <v>1.5</v>
      </c>
      <c r="BA29" s="62">
        <f>VLOOKUP(Z29,Table1331[#All],2,FALSE)</f>
        <v>1</v>
      </c>
      <c r="BB29" s="61">
        <f t="shared" si="25"/>
        <v>1.5</v>
      </c>
      <c r="BC29" s="55">
        <f t="shared" si="12"/>
        <v>0</v>
      </c>
      <c r="BD29" s="43">
        <f t="shared" si="13"/>
        <v>0</v>
      </c>
      <c r="BE29" s="63">
        <f t="shared" si="14"/>
        <v>0</v>
      </c>
      <c r="BF29" s="60">
        <f t="shared" si="15"/>
        <v>0</v>
      </c>
      <c r="BG29" s="60">
        <f t="shared" si="16"/>
        <v>0</v>
      </c>
      <c r="BH29" s="60">
        <f t="shared" si="17"/>
        <v>0</v>
      </c>
      <c r="BI29" s="55">
        <f>VLOOKUP(AA29,Table1533[#All],2,FALSE)</f>
        <v>1.25</v>
      </c>
      <c r="BJ29" s="55">
        <f t="shared" si="18"/>
        <v>0</v>
      </c>
      <c r="BK29" s="43" t="str">
        <f t="shared" si="19"/>
        <v>0</v>
      </c>
      <c r="BL29" s="62">
        <f t="shared" si="26"/>
        <v>0</v>
      </c>
      <c r="BN29" s="6"/>
      <c r="BO29" s="6"/>
      <c r="BP29" s="6"/>
      <c r="BQ29" s="6"/>
      <c r="BR29" s="6"/>
      <c r="BS29" s="6"/>
      <c r="BT29" s="6" t="s">
        <v>193</v>
      </c>
      <c r="BU29" s="9"/>
      <c r="CH29" s="148"/>
      <c r="CI29" s="151"/>
      <c r="CJ29" s="145"/>
      <c r="CK29" s="150"/>
      <c r="CL29" s="277">
        <f>(L31*H31)/12</f>
        <v>0</v>
      </c>
    </row>
    <row r="30" spans="1:90" ht="12" customHeight="1" x14ac:dyDescent="0.55000000000000004">
      <c r="A30" s="42"/>
      <c r="B30" s="230"/>
      <c r="C30" s="231"/>
      <c r="D30" s="231"/>
      <c r="E30" s="232"/>
      <c r="F30" s="43"/>
      <c r="G30" s="43"/>
      <c r="H30" s="44"/>
      <c r="I30" s="45"/>
      <c r="J30" s="43"/>
      <c r="K30" s="46"/>
      <c r="L30" s="47">
        <f t="shared" si="0"/>
        <v>0</v>
      </c>
      <c r="M30" s="43"/>
      <c r="N30" s="43"/>
      <c r="O30" s="43"/>
      <c r="P30" s="46"/>
      <c r="Q30" s="47">
        <f t="shared" si="21"/>
        <v>0</v>
      </c>
      <c r="R30" s="233"/>
      <c r="S30" s="234"/>
      <c r="T30" s="230"/>
      <c r="U30" s="231"/>
      <c r="V30" s="231"/>
      <c r="W30" s="232"/>
      <c r="X30" s="235" t="str">
        <f>IFERROR(INDEX(Table3923[],MATCH(R30,Table3923[Column1],),3),"")</f>
        <v/>
      </c>
      <c r="Y30" s="235"/>
      <c r="Z30" s="48" t="s">
        <v>85</v>
      </c>
      <c r="AA30" s="48" t="s">
        <v>85</v>
      </c>
      <c r="AB30" s="49"/>
      <c r="AC30" s="50"/>
      <c r="AD30" s="51">
        <f t="shared" si="1"/>
        <v>0</v>
      </c>
      <c r="AG30" s="52">
        <f t="shared" si="2"/>
        <v>0</v>
      </c>
      <c r="AH30" s="53"/>
      <c r="AM30" s="55">
        <f t="shared" si="3"/>
        <v>0</v>
      </c>
      <c r="AN30" s="55">
        <f t="shared" si="4"/>
        <v>0</v>
      </c>
      <c r="AO30" s="55">
        <f t="shared" si="5"/>
        <v>0</v>
      </c>
      <c r="AP30" s="56">
        <f t="shared" si="6"/>
        <v>0</v>
      </c>
      <c r="AQ30" s="55" t="str">
        <f t="shared" si="22"/>
        <v>0.00</v>
      </c>
      <c r="AR30" s="55" t="str">
        <f t="shared" si="7"/>
        <v>0</v>
      </c>
      <c r="AS30" s="57">
        <f t="shared" si="23"/>
        <v>0</v>
      </c>
      <c r="AT30" s="58">
        <f t="shared" si="8"/>
        <v>0</v>
      </c>
      <c r="AU30" s="57">
        <f t="shared" si="9"/>
        <v>0</v>
      </c>
      <c r="AV30" s="59">
        <f t="shared" si="24"/>
        <v>0</v>
      </c>
      <c r="AW30" s="59">
        <f t="shared" si="10"/>
        <v>0</v>
      </c>
      <c r="AX30" s="9"/>
      <c r="AY30" s="60">
        <f t="shared" si="11"/>
        <v>0</v>
      </c>
      <c r="AZ30" s="61">
        <f>_xlfn.IFNA(INDEX(Table3923[Column4],MATCH(R30,Table3923[Column1],0)),1.5)</f>
        <v>1.5</v>
      </c>
      <c r="BA30" s="62">
        <f>VLOOKUP(Z30,Table1331[#All],2,FALSE)</f>
        <v>1</v>
      </c>
      <c r="BB30" s="61">
        <f t="shared" si="25"/>
        <v>1.5</v>
      </c>
      <c r="BC30" s="55">
        <f t="shared" si="12"/>
        <v>0</v>
      </c>
      <c r="BD30" s="43">
        <f t="shared" si="13"/>
        <v>0</v>
      </c>
      <c r="BE30" s="63">
        <f t="shared" si="14"/>
        <v>0</v>
      </c>
      <c r="BF30" s="60">
        <f t="shared" si="15"/>
        <v>0</v>
      </c>
      <c r="BG30" s="60">
        <f t="shared" si="16"/>
        <v>0</v>
      </c>
      <c r="BH30" s="60">
        <f t="shared" si="17"/>
        <v>0</v>
      </c>
      <c r="BI30" s="55">
        <f>VLOOKUP(AA30,Table1533[#All],2,FALSE)</f>
        <v>1.25</v>
      </c>
      <c r="BJ30" s="55">
        <f t="shared" si="18"/>
        <v>0</v>
      </c>
      <c r="BK30" s="43" t="str">
        <f t="shared" si="19"/>
        <v>0</v>
      </c>
      <c r="BL30" s="62">
        <f t="shared" si="26"/>
        <v>0</v>
      </c>
      <c r="BN30" s="6"/>
      <c r="BO30" s="6"/>
      <c r="BP30" s="6"/>
      <c r="BQ30" s="6"/>
      <c r="BR30" s="6"/>
      <c r="BS30" s="6"/>
      <c r="BT30" s="6" t="s">
        <v>195</v>
      </c>
      <c r="BU30" s="9"/>
      <c r="CH30" s="148" t="s">
        <v>174</v>
      </c>
      <c r="CI30" s="151">
        <v>2.33</v>
      </c>
      <c r="CJ30" s="145">
        <f t="shared" ref="CJ30:CJ101" si="30">CI30*1.1</f>
        <v>2.5630000000000002</v>
      </c>
      <c r="CK30" s="150">
        <v>1.5</v>
      </c>
      <c r="CL30" s="277">
        <f>(L32*H32)/12</f>
        <v>0</v>
      </c>
    </row>
    <row r="31" spans="1:90" ht="12" customHeight="1" x14ac:dyDescent="0.55000000000000004">
      <c r="A31" s="42"/>
      <c r="B31" s="230"/>
      <c r="C31" s="231"/>
      <c r="D31" s="231"/>
      <c r="E31" s="232"/>
      <c r="F31" s="43"/>
      <c r="G31" s="43"/>
      <c r="H31" s="44"/>
      <c r="I31" s="45"/>
      <c r="J31" s="43"/>
      <c r="K31" s="46"/>
      <c r="L31" s="47">
        <f t="shared" si="0"/>
        <v>0</v>
      </c>
      <c r="M31" s="43"/>
      <c r="N31" s="43"/>
      <c r="O31" s="43"/>
      <c r="P31" s="46"/>
      <c r="Q31" s="47">
        <f t="shared" si="21"/>
        <v>0</v>
      </c>
      <c r="R31" s="233"/>
      <c r="S31" s="234"/>
      <c r="T31" s="230"/>
      <c r="U31" s="231"/>
      <c r="V31" s="231"/>
      <c r="W31" s="232"/>
      <c r="X31" s="235" t="str">
        <f>IFERROR(INDEX(Table3923[],MATCH(R31,Table3923[Column1],),3),"")</f>
        <v/>
      </c>
      <c r="Y31" s="235"/>
      <c r="Z31" s="48" t="s">
        <v>85</v>
      </c>
      <c r="AA31" s="48" t="s">
        <v>85</v>
      </c>
      <c r="AB31" s="49"/>
      <c r="AC31" s="50"/>
      <c r="AD31" s="51">
        <f t="shared" si="1"/>
        <v>0</v>
      </c>
      <c r="AG31" s="52">
        <f t="shared" si="2"/>
        <v>0</v>
      </c>
      <c r="AH31" s="53"/>
      <c r="AM31" s="55">
        <f t="shared" si="3"/>
        <v>0</v>
      </c>
      <c r="AN31" s="55">
        <f t="shared" si="4"/>
        <v>0</v>
      </c>
      <c r="AO31" s="55">
        <f t="shared" si="5"/>
        <v>0</v>
      </c>
      <c r="AP31" s="56">
        <f t="shared" si="6"/>
        <v>0</v>
      </c>
      <c r="AQ31" s="55" t="str">
        <f t="shared" si="22"/>
        <v>0.00</v>
      </c>
      <c r="AR31" s="55" t="str">
        <f t="shared" si="7"/>
        <v>0</v>
      </c>
      <c r="AS31" s="57">
        <f t="shared" si="23"/>
        <v>0</v>
      </c>
      <c r="AT31" s="58">
        <f t="shared" si="8"/>
        <v>0</v>
      </c>
      <c r="AU31" s="57">
        <f t="shared" si="9"/>
        <v>0</v>
      </c>
      <c r="AV31" s="59">
        <f t="shared" si="24"/>
        <v>0</v>
      </c>
      <c r="AW31" s="59">
        <f t="shared" si="10"/>
        <v>0</v>
      </c>
      <c r="AX31" s="9"/>
      <c r="AY31" s="60">
        <f t="shared" si="11"/>
        <v>0</v>
      </c>
      <c r="AZ31" s="61">
        <f>_xlfn.IFNA(INDEX(Table3923[Column4],MATCH(R31,Table3923[Column1],0)),1.5)</f>
        <v>1.5</v>
      </c>
      <c r="BA31" s="62">
        <f>VLOOKUP(Z31,Table1331[#All],2,FALSE)</f>
        <v>1</v>
      </c>
      <c r="BB31" s="61">
        <f t="shared" si="25"/>
        <v>1.5</v>
      </c>
      <c r="BC31" s="55">
        <f t="shared" si="12"/>
        <v>0</v>
      </c>
      <c r="BD31" s="43">
        <f t="shared" si="13"/>
        <v>0</v>
      </c>
      <c r="BE31" s="63">
        <f t="shared" si="14"/>
        <v>0</v>
      </c>
      <c r="BF31" s="60">
        <f t="shared" si="15"/>
        <v>0</v>
      </c>
      <c r="BG31" s="60">
        <f t="shared" si="16"/>
        <v>0</v>
      </c>
      <c r="BH31" s="60">
        <f t="shared" si="17"/>
        <v>0</v>
      </c>
      <c r="BI31" s="55">
        <f>VLOOKUP(AA31,Table1533[#All],2,FALSE)</f>
        <v>1.25</v>
      </c>
      <c r="BJ31" s="55">
        <f t="shared" si="18"/>
        <v>0</v>
      </c>
      <c r="BK31" s="43" t="str">
        <f t="shared" si="19"/>
        <v>0</v>
      </c>
      <c r="BL31" s="62">
        <f t="shared" si="26"/>
        <v>0</v>
      </c>
      <c r="BN31" s="6"/>
      <c r="BO31" s="6"/>
      <c r="BP31" s="6"/>
      <c r="BQ31" s="6"/>
      <c r="BR31" s="6"/>
      <c r="BS31" s="6"/>
      <c r="BU31" s="9"/>
      <c r="CH31" s="148" t="s">
        <v>176</v>
      </c>
      <c r="CI31" s="151">
        <v>2.21</v>
      </c>
      <c r="CJ31" s="145">
        <f t="shared" si="30"/>
        <v>2.431</v>
      </c>
      <c r="CK31" s="150">
        <v>1.5</v>
      </c>
      <c r="CL31" s="277">
        <f>(L33*H33)/12</f>
        <v>0</v>
      </c>
    </row>
    <row r="32" spans="1:90" ht="12" customHeight="1" x14ac:dyDescent="0.55000000000000004">
      <c r="A32" s="42"/>
      <c r="B32" s="230"/>
      <c r="C32" s="231"/>
      <c r="D32" s="231"/>
      <c r="E32" s="232"/>
      <c r="F32" s="43"/>
      <c r="G32" s="43"/>
      <c r="H32" s="44"/>
      <c r="I32" s="45"/>
      <c r="J32" s="43"/>
      <c r="K32" s="46"/>
      <c r="L32" s="47">
        <f t="shared" si="0"/>
        <v>0</v>
      </c>
      <c r="M32" s="43"/>
      <c r="N32" s="43"/>
      <c r="O32" s="43"/>
      <c r="P32" s="46"/>
      <c r="Q32" s="47">
        <f t="shared" si="21"/>
        <v>0</v>
      </c>
      <c r="R32" s="233"/>
      <c r="S32" s="234"/>
      <c r="T32" s="230"/>
      <c r="U32" s="231"/>
      <c r="V32" s="231"/>
      <c r="W32" s="232"/>
      <c r="X32" s="235" t="str">
        <f>IFERROR(INDEX(Table3923[],MATCH(R32,Table3923[Column1],),3),"")</f>
        <v/>
      </c>
      <c r="Y32" s="235"/>
      <c r="Z32" s="48" t="s">
        <v>85</v>
      </c>
      <c r="AA32" s="48" t="s">
        <v>85</v>
      </c>
      <c r="AB32" s="49"/>
      <c r="AC32" s="50"/>
      <c r="AD32" s="51">
        <f t="shared" si="1"/>
        <v>0</v>
      </c>
      <c r="AG32" s="52">
        <f t="shared" si="2"/>
        <v>0</v>
      </c>
      <c r="AH32" s="53"/>
      <c r="AM32" s="55">
        <f t="shared" si="3"/>
        <v>0</v>
      </c>
      <c r="AN32" s="55">
        <f t="shared" si="4"/>
        <v>0</v>
      </c>
      <c r="AO32" s="55">
        <f t="shared" si="5"/>
        <v>0</v>
      </c>
      <c r="AP32" s="56">
        <f t="shared" si="6"/>
        <v>0</v>
      </c>
      <c r="AQ32" s="55" t="str">
        <f t="shared" si="22"/>
        <v>0.00</v>
      </c>
      <c r="AR32" s="55" t="str">
        <f t="shared" si="7"/>
        <v>0</v>
      </c>
      <c r="AS32" s="57">
        <f t="shared" si="23"/>
        <v>0</v>
      </c>
      <c r="AT32" s="58">
        <f t="shared" si="8"/>
        <v>0</v>
      </c>
      <c r="AU32" s="57">
        <f t="shared" si="9"/>
        <v>0</v>
      </c>
      <c r="AV32" s="59">
        <f t="shared" si="24"/>
        <v>0</v>
      </c>
      <c r="AW32" s="59">
        <f t="shared" si="10"/>
        <v>0</v>
      </c>
      <c r="AX32" s="9"/>
      <c r="AY32" s="60">
        <f t="shared" si="11"/>
        <v>0</v>
      </c>
      <c r="AZ32" s="61">
        <f>_xlfn.IFNA(INDEX(Table3923[Column4],MATCH(R32,Table3923[Column1],0)),1.5)</f>
        <v>1.5</v>
      </c>
      <c r="BA32" s="62">
        <f>VLOOKUP(Z32,Table1331[#All],2,FALSE)</f>
        <v>1</v>
      </c>
      <c r="BB32" s="61">
        <f t="shared" si="25"/>
        <v>1.5</v>
      </c>
      <c r="BC32" s="55">
        <f t="shared" si="12"/>
        <v>0</v>
      </c>
      <c r="BD32" s="43">
        <f t="shared" si="13"/>
        <v>0</v>
      </c>
      <c r="BE32" s="63">
        <f t="shared" si="14"/>
        <v>0</v>
      </c>
      <c r="BF32" s="60">
        <f t="shared" si="15"/>
        <v>0</v>
      </c>
      <c r="BG32" s="60">
        <f t="shared" si="16"/>
        <v>0</v>
      </c>
      <c r="BH32" s="60">
        <f t="shared" si="17"/>
        <v>0</v>
      </c>
      <c r="BI32" s="55">
        <f>VLOOKUP(AA32,Table1533[#All],2,FALSE)</f>
        <v>1.25</v>
      </c>
      <c r="BJ32" s="55">
        <f t="shared" si="18"/>
        <v>0</v>
      </c>
      <c r="BK32" s="43" t="str">
        <f t="shared" si="19"/>
        <v>0</v>
      </c>
      <c r="BL32" s="62">
        <f t="shared" si="26"/>
        <v>0</v>
      </c>
      <c r="BN32" s="6"/>
      <c r="BO32" s="6"/>
      <c r="BP32" s="6"/>
      <c r="BQ32" s="6"/>
      <c r="BR32" s="6"/>
      <c r="BS32" s="6"/>
      <c r="BU32" s="9"/>
      <c r="CH32" s="148" t="s">
        <v>178</v>
      </c>
      <c r="CI32" s="151">
        <v>2.15</v>
      </c>
      <c r="CJ32" s="145">
        <f t="shared" si="30"/>
        <v>2.3650000000000002</v>
      </c>
      <c r="CK32" s="150">
        <v>1.5</v>
      </c>
      <c r="CL32" s="277">
        <f>(L34*H34)/12</f>
        <v>0</v>
      </c>
    </row>
    <row r="33" spans="1:90" ht="12" customHeight="1" x14ac:dyDescent="0.55000000000000004">
      <c r="A33" s="42"/>
      <c r="B33" s="230"/>
      <c r="C33" s="231"/>
      <c r="D33" s="231"/>
      <c r="E33" s="232"/>
      <c r="F33" s="43"/>
      <c r="G33" s="43"/>
      <c r="H33" s="44"/>
      <c r="I33" s="45"/>
      <c r="J33" s="43"/>
      <c r="K33" s="46"/>
      <c r="L33" s="47">
        <f t="shared" si="0"/>
        <v>0</v>
      </c>
      <c r="M33" s="43"/>
      <c r="N33" s="43"/>
      <c r="O33" s="43"/>
      <c r="P33" s="46"/>
      <c r="Q33" s="47">
        <f t="shared" si="21"/>
        <v>0</v>
      </c>
      <c r="R33" s="233"/>
      <c r="S33" s="234"/>
      <c r="T33" s="230"/>
      <c r="U33" s="231"/>
      <c r="V33" s="231"/>
      <c r="W33" s="232"/>
      <c r="X33" s="235" t="str">
        <f>IFERROR(INDEX(Table3923[],MATCH(R33,Table3923[Column1],),3),"")</f>
        <v/>
      </c>
      <c r="Y33" s="235"/>
      <c r="Z33" s="48" t="s">
        <v>85</v>
      </c>
      <c r="AA33" s="48" t="s">
        <v>85</v>
      </c>
      <c r="AB33" s="49"/>
      <c r="AC33" s="50"/>
      <c r="AD33" s="51">
        <f t="shared" si="1"/>
        <v>0</v>
      </c>
      <c r="AG33" s="52">
        <f t="shared" si="2"/>
        <v>0</v>
      </c>
      <c r="AH33" s="53"/>
      <c r="AM33" s="55">
        <f t="shared" si="3"/>
        <v>0</v>
      </c>
      <c r="AN33" s="55">
        <f t="shared" si="4"/>
        <v>0</v>
      </c>
      <c r="AO33" s="55">
        <f t="shared" si="5"/>
        <v>0</v>
      </c>
      <c r="AP33" s="56">
        <f t="shared" si="6"/>
        <v>0</v>
      </c>
      <c r="AQ33" s="55" t="str">
        <f t="shared" si="22"/>
        <v>0.00</v>
      </c>
      <c r="AR33" s="55" t="str">
        <f t="shared" si="7"/>
        <v>0</v>
      </c>
      <c r="AS33" s="57">
        <f t="shared" si="23"/>
        <v>0</v>
      </c>
      <c r="AT33" s="58">
        <f t="shared" si="8"/>
        <v>0</v>
      </c>
      <c r="AU33" s="57">
        <f t="shared" si="9"/>
        <v>0</v>
      </c>
      <c r="AV33" s="59">
        <f t="shared" si="24"/>
        <v>0</v>
      </c>
      <c r="AW33" s="59">
        <f t="shared" si="10"/>
        <v>0</v>
      </c>
      <c r="AX33" s="9"/>
      <c r="AY33" s="60">
        <f t="shared" si="11"/>
        <v>0</v>
      </c>
      <c r="AZ33" s="61">
        <f>_xlfn.IFNA(INDEX(Table3923[Column4],MATCH(R33,Table3923[Column1],0)),1.5)</f>
        <v>1.5</v>
      </c>
      <c r="BA33" s="62">
        <f>VLOOKUP(Z33,Table1331[#All],2,FALSE)</f>
        <v>1</v>
      </c>
      <c r="BB33" s="61">
        <f t="shared" si="25"/>
        <v>1.5</v>
      </c>
      <c r="BC33" s="55">
        <f t="shared" si="12"/>
        <v>0</v>
      </c>
      <c r="BD33" s="43">
        <f t="shared" si="13"/>
        <v>0</v>
      </c>
      <c r="BE33" s="63">
        <f t="shared" si="14"/>
        <v>0</v>
      </c>
      <c r="BF33" s="60">
        <f t="shared" si="15"/>
        <v>0</v>
      </c>
      <c r="BG33" s="60">
        <f t="shared" si="16"/>
        <v>0</v>
      </c>
      <c r="BH33" s="60">
        <f t="shared" si="17"/>
        <v>0</v>
      </c>
      <c r="BI33" s="55">
        <f>VLOOKUP(AA33,Table1533[#All],2,FALSE)</f>
        <v>1.25</v>
      </c>
      <c r="BJ33" s="55">
        <f t="shared" si="18"/>
        <v>0</v>
      </c>
      <c r="BK33" s="43" t="str">
        <f t="shared" si="19"/>
        <v>0</v>
      </c>
      <c r="BL33" s="62">
        <f t="shared" si="26"/>
        <v>0</v>
      </c>
      <c r="BN33" s="6"/>
      <c r="BO33" s="6"/>
      <c r="BP33" s="6"/>
      <c r="BQ33" s="6"/>
      <c r="BR33" s="6"/>
      <c r="BS33" s="6"/>
      <c r="BU33" s="9"/>
      <c r="CH33" s="148" t="s">
        <v>180</v>
      </c>
      <c r="CI33" s="151">
        <v>2.12</v>
      </c>
      <c r="CJ33" s="145">
        <f t="shared" si="30"/>
        <v>2.3320000000000003</v>
      </c>
      <c r="CK33" s="150">
        <v>1.5</v>
      </c>
      <c r="CL33" s="277">
        <f>(L35*H35)/12</f>
        <v>0</v>
      </c>
    </row>
    <row r="34" spans="1:90" ht="12" customHeight="1" x14ac:dyDescent="0.55000000000000004">
      <c r="A34" s="42"/>
      <c r="B34" s="230"/>
      <c r="C34" s="231"/>
      <c r="D34" s="231"/>
      <c r="E34" s="232"/>
      <c r="F34" s="43"/>
      <c r="G34" s="43"/>
      <c r="H34" s="44"/>
      <c r="I34" s="45"/>
      <c r="J34" s="43"/>
      <c r="K34" s="46"/>
      <c r="L34" s="47">
        <f t="shared" si="0"/>
        <v>0</v>
      </c>
      <c r="M34" s="43"/>
      <c r="N34" s="43"/>
      <c r="O34" s="43"/>
      <c r="P34" s="46"/>
      <c r="Q34" s="47">
        <f t="shared" si="21"/>
        <v>0</v>
      </c>
      <c r="R34" s="233"/>
      <c r="S34" s="234"/>
      <c r="T34" s="230"/>
      <c r="U34" s="231"/>
      <c r="V34" s="231"/>
      <c r="W34" s="232"/>
      <c r="X34" s="235" t="str">
        <f>IFERROR(INDEX(Table3923[],MATCH(R34,Table3923[Column1],),3),"")</f>
        <v/>
      </c>
      <c r="Y34" s="235"/>
      <c r="Z34" s="48" t="s">
        <v>85</v>
      </c>
      <c r="AA34" s="48" t="s">
        <v>85</v>
      </c>
      <c r="AB34" s="49"/>
      <c r="AC34" s="50"/>
      <c r="AD34" s="51">
        <f t="shared" si="1"/>
        <v>0</v>
      </c>
      <c r="AG34" s="52">
        <f t="shared" si="2"/>
        <v>0</v>
      </c>
      <c r="AH34" s="53"/>
      <c r="AM34" s="55">
        <f t="shared" si="3"/>
        <v>0</v>
      </c>
      <c r="AN34" s="55">
        <f t="shared" si="4"/>
        <v>0</v>
      </c>
      <c r="AO34" s="55">
        <f t="shared" si="5"/>
        <v>0</v>
      </c>
      <c r="AP34" s="56">
        <f t="shared" si="6"/>
        <v>0</v>
      </c>
      <c r="AQ34" s="55" t="str">
        <f t="shared" si="22"/>
        <v>0.00</v>
      </c>
      <c r="AR34" s="55" t="str">
        <f t="shared" si="7"/>
        <v>0</v>
      </c>
      <c r="AS34" s="57">
        <f t="shared" si="23"/>
        <v>0</v>
      </c>
      <c r="AT34" s="58">
        <f t="shared" si="8"/>
        <v>0</v>
      </c>
      <c r="AU34" s="57">
        <f t="shared" si="9"/>
        <v>0</v>
      </c>
      <c r="AV34" s="59">
        <f t="shared" si="24"/>
        <v>0</v>
      </c>
      <c r="AW34" s="59">
        <f t="shared" si="10"/>
        <v>0</v>
      </c>
      <c r="AX34" s="9"/>
      <c r="AY34" s="60">
        <f t="shared" si="11"/>
        <v>0</v>
      </c>
      <c r="AZ34" s="61">
        <f>_xlfn.IFNA(INDEX(Table3923[Column4],MATCH(R34,Table3923[Column1],0)),1.5)</f>
        <v>1.5</v>
      </c>
      <c r="BA34" s="62">
        <f>VLOOKUP(Z34,Table1331[#All],2,FALSE)</f>
        <v>1</v>
      </c>
      <c r="BB34" s="61">
        <f t="shared" si="25"/>
        <v>1.5</v>
      </c>
      <c r="BC34" s="55">
        <f t="shared" si="12"/>
        <v>0</v>
      </c>
      <c r="BD34" s="43">
        <f t="shared" si="13"/>
        <v>0</v>
      </c>
      <c r="BE34" s="63">
        <f t="shared" si="14"/>
        <v>0</v>
      </c>
      <c r="BF34" s="60">
        <f t="shared" si="15"/>
        <v>0</v>
      </c>
      <c r="BG34" s="60">
        <f t="shared" si="16"/>
        <v>0</v>
      </c>
      <c r="BH34" s="60">
        <f t="shared" si="17"/>
        <v>0</v>
      </c>
      <c r="BI34" s="55">
        <f>VLOOKUP(AA34,Table1533[#All],2,FALSE)</f>
        <v>1.25</v>
      </c>
      <c r="BJ34" s="55">
        <f t="shared" si="18"/>
        <v>0</v>
      </c>
      <c r="BK34" s="43" t="str">
        <f t="shared" si="19"/>
        <v>0</v>
      </c>
      <c r="BL34" s="62">
        <f t="shared" si="26"/>
        <v>0</v>
      </c>
      <c r="BN34" s="6"/>
      <c r="BO34" s="6"/>
      <c r="BP34" s="6"/>
      <c r="BQ34" s="6"/>
      <c r="BR34" s="6"/>
      <c r="BS34" s="6"/>
      <c r="BU34" s="9"/>
      <c r="CH34" s="148" t="s">
        <v>182</v>
      </c>
      <c r="CI34" s="151">
        <v>1.87</v>
      </c>
      <c r="CJ34" s="145">
        <f t="shared" si="30"/>
        <v>2.0570000000000004</v>
      </c>
      <c r="CK34" s="150">
        <v>1.5</v>
      </c>
      <c r="CL34" s="277">
        <f>(L36*H36)/12</f>
        <v>0</v>
      </c>
    </row>
    <row r="35" spans="1:90" ht="12" customHeight="1" x14ac:dyDescent="0.55000000000000004">
      <c r="A35" s="42"/>
      <c r="B35" s="230"/>
      <c r="C35" s="231"/>
      <c r="D35" s="231"/>
      <c r="E35" s="232"/>
      <c r="F35" s="43"/>
      <c r="G35" s="43"/>
      <c r="H35" s="44"/>
      <c r="I35" s="45"/>
      <c r="J35" s="43"/>
      <c r="K35" s="46"/>
      <c r="L35" s="47">
        <f t="shared" si="0"/>
        <v>0</v>
      </c>
      <c r="M35" s="43"/>
      <c r="N35" s="43"/>
      <c r="O35" s="43"/>
      <c r="P35" s="46"/>
      <c r="Q35" s="47">
        <f t="shared" si="21"/>
        <v>0</v>
      </c>
      <c r="R35" s="233"/>
      <c r="S35" s="234"/>
      <c r="T35" s="230"/>
      <c r="U35" s="231"/>
      <c r="V35" s="231"/>
      <c r="W35" s="232"/>
      <c r="X35" s="235" t="str">
        <f>IFERROR(INDEX(Table3923[],MATCH(R35,Table3923[Column1],),3),"")</f>
        <v/>
      </c>
      <c r="Y35" s="235"/>
      <c r="Z35" s="48" t="s">
        <v>85</v>
      </c>
      <c r="AA35" s="48" t="s">
        <v>85</v>
      </c>
      <c r="AB35" s="49"/>
      <c r="AC35" s="50"/>
      <c r="AD35" s="51">
        <f t="shared" si="1"/>
        <v>0</v>
      </c>
      <c r="AG35" s="52">
        <f t="shared" si="2"/>
        <v>0</v>
      </c>
      <c r="AH35" s="53"/>
      <c r="AM35" s="55">
        <f t="shared" si="3"/>
        <v>0</v>
      </c>
      <c r="AN35" s="55">
        <f t="shared" si="4"/>
        <v>0</v>
      </c>
      <c r="AO35" s="55">
        <f t="shared" si="5"/>
        <v>0</v>
      </c>
      <c r="AP35" s="56">
        <f t="shared" si="6"/>
        <v>0</v>
      </c>
      <c r="AQ35" s="55" t="str">
        <f t="shared" si="22"/>
        <v>0.00</v>
      </c>
      <c r="AR35" s="55" t="str">
        <f t="shared" si="7"/>
        <v>0</v>
      </c>
      <c r="AS35" s="57">
        <f t="shared" si="23"/>
        <v>0</v>
      </c>
      <c r="AT35" s="58">
        <f t="shared" si="8"/>
        <v>0</v>
      </c>
      <c r="AU35" s="57">
        <f t="shared" si="9"/>
        <v>0</v>
      </c>
      <c r="AV35" s="59">
        <f t="shared" si="24"/>
        <v>0</v>
      </c>
      <c r="AW35" s="59">
        <f t="shared" si="10"/>
        <v>0</v>
      </c>
      <c r="AX35" s="9"/>
      <c r="AY35" s="60">
        <f t="shared" si="11"/>
        <v>0</v>
      </c>
      <c r="AZ35" s="61">
        <f>_xlfn.IFNA(INDEX(Table3923[Column4],MATCH(R35,Table3923[Column1],0)),1.5)</f>
        <v>1.5</v>
      </c>
      <c r="BA35" s="62">
        <f>VLOOKUP(Z35,Table1331[#All],2,FALSE)</f>
        <v>1</v>
      </c>
      <c r="BB35" s="61">
        <f t="shared" si="25"/>
        <v>1.5</v>
      </c>
      <c r="BC35" s="55">
        <f t="shared" si="12"/>
        <v>0</v>
      </c>
      <c r="BD35" s="43">
        <f t="shared" si="13"/>
        <v>0</v>
      </c>
      <c r="BE35" s="63">
        <f t="shared" si="14"/>
        <v>0</v>
      </c>
      <c r="BF35" s="60">
        <f t="shared" si="15"/>
        <v>0</v>
      </c>
      <c r="BG35" s="60">
        <f t="shared" si="16"/>
        <v>0</v>
      </c>
      <c r="BH35" s="60">
        <f t="shared" si="17"/>
        <v>0</v>
      </c>
      <c r="BI35" s="55">
        <f>VLOOKUP(AA35,Table1533[#All],2,FALSE)</f>
        <v>1.25</v>
      </c>
      <c r="BJ35" s="55">
        <f t="shared" si="18"/>
        <v>0</v>
      </c>
      <c r="BK35" s="43" t="str">
        <f t="shared" si="19"/>
        <v>0</v>
      </c>
      <c r="BL35" s="62">
        <f t="shared" si="26"/>
        <v>0</v>
      </c>
      <c r="BN35" s="6"/>
      <c r="BO35" s="6"/>
      <c r="BP35" s="6"/>
      <c r="BQ35" s="6"/>
      <c r="BR35" s="6"/>
      <c r="BS35" s="6"/>
      <c r="BT35" s="6"/>
      <c r="BU35" s="9"/>
      <c r="CH35" s="148" t="s">
        <v>184</v>
      </c>
      <c r="CI35" s="151">
        <v>2.4900000000000002</v>
      </c>
      <c r="CJ35" s="145">
        <f t="shared" si="30"/>
        <v>2.7390000000000003</v>
      </c>
      <c r="CK35" s="150">
        <v>1.5</v>
      </c>
      <c r="CL35" s="277">
        <f>(L37*H37)/12</f>
        <v>0</v>
      </c>
    </row>
    <row r="36" spans="1:90" ht="12" customHeight="1" thickBot="1" x14ac:dyDescent="0.6">
      <c r="A36" s="42"/>
      <c r="B36" s="230"/>
      <c r="C36" s="231"/>
      <c r="D36" s="231"/>
      <c r="E36" s="232"/>
      <c r="F36" s="43"/>
      <c r="G36" s="43"/>
      <c r="H36" s="44"/>
      <c r="I36" s="45"/>
      <c r="J36" s="43"/>
      <c r="K36" s="46"/>
      <c r="L36" s="47">
        <f t="shared" si="0"/>
        <v>0</v>
      </c>
      <c r="M36" s="43"/>
      <c r="N36" s="43"/>
      <c r="O36" s="43"/>
      <c r="P36" s="46"/>
      <c r="Q36" s="47">
        <f t="shared" si="21"/>
        <v>0</v>
      </c>
      <c r="R36" s="233"/>
      <c r="S36" s="234"/>
      <c r="T36" s="230"/>
      <c r="U36" s="231"/>
      <c r="V36" s="231"/>
      <c r="W36" s="232"/>
      <c r="X36" s="235" t="str">
        <f>IFERROR(INDEX(Table3923[],MATCH(R36,Table3923[Column1],),3),"")</f>
        <v/>
      </c>
      <c r="Y36" s="235"/>
      <c r="Z36" s="48" t="s">
        <v>85</v>
      </c>
      <c r="AA36" s="48" t="s">
        <v>85</v>
      </c>
      <c r="AB36" s="49"/>
      <c r="AC36" s="50"/>
      <c r="AD36" s="51">
        <f t="shared" si="1"/>
        <v>0</v>
      </c>
      <c r="AG36" s="52">
        <f t="shared" si="2"/>
        <v>0</v>
      </c>
      <c r="AH36" s="53"/>
      <c r="AM36" s="55">
        <f t="shared" si="3"/>
        <v>0</v>
      </c>
      <c r="AN36" s="55">
        <f t="shared" si="4"/>
        <v>0</v>
      </c>
      <c r="AO36" s="55">
        <f t="shared" si="5"/>
        <v>0</v>
      </c>
      <c r="AP36" s="56">
        <f t="shared" si="6"/>
        <v>0</v>
      </c>
      <c r="AQ36" s="55" t="str">
        <f t="shared" si="22"/>
        <v>0.00</v>
      </c>
      <c r="AR36" s="55" t="str">
        <f t="shared" si="7"/>
        <v>0</v>
      </c>
      <c r="AS36" s="57">
        <f t="shared" si="23"/>
        <v>0</v>
      </c>
      <c r="AT36" s="58">
        <f t="shared" si="8"/>
        <v>0</v>
      </c>
      <c r="AU36" s="57">
        <f t="shared" si="9"/>
        <v>0</v>
      </c>
      <c r="AV36" s="59">
        <f t="shared" si="24"/>
        <v>0</v>
      </c>
      <c r="AW36" s="59">
        <f t="shared" si="10"/>
        <v>0</v>
      </c>
      <c r="AX36" s="9"/>
      <c r="AY36" s="60">
        <f t="shared" si="11"/>
        <v>0</v>
      </c>
      <c r="AZ36" s="61">
        <f>_xlfn.IFNA(INDEX(Table3923[Column4],MATCH(R36,Table3923[Column1],0)),1.5)</f>
        <v>1.5</v>
      </c>
      <c r="BA36" s="62">
        <f>VLOOKUP(Z36,Table1331[#All],2,FALSE)</f>
        <v>1</v>
      </c>
      <c r="BB36" s="61">
        <f t="shared" si="25"/>
        <v>1.5</v>
      </c>
      <c r="BC36" s="55">
        <f t="shared" si="12"/>
        <v>0</v>
      </c>
      <c r="BD36" s="43">
        <f t="shared" si="13"/>
        <v>0</v>
      </c>
      <c r="BE36" s="63">
        <f t="shared" si="14"/>
        <v>0</v>
      </c>
      <c r="BF36" s="60">
        <f t="shared" si="15"/>
        <v>0</v>
      </c>
      <c r="BG36" s="60">
        <f t="shared" si="16"/>
        <v>0</v>
      </c>
      <c r="BH36" s="60">
        <f t="shared" si="17"/>
        <v>0</v>
      </c>
      <c r="BI36" s="55">
        <f>VLOOKUP(AA36,Table1533[#All],2,FALSE)</f>
        <v>1.25</v>
      </c>
      <c r="BJ36" s="55">
        <f t="shared" si="18"/>
        <v>0</v>
      </c>
      <c r="BK36" s="43" t="str">
        <f t="shared" si="19"/>
        <v>0</v>
      </c>
      <c r="BL36" s="62">
        <f t="shared" si="26"/>
        <v>0</v>
      </c>
      <c r="BN36" s="6"/>
      <c r="BO36" s="6"/>
      <c r="BP36" s="6"/>
      <c r="BQ36" s="6"/>
      <c r="BR36" s="6"/>
      <c r="BS36" s="6"/>
      <c r="BT36" s="6"/>
      <c r="BU36" s="9"/>
      <c r="CH36" s="148" t="s">
        <v>186</v>
      </c>
      <c r="CI36" s="151">
        <v>2.4900000000000002</v>
      </c>
      <c r="CJ36" s="145">
        <f t="shared" si="30"/>
        <v>2.7390000000000003</v>
      </c>
      <c r="CK36" s="150">
        <v>1.5</v>
      </c>
      <c r="CL36" s="277">
        <f>(L38*H38)/12</f>
        <v>0</v>
      </c>
    </row>
    <row r="37" spans="1:90" ht="14.05" hidden="1" customHeight="1" x14ac:dyDescent="0.6">
      <c r="A37" s="42"/>
      <c r="B37" s="230"/>
      <c r="C37" s="231"/>
      <c r="D37" s="231"/>
      <c r="E37" s="232"/>
      <c r="F37" s="43"/>
      <c r="G37" s="43"/>
      <c r="H37" s="44"/>
      <c r="I37" s="45"/>
      <c r="J37" s="43"/>
      <c r="K37" s="46"/>
      <c r="L37" s="47">
        <f t="shared" si="0"/>
        <v>0</v>
      </c>
      <c r="M37" s="43"/>
      <c r="N37" s="43"/>
      <c r="O37" s="43"/>
      <c r="P37" s="46"/>
      <c r="Q37" s="47">
        <f t="shared" si="21"/>
        <v>0</v>
      </c>
      <c r="R37" s="233"/>
      <c r="S37" s="234"/>
      <c r="T37" s="230"/>
      <c r="U37" s="231"/>
      <c r="V37" s="231"/>
      <c r="W37" s="232"/>
      <c r="X37" s="235" t="str">
        <f>IFERROR(INDEX(Table3923[],MATCH(R37,Table3923[Column1],),3),"")</f>
        <v/>
      </c>
      <c r="Y37" s="235"/>
      <c r="Z37" s="48" t="s">
        <v>85</v>
      </c>
      <c r="AA37" s="48" t="s">
        <v>85</v>
      </c>
      <c r="AB37" s="49"/>
      <c r="AC37" s="50"/>
      <c r="AD37" s="51">
        <f t="shared" si="1"/>
        <v>0</v>
      </c>
      <c r="AG37" s="52">
        <f t="shared" si="2"/>
        <v>0</v>
      </c>
      <c r="AH37" s="53"/>
      <c r="AM37" s="55">
        <f t="shared" si="3"/>
        <v>0</v>
      </c>
      <c r="AN37" s="55">
        <f t="shared" si="4"/>
        <v>0</v>
      </c>
      <c r="AO37" s="55">
        <f t="shared" si="5"/>
        <v>0</v>
      </c>
      <c r="AP37" s="56">
        <f t="shared" si="6"/>
        <v>0</v>
      </c>
      <c r="AQ37" s="55" t="str">
        <f t="shared" si="22"/>
        <v>0.00</v>
      </c>
      <c r="AR37" s="55" t="str">
        <f t="shared" si="7"/>
        <v>0</v>
      </c>
      <c r="AS37" s="57">
        <f t="shared" si="23"/>
        <v>0</v>
      </c>
      <c r="AT37" s="58">
        <f t="shared" si="8"/>
        <v>0</v>
      </c>
      <c r="AU37" s="57">
        <f t="shared" si="9"/>
        <v>0</v>
      </c>
      <c r="AV37" s="59">
        <f t="shared" si="24"/>
        <v>0</v>
      </c>
      <c r="AW37" s="59">
        <f t="shared" si="10"/>
        <v>0</v>
      </c>
      <c r="AX37" s="9"/>
      <c r="AY37" s="60">
        <f t="shared" si="11"/>
        <v>0</v>
      </c>
      <c r="AZ37" s="61">
        <f>_xlfn.IFNA(INDEX(Table3923[Column4],MATCH(R37,Table3923[Column1],0)),1.5)</f>
        <v>1.5</v>
      </c>
      <c r="BA37" s="62">
        <f>VLOOKUP(Z37,Table1331[#All],2,FALSE)</f>
        <v>1</v>
      </c>
      <c r="BB37" s="61">
        <f t="shared" si="25"/>
        <v>1.5</v>
      </c>
      <c r="BC37" s="55">
        <f t="shared" si="12"/>
        <v>0</v>
      </c>
      <c r="BD37" s="43">
        <f t="shared" si="13"/>
        <v>0</v>
      </c>
      <c r="BE37" s="63">
        <f t="shared" si="14"/>
        <v>0</v>
      </c>
      <c r="BF37" s="60">
        <f t="shared" si="15"/>
        <v>0</v>
      </c>
      <c r="BG37" s="60">
        <f t="shared" si="16"/>
        <v>0</v>
      </c>
      <c r="BH37" s="60">
        <f t="shared" si="17"/>
        <v>0</v>
      </c>
      <c r="BI37" s="55">
        <f>VLOOKUP(AA37,Table1533[#All],2,FALSE)</f>
        <v>1.25</v>
      </c>
      <c r="BJ37" s="55">
        <f t="shared" si="18"/>
        <v>0</v>
      </c>
      <c r="BK37" s="43" t="str">
        <f t="shared" si="19"/>
        <v>0</v>
      </c>
      <c r="BL37" s="62">
        <f t="shared" si="26"/>
        <v>0</v>
      </c>
      <c r="BN37" s="6"/>
      <c r="BO37" s="6"/>
      <c r="BP37" s="6"/>
      <c r="BQ37" s="6"/>
      <c r="BR37" s="6"/>
      <c r="BS37" s="6"/>
      <c r="BT37" s="6"/>
      <c r="BU37" s="9"/>
      <c r="CH37" s="148" t="s">
        <v>188</v>
      </c>
      <c r="CI37" s="151">
        <v>2.4900000000000002</v>
      </c>
      <c r="CJ37" s="145">
        <f t="shared" si="30"/>
        <v>2.7390000000000003</v>
      </c>
      <c r="CK37" s="150">
        <v>1.5</v>
      </c>
      <c r="CL37" s="277">
        <f>(L39*H39)/12</f>
        <v>0</v>
      </c>
    </row>
    <row r="38" spans="1:90" ht="12" hidden="1" customHeight="1" x14ac:dyDescent="0.6">
      <c r="A38" s="42"/>
      <c r="B38" s="230"/>
      <c r="C38" s="231"/>
      <c r="D38" s="231"/>
      <c r="E38" s="232"/>
      <c r="F38" s="43"/>
      <c r="G38" s="43"/>
      <c r="H38" s="44"/>
      <c r="I38" s="45"/>
      <c r="J38" s="43"/>
      <c r="K38" s="46"/>
      <c r="L38" s="47">
        <f t="shared" si="0"/>
        <v>0</v>
      </c>
      <c r="M38" s="43"/>
      <c r="N38" s="43"/>
      <c r="O38" s="43"/>
      <c r="P38" s="46"/>
      <c r="Q38" s="47">
        <f t="shared" si="21"/>
        <v>0</v>
      </c>
      <c r="R38" s="233"/>
      <c r="S38" s="234"/>
      <c r="T38" s="230"/>
      <c r="U38" s="231"/>
      <c r="V38" s="231"/>
      <c r="W38" s="232"/>
      <c r="X38" s="235" t="str">
        <f>IFERROR(INDEX(Table3923[],MATCH(R38,Table3923[Column1],),3),"")</f>
        <v/>
      </c>
      <c r="Y38" s="235"/>
      <c r="Z38" s="48" t="s">
        <v>85</v>
      </c>
      <c r="AA38" s="48" t="s">
        <v>85</v>
      </c>
      <c r="AB38" s="49"/>
      <c r="AC38" s="50"/>
      <c r="AD38" s="51">
        <f t="shared" si="1"/>
        <v>0</v>
      </c>
      <c r="AG38" s="52">
        <f t="shared" si="2"/>
        <v>0</v>
      </c>
      <c r="AH38" s="53"/>
      <c r="AM38" s="55">
        <f t="shared" si="3"/>
        <v>0</v>
      </c>
      <c r="AN38" s="55">
        <f t="shared" si="4"/>
        <v>0</v>
      </c>
      <c r="AO38" s="55">
        <f t="shared" si="5"/>
        <v>0</v>
      </c>
      <c r="AP38" s="56">
        <f t="shared" si="6"/>
        <v>0</v>
      </c>
      <c r="AQ38" s="55" t="str">
        <f t="shared" si="22"/>
        <v>0.00</v>
      </c>
      <c r="AR38" s="55" t="str">
        <f t="shared" si="7"/>
        <v>0</v>
      </c>
      <c r="AS38" s="57">
        <f t="shared" si="23"/>
        <v>0</v>
      </c>
      <c r="AT38" s="58">
        <f t="shared" si="8"/>
        <v>0</v>
      </c>
      <c r="AU38" s="57">
        <f t="shared" si="9"/>
        <v>0</v>
      </c>
      <c r="AV38" s="59">
        <f t="shared" si="24"/>
        <v>0</v>
      </c>
      <c r="AW38" s="59">
        <f t="shared" si="10"/>
        <v>0</v>
      </c>
      <c r="AX38" s="9"/>
      <c r="AY38" s="60">
        <f t="shared" si="11"/>
        <v>0</v>
      </c>
      <c r="AZ38" s="61">
        <f>_xlfn.IFNA(INDEX(Table3923[Column4],MATCH(R38,Table3923[Column1],0)),1.5)</f>
        <v>1.5</v>
      </c>
      <c r="BA38" s="62">
        <f>VLOOKUP(Z38,Table1331[#All],2,FALSE)</f>
        <v>1</v>
      </c>
      <c r="BB38" s="61">
        <f t="shared" si="25"/>
        <v>1.5</v>
      </c>
      <c r="BC38" s="55">
        <f t="shared" si="12"/>
        <v>0</v>
      </c>
      <c r="BD38" s="43">
        <f t="shared" si="13"/>
        <v>0</v>
      </c>
      <c r="BE38" s="63">
        <f t="shared" si="14"/>
        <v>0</v>
      </c>
      <c r="BF38" s="60">
        <f t="shared" si="15"/>
        <v>0</v>
      </c>
      <c r="BG38" s="60">
        <f t="shared" si="16"/>
        <v>0</v>
      </c>
      <c r="BH38" s="60">
        <f t="shared" si="17"/>
        <v>0</v>
      </c>
      <c r="BI38" s="55">
        <f>VLOOKUP(AA38,Table1533[#All],2,FALSE)</f>
        <v>1.25</v>
      </c>
      <c r="BJ38" s="55">
        <f t="shared" si="18"/>
        <v>0</v>
      </c>
      <c r="BK38" s="43" t="str">
        <f t="shared" si="19"/>
        <v>0</v>
      </c>
      <c r="BL38" s="62">
        <f t="shared" si="26"/>
        <v>0</v>
      </c>
      <c r="BN38" s="6"/>
      <c r="BO38" s="6"/>
      <c r="BP38" s="6"/>
      <c r="BQ38" s="6"/>
      <c r="BR38" s="6"/>
      <c r="BS38" s="6"/>
      <c r="BT38" s="6"/>
      <c r="BU38" s="9"/>
      <c r="CH38" s="148" t="s">
        <v>190</v>
      </c>
      <c r="CI38" s="151">
        <v>2.39</v>
      </c>
      <c r="CJ38" s="145">
        <f t="shared" si="30"/>
        <v>2.6290000000000004</v>
      </c>
      <c r="CK38" s="150">
        <v>1.5</v>
      </c>
      <c r="CL38" s="277">
        <f>(L40*H40)/12</f>
        <v>0</v>
      </c>
    </row>
    <row r="39" spans="1:90" ht="12" hidden="1" customHeight="1" x14ac:dyDescent="0.6">
      <c r="A39" s="42"/>
      <c r="B39" s="230"/>
      <c r="C39" s="231"/>
      <c r="D39" s="231"/>
      <c r="E39" s="232"/>
      <c r="F39" s="43"/>
      <c r="G39" s="43"/>
      <c r="H39" s="44"/>
      <c r="I39" s="45"/>
      <c r="J39" s="43"/>
      <c r="K39" s="46"/>
      <c r="L39" s="47">
        <f t="shared" si="0"/>
        <v>0</v>
      </c>
      <c r="M39" s="43"/>
      <c r="N39" s="43"/>
      <c r="O39" s="43"/>
      <c r="P39" s="46"/>
      <c r="Q39" s="47">
        <f t="shared" si="21"/>
        <v>0</v>
      </c>
      <c r="R39" s="233"/>
      <c r="S39" s="234"/>
      <c r="T39" s="230"/>
      <c r="U39" s="231"/>
      <c r="V39" s="231"/>
      <c r="W39" s="232"/>
      <c r="X39" s="235" t="str">
        <f>IFERROR(INDEX(Table3923[],MATCH(R39,Table3923[Column1],),3),"")</f>
        <v/>
      </c>
      <c r="Y39" s="235"/>
      <c r="Z39" s="48" t="s">
        <v>85</v>
      </c>
      <c r="AA39" s="48" t="s">
        <v>85</v>
      </c>
      <c r="AB39" s="49"/>
      <c r="AC39" s="50"/>
      <c r="AD39" s="51">
        <f t="shared" ref="AD39:AD70" si="31">SUM(AV39+AW39)</f>
        <v>0</v>
      </c>
      <c r="AG39" s="52">
        <f t="shared" si="2"/>
        <v>0</v>
      </c>
      <c r="AH39" s="53"/>
      <c r="AM39" s="55">
        <f t="shared" si="3"/>
        <v>0</v>
      </c>
      <c r="AN39" s="55">
        <f t="shared" si="4"/>
        <v>0</v>
      </c>
      <c r="AO39" s="55">
        <f t="shared" ref="AO39:AO70" si="32">BC39+BJ39+BE39</f>
        <v>0</v>
      </c>
      <c r="AP39" s="56">
        <f t="shared" ref="AP39:AP70" si="33">(($AB$4*$AJ$7)+($AC$2*$AJ$7))*BL39</f>
        <v>0</v>
      </c>
      <c r="AQ39" s="55" t="str">
        <f t="shared" si="22"/>
        <v>0.00</v>
      </c>
      <c r="AR39" s="55" t="str">
        <f t="shared" ref="AR39:AR70" si="34">IF($Z$2="No","0",(((AP39/$AJ$7)+BF39+BH39)*$AJ$13)-(AP39+BC39+BE39+BJ39))</f>
        <v>0</v>
      </c>
      <c r="AS39" s="57">
        <f t="shared" si="23"/>
        <v>0</v>
      </c>
      <c r="AT39" s="58">
        <f t="shared" si="8"/>
        <v>0</v>
      </c>
      <c r="AU39" s="57">
        <f t="shared" si="9"/>
        <v>0</v>
      </c>
      <c r="AV39" s="59">
        <f t="shared" si="24"/>
        <v>0</v>
      </c>
      <c r="AW39" s="59">
        <f t="shared" si="10"/>
        <v>0</v>
      </c>
      <c r="AX39" s="9"/>
      <c r="AY39" s="60">
        <f t="shared" ref="AY39:AY70" si="35">IF(R39="removal only",0,((I39*J39*K39)/144))</f>
        <v>0</v>
      </c>
      <c r="AZ39" s="61">
        <f>_xlfn.IFNA(INDEX(Table3923[Column4],MATCH(R39,Table3923[Column1],0)),1.5)</f>
        <v>1.5</v>
      </c>
      <c r="BA39" s="62">
        <f>VLOOKUP(Z39,Table1331[#All],2,FALSE)</f>
        <v>1</v>
      </c>
      <c r="BB39" s="61">
        <f t="shared" si="25"/>
        <v>1.5</v>
      </c>
      <c r="BC39" s="55">
        <f t="shared" ref="BC39:BC70" si="36">IF(R39="removal only",0,(AY39*BB39))</f>
        <v>0</v>
      </c>
      <c r="BD39" s="43">
        <f t="shared" ref="BD39:BD70" si="37">IF(R39="removal only",0,K39)</f>
        <v>0</v>
      </c>
      <c r="BE39" s="63">
        <f t="shared" ref="BE39:BE70" si="38">(AB39/60)*$AJ$7</f>
        <v>0</v>
      </c>
      <c r="BF39" s="60">
        <f t="shared" ref="BF39:BF70" si="39">IF(R39="removal only",0,(BC39+BE39)/$AJ$7)</f>
        <v>0</v>
      </c>
      <c r="BG39" s="60">
        <f t="shared" ref="BG39:BG70" si="40">IF(H39="Yes",((I39*J39*K39)/144),0)</f>
        <v>0</v>
      </c>
      <c r="BH39" s="60">
        <f t="shared" ref="BH39:BH70" si="41">IF(BG39="0",0,BJ39/$AJ$7)</f>
        <v>0</v>
      </c>
      <c r="BI39" s="55">
        <f>VLOOKUP(AA39,Table1533[#All],2,FALSE)</f>
        <v>1.25</v>
      </c>
      <c r="BJ39" s="55">
        <f t="shared" ref="BJ39:BJ70" si="42">IF(H39="Yes",BG39*BI39,0)</f>
        <v>0</v>
      </c>
      <c r="BK39" s="43" t="str">
        <f t="shared" ref="BK39:BK70" si="43">IF(H39="Yes",K39,"0")</f>
        <v>0</v>
      </c>
      <c r="BL39" s="62">
        <f t="shared" si="26"/>
        <v>0</v>
      </c>
      <c r="BN39" s="6"/>
      <c r="BO39" s="6"/>
      <c r="BP39" s="6"/>
      <c r="BQ39" s="6"/>
      <c r="BR39" s="6"/>
      <c r="BS39" s="6"/>
      <c r="BT39" s="6"/>
      <c r="BU39" s="9"/>
      <c r="CH39" s="148" t="s">
        <v>192</v>
      </c>
      <c r="CI39" s="151">
        <v>2.39</v>
      </c>
      <c r="CJ39" s="145">
        <f t="shared" si="30"/>
        <v>2.6290000000000004</v>
      </c>
      <c r="CK39" s="150">
        <v>1.5</v>
      </c>
      <c r="CL39" s="277">
        <f>(L41*H41)/12</f>
        <v>0</v>
      </c>
    </row>
    <row r="40" spans="1:90" ht="12" hidden="1" customHeight="1" x14ac:dyDescent="0.6">
      <c r="A40" s="42"/>
      <c r="B40" s="230"/>
      <c r="C40" s="231"/>
      <c r="D40" s="231"/>
      <c r="E40" s="232"/>
      <c r="F40" s="43"/>
      <c r="G40" s="43"/>
      <c r="H40" s="44"/>
      <c r="I40" s="45"/>
      <c r="J40" s="43"/>
      <c r="K40" s="46"/>
      <c r="L40" s="47">
        <f t="shared" si="0"/>
        <v>0</v>
      </c>
      <c r="M40" s="43"/>
      <c r="N40" s="43"/>
      <c r="O40" s="43"/>
      <c r="P40" s="46"/>
      <c r="Q40" s="47">
        <f t="shared" si="21"/>
        <v>0</v>
      </c>
      <c r="R40" s="233"/>
      <c r="S40" s="234"/>
      <c r="T40" s="230"/>
      <c r="U40" s="231"/>
      <c r="V40" s="231"/>
      <c r="W40" s="232"/>
      <c r="X40" s="235" t="str">
        <f>IFERROR(INDEX(Table3923[],MATCH(R40,Table3923[Column1],),3),"")</f>
        <v/>
      </c>
      <c r="Y40" s="235"/>
      <c r="Z40" s="48" t="s">
        <v>85</v>
      </c>
      <c r="AA40" s="48" t="s">
        <v>85</v>
      </c>
      <c r="AB40" s="49"/>
      <c r="AC40" s="50"/>
      <c r="AD40" s="51">
        <f t="shared" si="31"/>
        <v>0</v>
      </c>
      <c r="AG40" s="52">
        <f t="shared" si="2"/>
        <v>0</v>
      </c>
      <c r="AH40" s="53"/>
      <c r="AM40" s="55">
        <f t="shared" si="3"/>
        <v>0</v>
      </c>
      <c r="AN40" s="55">
        <f t="shared" si="4"/>
        <v>0</v>
      </c>
      <c r="AO40" s="55">
        <f t="shared" si="32"/>
        <v>0</v>
      </c>
      <c r="AP40" s="56">
        <f t="shared" si="33"/>
        <v>0</v>
      </c>
      <c r="AQ40" s="55" t="str">
        <f t="shared" si="22"/>
        <v>0.00</v>
      </c>
      <c r="AR40" s="55" t="str">
        <f t="shared" si="34"/>
        <v>0</v>
      </c>
      <c r="AS40" s="57">
        <f t="shared" si="23"/>
        <v>0</v>
      </c>
      <c r="AT40" s="58">
        <f t="shared" si="8"/>
        <v>0</v>
      </c>
      <c r="AU40" s="57">
        <f t="shared" si="9"/>
        <v>0</v>
      </c>
      <c r="AV40" s="59">
        <f t="shared" si="24"/>
        <v>0</v>
      </c>
      <c r="AW40" s="59">
        <f t="shared" si="10"/>
        <v>0</v>
      </c>
      <c r="AX40" s="9"/>
      <c r="AY40" s="60">
        <f t="shared" si="35"/>
        <v>0</v>
      </c>
      <c r="AZ40" s="61">
        <f>_xlfn.IFNA(INDEX(Table3923[Column4],MATCH(R40,Table3923[Column1],0)),1.5)</f>
        <v>1.5</v>
      </c>
      <c r="BA40" s="62">
        <f>VLOOKUP(Z40,Table1331[#All],2,FALSE)</f>
        <v>1</v>
      </c>
      <c r="BB40" s="61">
        <f t="shared" si="25"/>
        <v>1.5</v>
      </c>
      <c r="BC40" s="55">
        <f t="shared" si="36"/>
        <v>0</v>
      </c>
      <c r="BD40" s="43">
        <f t="shared" si="37"/>
        <v>0</v>
      </c>
      <c r="BE40" s="63">
        <f t="shared" si="38"/>
        <v>0</v>
      </c>
      <c r="BF40" s="60">
        <f t="shared" si="39"/>
        <v>0</v>
      </c>
      <c r="BG40" s="60">
        <f t="shared" si="40"/>
        <v>0</v>
      </c>
      <c r="BH40" s="60">
        <f t="shared" si="41"/>
        <v>0</v>
      </c>
      <c r="BI40" s="55">
        <f>VLOOKUP(AA40,Table1533[#All],2,FALSE)</f>
        <v>1.25</v>
      </c>
      <c r="BJ40" s="55">
        <f t="shared" si="42"/>
        <v>0</v>
      </c>
      <c r="BK40" s="43" t="str">
        <f t="shared" si="43"/>
        <v>0</v>
      </c>
      <c r="BL40" s="62">
        <f t="shared" si="26"/>
        <v>0</v>
      </c>
      <c r="BN40" s="6"/>
      <c r="BO40" s="6"/>
      <c r="BP40" s="6"/>
      <c r="BQ40" s="6"/>
      <c r="BR40" s="6"/>
      <c r="BS40" s="6"/>
      <c r="BT40" s="6"/>
      <c r="BU40" s="9"/>
      <c r="CH40" s="148" t="s">
        <v>194</v>
      </c>
      <c r="CI40" s="151">
        <v>2.39</v>
      </c>
      <c r="CJ40" s="145">
        <f t="shared" si="30"/>
        <v>2.6290000000000004</v>
      </c>
      <c r="CK40" s="150">
        <v>1.5</v>
      </c>
      <c r="CL40" s="277">
        <f>(L42*H42)/12</f>
        <v>0</v>
      </c>
    </row>
    <row r="41" spans="1:90" ht="12" hidden="1" customHeight="1" x14ac:dyDescent="0.6">
      <c r="A41" s="42"/>
      <c r="B41" s="230"/>
      <c r="C41" s="231"/>
      <c r="D41" s="231"/>
      <c r="E41" s="232"/>
      <c r="F41" s="43"/>
      <c r="G41" s="43"/>
      <c r="H41" s="44"/>
      <c r="I41" s="45"/>
      <c r="J41" s="43"/>
      <c r="K41" s="46"/>
      <c r="L41" s="47">
        <f t="shared" si="0"/>
        <v>0</v>
      </c>
      <c r="M41" s="43"/>
      <c r="N41" s="43"/>
      <c r="O41" s="43"/>
      <c r="P41" s="46"/>
      <c r="Q41" s="47">
        <f t="shared" si="21"/>
        <v>0</v>
      </c>
      <c r="R41" s="233"/>
      <c r="S41" s="234"/>
      <c r="T41" s="230"/>
      <c r="U41" s="231"/>
      <c r="V41" s="231"/>
      <c r="W41" s="232"/>
      <c r="X41" s="235" t="str">
        <f>IFERROR(INDEX(Table3923[],MATCH(R41,Table3923[Column1],),3),"")</f>
        <v/>
      </c>
      <c r="Y41" s="235"/>
      <c r="Z41" s="48" t="s">
        <v>85</v>
      </c>
      <c r="AA41" s="48" t="s">
        <v>85</v>
      </c>
      <c r="AB41" s="49"/>
      <c r="AC41" s="50"/>
      <c r="AD41" s="51">
        <f t="shared" si="31"/>
        <v>0</v>
      </c>
      <c r="AG41" s="52">
        <f t="shared" si="2"/>
        <v>0</v>
      </c>
      <c r="AH41" s="53"/>
      <c r="AM41" s="55">
        <f t="shared" si="3"/>
        <v>0</v>
      </c>
      <c r="AN41" s="55">
        <f t="shared" si="4"/>
        <v>0</v>
      </c>
      <c r="AO41" s="55">
        <f t="shared" si="32"/>
        <v>0</v>
      </c>
      <c r="AP41" s="56">
        <f t="shared" si="33"/>
        <v>0</v>
      </c>
      <c r="AQ41" s="55" t="str">
        <f t="shared" si="22"/>
        <v>0.00</v>
      </c>
      <c r="AR41" s="55" t="str">
        <f t="shared" si="34"/>
        <v>0</v>
      </c>
      <c r="AS41" s="57">
        <f t="shared" si="23"/>
        <v>0</v>
      </c>
      <c r="AT41" s="58">
        <f t="shared" si="8"/>
        <v>0</v>
      </c>
      <c r="AU41" s="57">
        <f t="shared" si="9"/>
        <v>0</v>
      </c>
      <c r="AV41" s="59">
        <f t="shared" si="24"/>
        <v>0</v>
      </c>
      <c r="AW41" s="59">
        <f t="shared" si="10"/>
        <v>0</v>
      </c>
      <c r="AX41" s="9"/>
      <c r="AY41" s="60">
        <f t="shared" si="35"/>
        <v>0</v>
      </c>
      <c r="AZ41" s="61">
        <f>_xlfn.IFNA(INDEX(Table3923[Column4],MATCH(R41,Table3923[Column1],0)),1.5)</f>
        <v>1.5</v>
      </c>
      <c r="BA41" s="62">
        <f>VLOOKUP(Z41,Table1331[#All],2,FALSE)</f>
        <v>1</v>
      </c>
      <c r="BB41" s="61">
        <f t="shared" si="25"/>
        <v>1.5</v>
      </c>
      <c r="BC41" s="55">
        <f t="shared" si="36"/>
        <v>0</v>
      </c>
      <c r="BD41" s="43">
        <f t="shared" si="37"/>
        <v>0</v>
      </c>
      <c r="BE41" s="63">
        <f t="shared" si="38"/>
        <v>0</v>
      </c>
      <c r="BF41" s="60">
        <f t="shared" si="39"/>
        <v>0</v>
      </c>
      <c r="BG41" s="60">
        <f t="shared" si="40"/>
        <v>0</v>
      </c>
      <c r="BH41" s="60">
        <f t="shared" si="41"/>
        <v>0</v>
      </c>
      <c r="BI41" s="55">
        <f>VLOOKUP(AA41,Table1533[#All],2,FALSE)</f>
        <v>1.25</v>
      </c>
      <c r="BJ41" s="55">
        <f t="shared" si="42"/>
        <v>0</v>
      </c>
      <c r="BK41" s="43" t="str">
        <f t="shared" si="43"/>
        <v>0</v>
      </c>
      <c r="BL41" s="62">
        <f t="shared" si="26"/>
        <v>0</v>
      </c>
      <c r="BN41" s="6"/>
      <c r="BO41" s="6"/>
      <c r="BP41" s="6"/>
      <c r="BQ41" s="6"/>
      <c r="BR41" s="6"/>
      <c r="BS41" s="6"/>
      <c r="BT41" s="6"/>
      <c r="BU41" s="9"/>
      <c r="CH41" s="148" t="s">
        <v>196</v>
      </c>
      <c r="CI41" s="151">
        <v>2.39</v>
      </c>
      <c r="CJ41" s="145">
        <f>CI41*1.1</f>
        <v>2.6290000000000004</v>
      </c>
      <c r="CK41" s="150">
        <v>1.5</v>
      </c>
      <c r="CL41" s="277">
        <f>(L43*H43)/12</f>
        <v>0</v>
      </c>
    </row>
    <row r="42" spans="1:90" ht="12" hidden="1" customHeight="1" x14ac:dyDescent="0.6">
      <c r="A42" s="42"/>
      <c r="B42" s="230"/>
      <c r="C42" s="231"/>
      <c r="D42" s="231"/>
      <c r="E42" s="232"/>
      <c r="F42" s="43"/>
      <c r="G42" s="43"/>
      <c r="H42" s="44"/>
      <c r="I42" s="45"/>
      <c r="J42" s="43"/>
      <c r="K42" s="46"/>
      <c r="L42" s="47">
        <f t="shared" si="0"/>
        <v>0</v>
      </c>
      <c r="M42" s="43"/>
      <c r="N42" s="43"/>
      <c r="O42" s="43"/>
      <c r="P42" s="46"/>
      <c r="Q42" s="47">
        <f t="shared" si="21"/>
        <v>0</v>
      </c>
      <c r="R42" s="233"/>
      <c r="S42" s="234"/>
      <c r="T42" s="230"/>
      <c r="U42" s="231"/>
      <c r="V42" s="231"/>
      <c r="W42" s="232"/>
      <c r="X42" s="235" t="str">
        <f>IFERROR(INDEX(Table3923[],MATCH(R42,Table3923[Column1],),3),"")</f>
        <v/>
      </c>
      <c r="Y42" s="235"/>
      <c r="Z42" s="48" t="s">
        <v>85</v>
      </c>
      <c r="AA42" s="48" t="s">
        <v>85</v>
      </c>
      <c r="AB42" s="49"/>
      <c r="AC42" s="50"/>
      <c r="AD42" s="51">
        <f t="shared" si="31"/>
        <v>0</v>
      </c>
      <c r="AG42" s="52">
        <f t="shared" si="2"/>
        <v>0</v>
      </c>
      <c r="AH42" s="53"/>
      <c r="AM42" s="55">
        <f t="shared" si="3"/>
        <v>0</v>
      </c>
      <c r="AN42" s="55">
        <f t="shared" si="4"/>
        <v>0</v>
      </c>
      <c r="AO42" s="55">
        <f t="shared" si="32"/>
        <v>0</v>
      </c>
      <c r="AP42" s="56">
        <f t="shared" si="33"/>
        <v>0</v>
      </c>
      <c r="AQ42" s="55" t="str">
        <f t="shared" si="22"/>
        <v>0.00</v>
      </c>
      <c r="AR42" s="55" t="str">
        <f t="shared" si="34"/>
        <v>0</v>
      </c>
      <c r="AS42" s="57">
        <f t="shared" si="23"/>
        <v>0</v>
      </c>
      <c r="AT42" s="58">
        <f t="shared" si="8"/>
        <v>0</v>
      </c>
      <c r="AU42" s="57">
        <f t="shared" si="9"/>
        <v>0</v>
      </c>
      <c r="AV42" s="59">
        <f t="shared" si="24"/>
        <v>0</v>
      </c>
      <c r="AW42" s="59">
        <f t="shared" si="10"/>
        <v>0</v>
      </c>
      <c r="AX42" s="9"/>
      <c r="AY42" s="60">
        <f t="shared" si="35"/>
        <v>0</v>
      </c>
      <c r="AZ42" s="61">
        <f>_xlfn.IFNA(INDEX(Table3923[Column4],MATCH(R42,Table3923[Column1],0)),1.5)</f>
        <v>1.5</v>
      </c>
      <c r="BA42" s="62">
        <f>VLOOKUP(Z42,Table1331[#All],2,FALSE)</f>
        <v>1</v>
      </c>
      <c r="BB42" s="61">
        <f t="shared" si="25"/>
        <v>1.5</v>
      </c>
      <c r="BC42" s="55">
        <f t="shared" si="36"/>
        <v>0</v>
      </c>
      <c r="BD42" s="43">
        <f t="shared" si="37"/>
        <v>0</v>
      </c>
      <c r="BE42" s="63">
        <f t="shared" si="38"/>
        <v>0</v>
      </c>
      <c r="BF42" s="60">
        <f t="shared" si="39"/>
        <v>0</v>
      </c>
      <c r="BG42" s="60">
        <f t="shared" si="40"/>
        <v>0</v>
      </c>
      <c r="BH42" s="60">
        <f t="shared" si="41"/>
        <v>0</v>
      </c>
      <c r="BI42" s="55">
        <f>VLOOKUP(AA42,Table1533[#All],2,FALSE)</f>
        <v>1.25</v>
      </c>
      <c r="BJ42" s="55">
        <f t="shared" si="42"/>
        <v>0</v>
      </c>
      <c r="BK42" s="43" t="str">
        <f t="shared" si="43"/>
        <v>0</v>
      </c>
      <c r="BL42" s="62">
        <f t="shared" si="26"/>
        <v>0</v>
      </c>
      <c r="BN42" s="6"/>
      <c r="BO42" s="6"/>
      <c r="BP42" s="6"/>
      <c r="BQ42" s="6"/>
      <c r="BR42" s="6"/>
      <c r="BS42" s="6"/>
      <c r="BT42" s="6"/>
      <c r="BU42" s="9"/>
      <c r="CH42" s="148" t="s">
        <v>197</v>
      </c>
      <c r="CI42" s="149">
        <v>4.8099999999999996</v>
      </c>
      <c r="CJ42" s="145">
        <f t="shared" si="30"/>
        <v>5.2910000000000004</v>
      </c>
      <c r="CK42" s="150">
        <v>1.5</v>
      </c>
      <c r="CL42" s="277">
        <f>(L44*H44)/12</f>
        <v>0</v>
      </c>
    </row>
    <row r="43" spans="1:90" ht="12" hidden="1" customHeight="1" x14ac:dyDescent="0.6">
      <c r="A43" s="42"/>
      <c r="B43" s="230"/>
      <c r="C43" s="231"/>
      <c r="D43" s="231"/>
      <c r="E43" s="232"/>
      <c r="F43" s="43"/>
      <c r="G43" s="43"/>
      <c r="H43" s="44"/>
      <c r="I43" s="45"/>
      <c r="J43" s="43"/>
      <c r="K43" s="46"/>
      <c r="L43" s="47">
        <f t="shared" si="0"/>
        <v>0</v>
      </c>
      <c r="M43" s="43"/>
      <c r="N43" s="43"/>
      <c r="O43" s="43"/>
      <c r="P43" s="46"/>
      <c r="Q43" s="47">
        <f t="shared" si="21"/>
        <v>0</v>
      </c>
      <c r="R43" s="233"/>
      <c r="S43" s="234"/>
      <c r="T43" s="230"/>
      <c r="U43" s="231"/>
      <c r="V43" s="231"/>
      <c r="W43" s="232"/>
      <c r="X43" s="235" t="str">
        <f>IFERROR(INDEX(Table3923[],MATCH(R43,Table3923[Column1],),3),"")</f>
        <v/>
      </c>
      <c r="Y43" s="235"/>
      <c r="Z43" s="48" t="s">
        <v>85</v>
      </c>
      <c r="AA43" s="48" t="s">
        <v>85</v>
      </c>
      <c r="AB43" s="49"/>
      <c r="AC43" s="50"/>
      <c r="AD43" s="51">
        <f t="shared" si="31"/>
        <v>0</v>
      </c>
      <c r="AG43" s="52">
        <f t="shared" si="2"/>
        <v>0</v>
      </c>
      <c r="AH43" s="53"/>
      <c r="AM43" s="55">
        <f t="shared" si="3"/>
        <v>0</v>
      </c>
      <c r="AN43" s="55">
        <f t="shared" si="4"/>
        <v>0</v>
      </c>
      <c r="AO43" s="55">
        <f t="shared" si="32"/>
        <v>0</v>
      </c>
      <c r="AP43" s="56">
        <f t="shared" si="33"/>
        <v>0</v>
      </c>
      <c r="AQ43" s="55" t="str">
        <f t="shared" si="22"/>
        <v>0.00</v>
      </c>
      <c r="AR43" s="55" t="str">
        <f t="shared" si="34"/>
        <v>0</v>
      </c>
      <c r="AS43" s="57">
        <f t="shared" si="23"/>
        <v>0</v>
      </c>
      <c r="AT43" s="58">
        <f t="shared" si="8"/>
        <v>0</v>
      </c>
      <c r="AU43" s="57">
        <f t="shared" si="9"/>
        <v>0</v>
      </c>
      <c r="AV43" s="59">
        <f t="shared" si="24"/>
        <v>0</v>
      </c>
      <c r="AW43" s="59">
        <f t="shared" si="10"/>
        <v>0</v>
      </c>
      <c r="AX43" s="9"/>
      <c r="AY43" s="60">
        <f t="shared" si="35"/>
        <v>0</v>
      </c>
      <c r="AZ43" s="61">
        <f>_xlfn.IFNA(INDEX(Table3923[Column4],MATCH(R43,Table3923[Column1],0)),1.5)</f>
        <v>1.5</v>
      </c>
      <c r="BA43" s="62">
        <f>VLOOKUP(Z43,Table1331[#All],2,FALSE)</f>
        <v>1</v>
      </c>
      <c r="BB43" s="61">
        <f t="shared" si="25"/>
        <v>1.5</v>
      </c>
      <c r="BC43" s="55">
        <f t="shared" si="36"/>
        <v>0</v>
      </c>
      <c r="BD43" s="43">
        <f t="shared" si="37"/>
        <v>0</v>
      </c>
      <c r="BE43" s="63">
        <f t="shared" si="38"/>
        <v>0</v>
      </c>
      <c r="BF43" s="60">
        <f t="shared" si="39"/>
        <v>0</v>
      </c>
      <c r="BG43" s="60">
        <f t="shared" si="40"/>
        <v>0</v>
      </c>
      <c r="BH43" s="60">
        <f t="shared" si="41"/>
        <v>0</v>
      </c>
      <c r="BI43" s="55">
        <f>VLOOKUP(AA43,Table1533[#All],2,FALSE)</f>
        <v>1.25</v>
      </c>
      <c r="BJ43" s="55">
        <f t="shared" si="42"/>
        <v>0</v>
      </c>
      <c r="BK43" s="43" t="str">
        <f t="shared" si="43"/>
        <v>0</v>
      </c>
      <c r="BL43" s="62">
        <f t="shared" si="26"/>
        <v>0</v>
      </c>
      <c r="BN43" s="6"/>
      <c r="BO43" s="6"/>
      <c r="BP43" s="6"/>
      <c r="BQ43" s="6"/>
      <c r="BR43" s="6"/>
      <c r="BS43" s="6"/>
      <c r="BT43" s="6"/>
      <c r="BU43" s="9"/>
      <c r="CH43" s="148" t="s">
        <v>198</v>
      </c>
      <c r="CI43" s="151">
        <v>4.8099999999999996</v>
      </c>
      <c r="CJ43" s="145">
        <f t="shared" si="30"/>
        <v>5.2910000000000004</v>
      </c>
      <c r="CK43" s="150">
        <v>1.5</v>
      </c>
      <c r="CL43" s="277">
        <f>(L45*H45)/12</f>
        <v>0</v>
      </c>
    </row>
    <row r="44" spans="1:90" ht="12" hidden="1" customHeight="1" x14ac:dyDescent="0.6">
      <c r="A44" s="42"/>
      <c r="B44" s="230"/>
      <c r="C44" s="231"/>
      <c r="D44" s="231"/>
      <c r="E44" s="232"/>
      <c r="F44" s="43"/>
      <c r="G44" s="43"/>
      <c r="H44" s="44"/>
      <c r="I44" s="45"/>
      <c r="J44" s="43"/>
      <c r="K44" s="46"/>
      <c r="L44" s="47">
        <f t="shared" si="0"/>
        <v>0</v>
      </c>
      <c r="M44" s="43"/>
      <c r="N44" s="43"/>
      <c r="O44" s="43"/>
      <c r="P44" s="46"/>
      <c r="Q44" s="47">
        <f t="shared" si="21"/>
        <v>0</v>
      </c>
      <c r="R44" s="233"/>
      <c r="S44" s="234"/>
      <c r="T44" s="230"/>
      <c r="U44" s="231"/>
      <c r="V44" s="231"/>
      <c r="W44" s="232"/>
      <c r="X44" s="235" t="str">
        <f>IFERROR(INDEX(Table3923[],MATCH(R44,Table3923[Column1],),3),"")</f>
        <v/>
      </c>
      <c r="Y44" s="235"/>
      <c r="Z44" s="48" t="s">
        <v>85</v>
      </c>
      <c r="AA44" s="48" t="s">
        <v>85</v>
      </c>
      <c r="AB44" s="49"/>
      <c r="AC44" s="50"/>
      <c r="AD44" s="51">
        <f t="shared" si="31"/>
        <v>0</v>
      </c>
      <c r="AG44" s="52">
        <f t="shared" si="2"/>
        <v>0</v>
      </c>
      <c r="AH44" s="53"/>
      <c r="AM44" s="55">
        <f t="shared" si="3"/>
        <v>0</v>
      </c>
      <c r="AN44" s="55">
        <f t="shared" si="4"/>
        <v>0</v>
      </c>
      <c r="AO44" s="55">
        <f t="shared" si="32"/>
        <v>0</v>
      </c>
      <c r="AP44" s="56">
        <f t="shared" si="33"/>
        <v>0</v>
      </c>
      <c r="AQ44" s="55" t="str">
        <f t="shared" si="22"/>
        <v>0.00</v>
      </c>
      <c r="AR44" s="55" t="str">
        <f t="shared" si="34"/>
        <v>0</v>
      </c>
      <c r="AS44" s="57">
        <f t="shared" si="23"/>
        <v>0</v>
      </c>
      <c r="AT44" s="58">
        <f t="shared" si="8"/>
        <v>0</v>
      </c>
      <c r="AU44" s="57">
        <f t="shared" si="9"/>
        <v>0</v>
      </c>
      <c r="AV44" s="59">
        <f t="shared" si="24"/>
        <v>0</v>
      </c>
      <c r="AW44" s="59">
        <f t="shared" si="10"/>
        <v>0</v>
      </c>
      <c r="AX44" s="9"/>
      <c r="AY44" s="60">
        <f t="shared" si="35"/>
        <v>0</v>
      </c>
      <c r="AZ44" s="61">
        <f>_xlfn.IFNA(INDEX(Table3923[Column4],MATCH(R44,Table3923[Column1],0)),1.5)</f>
        <v>1.5</v>
      </c>
      <c r="BA44" s="62">
        <f>VLOOKUP(Z44,Table1331[#All],2,FALSE)</f>
        <v>1</v>
      </c>
      <c r="BB44" s="61">
        <f t="shared" si="25"/>
        <v>1.5</v>
      </c>
      <c r="BC44" s="55">
        <f t="shared" si="36"/>
        <v>0</v>
      </c>
      <c r="BD44" s="43">
        <f t="shared" si="37"/>
        <v>0</v>
      </c>
      <c r="BE44" s="63">
        <f t="shared" si="38"/>
        <v>0</v>
      </c>
      <c r="BF44" s="60">
        <f t="shared" si="39"/>
        <v>0</v>
      </c>
      <c r="BG44" s="60">
        <f t="shared" si="40"/>
        <v>0</v>
      </c>
      <c r="BH44" s="60">
        <f t="shared" si="41"/>
        <v>0</v>
      </c>
      <c r="BI44" s="55">
        <f>VLOOKUP(AA44,Table1533[#All],2,FALSE)</f>
        <v>1.25</v>
      </c>
      <c r="BJ44" s="55">
        <f t="shared" si="42"/>
        <v>0</v>
      </c>
      <c r="BK44" s="43" t="str">
        <f t="shared" si="43"/>
        <v>0</v>
      </c>
      <c r="BL44" s="62">
        <f t="shared" si="26"/>
        <v>0</v>
      </c>
      <c r="BN44" s="6"/>
      <c r="BO44" s="6"/>
      <c r="BP44" s="6"/>
      <c r="BQ44" s="6"/>
      <c r="BR44" s="6"/>
      <c r="BS44" s="6"/>
      <c r="BT44" s="6"/>
      <c r="BU44" s="9"/>
      <c r="CH44" s="148" t="s">
        <v>199</v>
      </c>
      <c r="CI44" s="149">
        <v>4.8099999999999996</v>
      </c>
      <c r="CJ44" s="145">
        <f t="shared" si="30"/>
        <v>5.2910000000000004</v>
      </c>
      <c r="CK44" s="150">
        <v>1.5</v>
      </c>
      <c r="CL44" s="277">
        <f>(L46*H46)/12</f>
        <v>0</v>
      </c>
    </row>
    <row r="45" spans="1:90" ht="12" hidden="1" customHeight="1" x14ac:dyDescent="0.6">
      <c r="A45" s="42"/>
      <c r="B45" s="230"/>
      <c r="C45" s="231"/>
      <c r="D45" s="231"/>
      <c r="E45" s="232"/>
      <c r="F45" s="43"/>
      <c r="G45" s="43"/>
      <c r="H45" s="44"/>
      <c r="I45" s="45"/>
      <c r="J45" s="43"/>
      <c r="K45" s="46"/>
      <c r="L45" s="47">
        <f t="shared" si="0"/>
        <v>0</v>
      </c>
      <c r="M45" s="43"/>
      <c r="N45" s="43"/>
      <c r="O45" s="43"/>
      <c r="P45" s="46"/>
      <c r="Q45" s="47">
        <f t="shared" si="21"/>
        <v>0</v>
      </c>
      <c r="R45" s="233"/>
      <c r="S45" s="234"/>
      <c r="T45" s="230"/>
      <c r="U45" s="231"/>
      <c r="V45" s="231"/>
      <c r="W45" s="232"/>
      <c r="X45" s="235" t="str">
        <f>IFERROR(INDEX(Table3923[],MATCH(R45,Table3923[Column1],),3),"")</f>
        <v/>
      </c>
      <c r="Y45" s="235"/>
      <c r="Z45" s="48" t="s">
        <v>85</v>
      </c>
      <c r="AA45" s="48" t="s">
        <v>85</v>
      </c>
      <c r="AB45" s="49"/>
      <c r="AC45" s="50"/>
      <c r="AD45" s="51">
        <f t="shared" si="31"/>
        <v>0</v>
      </c>
      <c r="AG45" s="52">
        <f t="shared" si="2"/>
        <v>0</v>
      </c>
      <c r="AH45" s="53"/>
      <c r="AM45" s="55">
        <f t="shared" si="3"/>
        <v>0</v>
      </c>
      <c r="AN45" s="55">
        <f t="shared" si="4"/>
        <v>0</v>
      </c>
      <c r="AO45" s="55">
        <f t="shared" si="32"/>
        <v>0</v>
      </c>
      <c r="AP45" s="56">
        <f t="shared" si="33"/>
        <v>0</v>
      </c>
      <c r="AQ45" s="55" t="str">
        <f t="shared" si="22"/>
        <v>0.00</v>
      </c>
      <c r="AR45" s="55" t="str">
        <f t="shared" si="34"/>
        <v>0</v>
      </c>
      <c r="AS45" s="57">
        <f t="shared" si="23"/>
        <v>0</v>
      </c>
      <c r="AT45" s="58">
        <f t="shared" si="8"/>
        <v>0</v>
      </c>
      <c r="AU45" s="57">
        <f t="shared" si="9"/>
        <v>0</v>
      </c>
      <c r="AV45" s="59">
        <f t="shared" si="24"/>
        <v>0</v>
      </c>
      <c r="AW45" s="59">
        <f t="shared" si="10"/>
        <v>0</v>
      </c>
      <c r="AX45" s="9"/>
      <c r="AY45" s="60">
        <f t="shared" si="35"/>
        <v>0</v>
      </c>
      <c r="AZ45" s="61">
        <f>_xlfn.IFNA(INDEX(Table3923[Column4],MATCH(R45,Table3923[Column1],0)),1.5)</f>
        <v>1.5</v>
      </c>
      <c r="BA45" s="62">
        <f>VLOOKUP(Z45,Table1331[#All],2,FALSE)</f>
        <v>1</v>
      </c>
      <c r="BB45" s="61">
        <f t="shared" si="25"/>
        <v>1.5</v>
      </c>
      <c r="BC45" s="55">
        <f t="shared" si="36"/>
        <v>0</v>
      </c>
      <c r="BD45" s="43">
        <f t="shared" si="37"/>
        <v>0</v>
      </c>
      <c r="BE45" s="63">
        <f t="shared" si="38"/>
        <v>0</v>
      </c>
      <c r="BF45" s="60">
        <f t="shared" si="39"/>
        <v>0</v>
      </c>
      <c r="BG45" s="60">
        <f t="shared" si="40"/>
        <v>0</v>
      </c>
      <c r="BH45" s="60">
        <f t="shared" si="41"/>
        <v>0</v>
      </c>
      <c r="BI45" s="55">
        <f>VLOOKUP(AA45,Table1533[#All],2,FALSE)</f>
        <v>1.25</v>
      </c>
      <c r="BJ45" s="55">
        <f t="shared" si="42"/>
        <v>0</v>
      </c>
      <c r="BK45" s="43" t="str">
        <f t="shared" si="43"/>
        <v>0</v>
      </c>
      <c r="BL45" s="62">
        <f t="shared" si="26"/>
        <v>0</v>
      </c>
      <c r="BN45" s="6"/>
      <c r="BO45" s="6"/>
      <c r="BP45" s="6"/>
      <c r="BQ45" s="6"/>
      <c r="BR45" s="6"/>
      <c r="BS45" s="6"/>
      <c r="BT45" s="6"/>
      <c r="BU45" s="9"/>
      <c r="CH45" s="148" t="s">
        <v>200</v>
      </c>
      <c r="CI45" s="151">
        <v>5.36</v>
      </c>
      <c r="CJ45" s="145">
        <f t="shared" si="30"/>
        <v>5.8960000000000008</v>
      </c>
      <c r="CK45" s="150">
        <v>1.5</v>
      </c>
      <c r="CL45" s="277">
        <f>(L47*H47)/12</f>
        <v>0</v>
      </c>
    </row>
    <row r="46" spans="1:90" ht="12" hidden="1" customHeight="1" x14ac:dyDescent="0.6">
      <c r="A46" s="42"/>
      <c r="B46" s="230"/>
      <c r="C46" s="231"/>
      <c r="D46" s="231"/>
      <c r="E46" s="232"/>
      <c r="F46" s="43"/>
      <c r="G46" s="43"/>
      <c r="H46" s="44"/>
      <c r="I46" s="45"/>
      <c r="J46" s="43"/>
      <c r="K46" s="46"/>
      <c r="L46" s="47">
        <f t="shared" si="0"/>
        <v>0</v>
      </c>
      <c r="M46" s="43"/>
      <c r="N46" s="43"/>
      <c r="O46" s="43"/>
      <c r="P46" s="46"/>
      <c r="Q46" s="47">
        <f t="shared" si="21"/>
        <v>0</v>
      </c>
      <c r="R46" s="233"/>
      <c r="S46" s="234"/>
      <c r="T46" s="230"/>
      <c r="U46" s="231"/>
      <c r="V46" s="231"/>
      <c r="W46" s="232"/>
      <c r="X46" s="235" t="str">
        <f>IFERROR(INDEX(Table3923[],MATCH(R46,Table3923[Column1],),3),"")</f>
        <v/>
      </c>
      <c r="Y46" s="235"/>
      <c r="Z46" s="48" t="s">
        <v>85</v>
      </c>
      <c r="AA46" s="48" t="s">
        <v>85</v>
      </c>
      <c r="AB46" s="49"/>
      <c r="AC46" s="50"/>
      <c r="AD46" s="51">
        <f t="shared" si="31"/>
        <v>0</v>
      </c>
      <c r="AG46" s="52">
        <f t="shared" si="2"/>
        <v>0</v>
      </c>
      <c r="AH46" s="53"/>
      <c r="AM46" s="55">
        <f t="shared" si="3"/>
        <v>0</v>
      </c>
      <c r="AN46" s="55">
        <f t="shared" si="4"/>
        <v>0</v>
      </c>
      <c r="AO46" s="55">
        <f t="shared" si="32"/>
        <v>0</v>
      </c>
      <c r="AP46" s="56">
        <f t="shared" si="33"/>
        <v>0</v>
      </c>
      <c r="AQ46" s="55" t="str">
        <f t="shared" si="22"/>
        <v>0.00</v>
      </c>
      <c r="AR46" s="55" t="str">
        <f t="shared" si="34"/>
        <v>0</v>
      </c>
      <c r="AS46" s="57">
        <f t="shared" si="23"/>
        <v>0</v>
      </c>
      <c r="AT46" s="58">
        <f t="shared" si="8"/>
        <v>0</v>
      </c>
      <c r="AU46" s="57">
        <f t="shared" si="9"/>
        <v>0</v>
      </c>
      <c r="AV46" s="59">
        <f t="shared" si="24"/>
        <v>0</v>
      </c>
      <c r="AW46" s="59">
        <f t="shared" si="10"/>
        <v>0</v>
      </c>
      <c r="AX46" s="9"/>
      <c r="AY46" s="60">
        <f t="shared" si="35"/>
        <v>0</v>
      </c>
      <c r="AZ46" s="61">
        <f>_xlfn.IFNA(INDEX(Table3923[Column4],MATCH(R46,Table3923[Column1],0)),1.5)</f>
        <v>1.5</v>
      </c>
      <c r="BA46" s="62">
        <f>VLOOKUP(Z46,Table1331[#All],2,FALSE)</f>
        <v>1</v>
      </c>
      <c r="BB46" s="61">
        <f t="shared" si="25"/>
        <v>1.5</v>
      </c>
      <c r="BC46" s="55">
        <f t="shared" si="36"/>
        <v>0</v>
      </c>
      <c r="BD46" s="43">
        <f t="shared" si="37"/>
        <v>0</v>
      </c>
      <c r="BE46" s="63">
        <f t="shared" si="38"/>
        <v>0</v>
      </c>
      <c r="BF46" s="60">
        <f t="shared" si="39"/>
        <v>0</v>
      </c>
      <c r="BG46" s="60">
        <f t="shared" si="40"/>
        <v>0</v>
      </c>
      <c r="BH46" s="60">
        <f t="shared" si="41"/>
        <v>0</v>
      </c>
      <c r="BI46" s="55">
        <f>VLOOKUP(AA46,Table1533[#All],2,FALSE)</f>
        <v>1.25</v>
      </c>
      <c r="BJ46" s="55">
        <f t="shared" si="42"/>
        <v>0</v>
      </c>
      <c r="BK46" s="43" t="str">
        <f t="shared" si="43"/>
        <v>0</v>
      </c>
      <c r="BL46" s="62">
        <f t="shared" si="26"/>
        <v>0</v>
      </c>
      <c r="BN46" s="6"/>
      <c r="BO46" s="6"/>
      <c r="BP46" s="6"/>
      <c r="BQ46" s="6"/>
      <c r="BR46" s="6"/>
      <c r="BS46" s="6"/>
      <c r="BT46" s="6"/>
      <c r="BU46" s="9"/>
      <c r="CH46" s="148" t="s">
        <v>201</v>
      </c>
      <c r="CI46" s="149">
        <v>5.36</v>
      </c>
      <c r="CJ46" s="145">
        <f t="shared" si="30"/>
        <v>5.8960000000000008</v>
      </c>
      <c r="CK46" s="150">
        <v>1.5</v>
      </c>
      <c r="CL46" s="277">
        <f>(L48*H48)/12</f>
        <v>0</v>
      </c>
    </row>
    <row r="47" spans="1:90" ht="12" hidden="1" customHeight="1" x14ac:dyDescent="0.6">
      <c r="A47" s="42"/>
      <c r="B47" s="230"/>
      <c r="C47" s="231"/>
      <c r="D47" s="231"/>
      <c r="E47" s="232"/>
      <c r="F47" s="43"/>
      <c r="G47" s="43"/>
      <c r="H47" s="44"/>
      <c r="I47" s="45"/>
      <c r="J47" s="43"/>
      <c r="K47" s="46"/>
      <c r="L47" s="47">
        <f t="shared" si="0"/>
        <v>0</v>
      </c>
      <c r="M47" s="43"/>
      <c r="N47" s="43"/>
      <c r="O47" s="43"/>
      <c r="P47" s="46"/>
      <c r="Q47" s="47">
        <f t="shared" si="21"/>
        <v>0</v>
      </c>
      <c r="R47" s="233"/>
      <c r="S47" s="234"/>
      <c r="T47" s="230"/>
      <c r="U47" s="231"/>
      <c r="V47" s="231"/>
      <c r="W47" s="232"/>
      <c r="X47" s="235" t="str">
        <f>IFERROR(INDEX(Table3923[],MATCH(R47,Table3923[Column1],),3),"")</f>
        <v/>
      </c>
      <c r="Y47" s="235"/>
      <c r="Z47" s="48" t="s">
        <v>85</v>
      </c>
      <c r="AA47" s="48" t="s">
        <v>85</v>
      </c>
      <c r="AB47" s="49"/>
      <c r="AC47" s="50"/>
      <c r="AD47" s="51">
        <f t="shared" si="31"/>
        <v>0</v>
      </c>
      <c r="AG47" s="52">
        <f t="shared" si="2"/>
        <v>0</v>
      </c>
      <c r="AH47" s="53"/>
      <c r="AM47" s="55">
        <f t="shared" si="3"/>
        <v>0</v>
      </c>
      <c r="AN47" s="55">
        <f t="shared" si="4"/>
        <v>0</v>
      </c>
      <c r="AO47" s="55">
        <f t="shared" si="32"/>
        <v>0</v>
      </c>
      <c r="AP47" s="56">
        <f t="shared" si="33"/>
        <v>0</v>
      </c>
      <c r="AQ47" s="55" t="str">
        <f t="shared" si="22"/>
        <v>0.00</v>
      </c>
      <c r="AR47" s="55" t="str">
        <f t="shared" si="34"/>
        <v>0</v>
      </c>
      <c r="AS47" s="57">
        <f t="shared" si="23"/>
        <v>0</v>
      </c>
      <c r="AT47" s="58">
        <f t="shared" si="8"/>
        <v>0</v>
      </c>
      <c r="AU47" s="57">
        <f t="shared" si="9"/>
        <v>0</v>
      </c>
      <c r="AV47" s="59">
        <f t="shared" si="24"/>
        <v>0</v>
      </c>
      <c r="AW47" s="59">
        <f t="shared" si="10"/>
        <v>0</v>
      </c>
      <c r="AX47" s="9"/>
      <c r="AY47" s="60">
        <f t="shared" si="35"/>
        <v>0</v>
      </c>
      <c r="AZ47" s="61">
        <f>_xlfn.IFNA(INDEX(Table3923[Column4],MATCH(R47,Table3923[Column1],0)),1.5)</f>
        <v>1.5</v>
      </c>
      <c r="BA47" s="62">
        <f>VLOOKUP(Z47,Table1331[#All],2,FALSE)</f>
        <v>1</v>
      </c>
      <c r="BB47" s="61">
        <f t="shared" si="25"/>
        <v>1.5</v>
      </c>
      <c r="BC47" s="55">
        <f t="shared" si="36"/>
        <v>0</v>
      </c>
      <c r="BD47" s="43">
        <f t="shared" si="37"/>
        <v>0</v>
      </c>
      <c r="BE47" s="63">
        <f t="shared" si="38"/>
        <v>0</v>
      </c>
      <c r="BF47" s="60">
        <f t="shared" si="39"/>
        <v>0</v>
      </c>
      <c r="BG47" s="60">
        <f t="shared" si="40"/>
        <v>0</v>
      </c>
      <c r="BH47" s="60">
        <f t="shared" si="41"/>
        <v>0</v>
      </c>
      <c r="BI47" s="55">
        <f>VLOOKUP(AA47,Table1533[#All],2,FALSE)</f>
        <v>1.25</v>
      </c>
      <c r="BJ47" s="55">
        <f t="shared" si="42"/>
        <v>0</v>
      </c>
      <c r="BK47" s="43" t="str">
        <f t="shared" si="43"/>
        <v>0</v>
      </c>
      <c r="BL47" s="62">
        <f t="shared" si="26"/>
        <v>0</v>
      </c>
      <c r="BN47" s="6"/>
      <c r="BO47" s="6"/>
      <c r="BP47" s="6"/>
      <c r="BQ47" s="6"/>
      <c r="BR47" s="6"/>
      <c r="BS47" s="6"/>
      <c r="BT47" s="6"/>
      <c r="BU47" s="9"/>
      <c r="CH47" s="148" t="s">
        <v>202</v>
      </c>
      <c r="CI47" s="151">
        <v>5.25</v>
      </c>
      <c r="CJ47" s="145">
        <f t="shared" si="30"/>
        <v>5.7750000000000004</v>
      </c>
      <c r="CK47" s="150">
        <v>1.5</v>
      </c>
      <c r="CL47" s="277">
        <f>(L49*H49)/12</f>
        <v>0</v>
      </c>
    </row>
    <row r="48" spans="1:90" ht="12" hidden="1" customHeight="1" x14ac:dyDescent="0.6">
      <c r="A48" s="42"/>
      <c r="B48" s="230"/>
      <c r="C48" s="231"/>
      <c r="D48" s="231"/>
      <c r="E48" s="232"/>
      <c r="F48" s="43"/>
      <c r="G48" s="43"/>
      <c r="H48" s="44"/>
      <c r="I48" s="45"/>
      <c r="J48" s="43"/>
      <c r="K48" s="46"/>
      <c r="L48" s="47">
        <f t="shared" si="0"/>
        <v>0</v>
      </c>
      <c r="M48" s="43"/>
      <c r="N48" s="43"/>
      <c r="O48" s="43"/>
      <c r="P48" s="46"/>
      <c r="Q48" s="47">
        <f t="shared" si="21"/>
        <v>0</v>
      </c>
      <c r="R48" s="233"/>
      <c r="S48" s="234"/>
      <c r="T48" s="230"/>
      <c r="U48" s="231"/>
      <c r="V48" s="231"/>
      <c r="W48" s="232"/>
      <c r="X48" s="235" t="str">
        <f>IFERROR(INDEX(Table3923[],MATCH(R48,Table3923[Column1],),3),"")</f>
        <v/>
      </c>
      <c r="Y48" s="235"/>
      <c r="Z48" s="48" t="s">
        <v>85</v>
      </c>
      <c r="AA48" s="48" t="s">
        <v>85</v>
      </c>
      <c r="AB48" s="49"/>
      <c r="AC48" s="50"/>
      <c r="AD48" s="51">
        <f t="shared" si="31"/>
        <v>0</v>
      </c>
      <c r="AG48" s="52">
        <f t="shared" si="2"/>
        <v>0</v>
      </c>
      <c r="AH48" s="53"/>
      <c r="AM48" s="55">
        <f t="shared" si="3"/>
        <v>0</v>
      </c>
      <c r="AN48" s="55">
        <f t="shared" si="4"/>
        <v>0</v>
      </c>
      <c r="AO48" s="55">
        <f t="shared" si="32"/>
        <v>0</v>
      </c>
      <c r="AP48" s="56">
        <f t="shared" si="33"/>
        <v>0</v>
      </c>
      <c r="AQ48" s="55" t="str">
        <f t="shared" si="22"/>
        <v>0.00</v>
      </c>
      <c r="AR48" s="55" t="str">
        <f t="shared" si="34"/>
        <v>0</v>
      </c>
      <c r="AS48" s="57">
        <f t="shared" si="23"/>
        <v>0</v>
      </c>
      <c r="AT48" s="58">
        <f t="shared" si="8"/>
        <v>0</v>
      </c>
      <c r="AU48" s="57">
        <f t="shared" si="9"/>
        <v>0</v>
      </c>
      <c r="AV48" s="59">
        <f t="shared" si="24"/>
        <v>0</v>
      </c>
      <c r="AW48" s="59">
        <f t="shared" si="10"/>
        <v>0</v>
      </c>
      <c r="AX48" s="9"/>
      <c r="AY48" s="60">
        <f t="shared" si="35"/>
        <v>0</v>
      </c>
      <c r="AZ48" s="61">
        <f>_xlfn.IFNA(INDEX(Table3923[Column4],MATCH(R48,Table3923[Column1],0)),1.5)</f>
        <v>1.5</v>
      </c>
      <c r="BA48" s="62">
        <f>VLOOKUP(Z48,Table1331[#All],2,FALSE)</f>
        <v>1</v>
      </c>
      <c r="BB48" s="61">
        <f t="shared" si="25"/>
        <v>1.5</v>
      </c>
      <c r="BC48" s="55">
        <f t="shared" si="36"/>
        <v>0</v>
      </c>
      <c r="BD48" s="43">
        <f t="shared" si="37"/>
        <v>0</v>
      </c>
      <c r="BE48" s="63">
        <f t="shared" si="38"/>
        <v>0</v>
      </c>
      <c r="BF48" s="60">
        <f t="shared" si="39"/>
        <v>0</v>
      </c>
      <c r="BG48" s="60">
        <f t="shared" si="40"/>
        <v>0</v>
      </c>
      <c r="BH48" s="60">
        <f t="shared" si="41"/>
        <v>0</v>
      </c>
      <c r="BI48" s="55">
        <f>VLOOKUP(AA48,Table1533[#All],2,FALSE)</f>
        <v>1.25</v>
      </c>
      <c r="BJ48" s="55">
        <f t="shared" si="42"/>
        <v>0</v>
      </c>
      <c r="BK48" s="43" t="str">
        <f t="shared" si="43"/>
        <v>0</v>
      </c>
      <c r="BL48" s="62">
        <f t="shared" si="26"/>
        <v>0</v>
      </c>
      <c r="BN48" s="6"/>
      <c r="BO48" s="6"/>
      <c r="BP48" s="6"/>
      <c r="BQ48" s="6"/>
      <c r="BR48" s="6"/>
      <c r="BS48" s="6"/>
      <c r="BT48" s="6"/>
      <c r="BU48" s="9"/>
      <c r="CH48" s="148" t="s">
        <v>203</v>
      </c>
      <c r="CI48" s="149">
        <v>5.25</v>
      </c>
      <c r="CJ48" s="145">
        <f t="shared" si="30"/>
        <v>5.7750000000000004</v>
      </c>
      <c r="CK48" s="150">
        <v>1.5</v>
      </c>
      <c r="CL48" s="277">
        <f>(L50*H50)/12</f>
        <v>0</v>
      </c>
    </row>
    <row r="49" spans="1:90" ht="12" hidden="1" customHeight="1" x14ac:dyDescent="0.6">
      <c r="A49" s="42"/>
      <c r="B49" s="230"/>
      <c r="C49" s="231"/>
      <c r="D49" s="231"/>
      <c r="E49" s="232"/>
      <c r="F49" s="43"/>
      <c r="G49" s="43"/>
      <c r="H49" s="44"/>
      <c r="I49" s="45"/>
      <c r="J49" s="43"/>
      <c r="K49" s="46"/>
      <c r="L49" s="47">
        <f t="shared" si="0"/>
        <v>0</v>
      </c>
      <c r="M49" s="43"/>
      <c r="N49" s="43"/>
      <c r="O49" s="43"/>
      <c r="P49" s="46"/>
      <c r="Q49" s="47">
        <f t="shared" si="21"/>
        <v>0</v>
      </c>
      <c r="R49" s="233"/>
      <c r="S49" s="234"/>
      <c r="T49" s="230"/>
      <c r="U49" s="231"/>
      <c r="V49" s="231"/>
      <c r="W49" s="232"/>
      <c r="X49" s="235" t="str">
        <f>IFERROR(INDEX(Table3923[],MATCH(R49,Table3923[Column1],),3),"")</f>
        <v/>
      </c>
      <c r="Y49" s="235"/>
      <c r="Z49" s="48" t="s">
        <v>85</v>
      </c>
      <c r="AA49" s="48" t="s">
        <v>85</v>
      </c>
      <c r="AB49" s="49"/>
      <c r="AC49" s="50"/>
      <c r="AD49" s="51">
        <f t="shared" si="31"/>
        <v>0</v>
      </c>
      <c r="AG49" s="52">
        <f t="shared" si="2"/>
        <v>0</v>
      </c>
      <c r="AH49" s="53"/>
      <c r="AM49" s="55">
        <f t="shared" si="3"/>
        <v>0</v>
      </c>
      <c r="AN49" s="55">
        <f t="shared" si="4"/>
        <v>0</v>
      </c>
      <c r="AO49" s="55">
        <f t="shared" si="32"/>
        <v>0</v>
      </c>
      <c r="AP49" s="56">
        <f t="shared" si="33"/>
        <v>0</v>
      </c>
      <c r="AQ49" s="55" t="str">
        <f t="shared" si="22"/>
        <v>0.00</v>
      </c>
      <c r="AR49" s="55" t="str">
        <f t="shared" si="34"/>
        <v>0</v>
      </c>
      <c r="AS49" s="57">
        <f t="shared" si="23"/>
        <v>0</v>
      </c>
      <c r="AT49" s="58">
        <f t="shared" si="8"/>
        <v>0</v>
      </c>
      <c r="AU49" s="57">
        <f t="shared" si="9"/>
        <v>0</v>
      </c>
      <c r="AV49" s="59">
        <f t="shared" si="24"/>
        <v>0</v>
      </c>
      <c r="AW49" s="59">
        <f t="shared" si="10"/>
        <v>0</v>
      </c>
      <c r="AX49" s="9"/>
      <c r="AY49" s="60">
        <f t="shared" si="35"/>
        <v>0</v>
      </c>
      <c r="AZ49" s="61">
        <f>_xlfn.IFNA(INDEX(Table3923[Column4],MATCH(R49,Table3923[Column1],0)),1.5)</f>
        <v>1.5</v>
      </c>
      <c r="BA49" s="62">
        <f>VLOOKUP(Z49,Table1331[#All],2,FALSE)</f>
        <v>1</v>
      </c>
      <c r="BB49" s="61">
        <f t="shared" si="25"/>
        <v>1.5</v>
      </c>
      <c r="BC49" s="55">
        <f t="shared" si="36"/>
        <v>0</v>
      </c>
      <c r="BD49" s="43">
        <f t="shared" si="37"/>
        <v>0</v>
      </c>
      <c r="BE49" s="63">
        <f t="shared" si="38"/>
        <v>0</v>
      </c>
      <c r="BF49" s="60">
        <f t="shared" si="39"/>
        <v>0</v>
      </c>
      <c r="BG49" s="60">
        <f t="shared" si="40"/>
        <v>0</v>
      </c>
      <c r="BH49" s="60">
        <f t="shared" si="41"/>
        <v>0</v>
      </c>
      <c r="BI49" s="55">
        <f>VLOOKUP(AA49,Table1533[#All],2,FALSE)</f>
        <v>1.25</v>
      </c>
      <c r="BJ49" s="55">
        <f t="shared" si="42"/>
        <v>0</v>
      </c>
      <c r="BK49" s="43" t="str">
        <f t="shared" si="43"/>
        <v>0</v>
      </c>
      <c r="BL49" s="62">
        <f t="shared" si="26"/>
        <v>0</v>
      </c>
      <c r="BN49" s="6"/>
      <c r="BO49" s="6"/>
      <c r="BP49" s="6"/>
      <c r="BQ49" s="6"/>
      <c r="BR49" s="6"/>
      <c r="BS49" s="6"/>
      <c r="BT49" s="6"/>
      <c r="BU49" s="9"/>
      <c r="CH49" s="148" t="s">
        <v>204</v>
      </c>
      <c r="CI49" s="151">
        <v>4.12</v>
      </c>
      <c r="CJ49" s="145">
        <f>CI49*1.1</f>
        <v>4.5320000000000009</v>
      </c>
      <c r="CK49" s="150">
        <v>1.5</v>
      </c>
      <c r="CL49" s="277">
        <f>(L51*H51)/12</f>
        <v>0</v>
      </c>
    </row>
    <row r="50" spans="1:90" ht="12" hidden="1" customHeight="1" x14ac:dyDescent="0.6">
      <c r="A50" s="42"/>
      <c r="B50" s="230"/>
      <c r="C50" s="231"/>
      <c r="D50" s="231"/>
      <c r="E50" s="232"/>
      <c r="F50" s="43"/>
      <c r="G50" s="43"/>
      <c r="H50" s="44"/>
      <c r="I50" s="45"/>
      <c r="J50" s="43"/>
      <c r="K50" s="46"/>
      <c r="L50" s="47">
        <f t="shared" si="0"/>
        <v>0</v>
      </c>
      <c r="M50" s="43"/>
      <c r="N50" s="43"/>
      <c r="O50" s="43"/>
      <c r="P50" s="46"/>
      <c r="Q50" s="47">
        <f t="shared" si="21"/>
        <v>0</v>
      </c>
      <c r="R50" s="233"/>
      <c r="S50" s="234"/>
      <c r="T50" s="230"/>
      <c r="U50" s="231"/>
      <c r="V50" s="231"/>
      <c r="W50" s="232"/>
      <c r="X50" s="235" t="str">
        <f>IFERROR(INDEX(Table3923[],MATCH(R50,Table3923[Column1],),3),"")</f>
        <v/>
      </c>
      <c r="Y50" s="235"/>
      <c r="Z50" s="48" t="s">
        <v>85</v>
      </c>
      <c r="AA50" s="48" t="s">
        <v>85</v>
      </c>
      <c r="AB50" s="49"/>
      <c r="AC50" s="50"/>
      <c r="AD50" s="51">
        <f t="shared" si="31"/>
        <v>0</v>
      </c>
      <c r="AG50" s="52">
        <f t="shared" si="2"/>
        <v>0</v>
      </c>
      <c r="AH50" s="53"/>
      <c r="AM50" s="55">
        <f t="shared" si="3"/>
        <v>0</v>
      </c>
      <c r="AN50" s="55">
        <f t="shared" si="4"/>
        <v>0</v>
      </c>
      <c r="AO50" s="55">
        <f t="shared" si="32"/>
        <v>0</v>
      </c>
      <c r="AP50" s="56">
        <f t="shared" si="33"/>
        <v>0</v>
      </c>
      <c r="AQ50" s="55" t="str">
        <f t="shared" si="22"/>
        <v>0.00</v>
      </c>
      <c r="AR50" s="55" t="str">
        <f t="shared" si="34"/>
        <v>0</v>
      </c>
      <c r="AS50" s="57">
        <f t="shared" si="23"/>
        <v>0</v>
      </c>
      <c r="AT50" s="58">
        <f t="shared" si="8"/>
        <v>0</v>
      </c>
      <c r="AU50" s="57">
        <f t="shared" si="9"/>
        <v>0</v>
      </c>
      <c r="AV50" s="59">
        <f t="shared" si="24"/>
        <v>0</v>
      </c>
      <c r="AW50" s="59">
        <f t="shared" si="10"/>
        <v>0</v>
      </c>
      <c r="AX50" s="9"/>
      <c r="AY50" s="60">
        <f t="shared" si="35"/>
        <v>0</v>
      </c>
      <c r="AZ50" s="61">
        <f>_xlfn.IFNA(INDEX(Table3923[Column4],MATCH(R50,Table3923[Column1],0)),1.5)</f>
        <v>1.5</v>
      </c>
      <c r="BA50" s="62">
        <f>VLOOKUP(Z50,Table1331[#All],2,FALSE)</f>
        <v>1</v>
      </c>
      <c r="BB50" s="61">
        <f t="shared" si="25"/>
        <v>1.5</v>
      </c>
      <c r="BC50" s="55">
        <f t="shared" si="36"/>
        <v>0</v>
      </c>
      <c r="BD50" s="43">
        <f t="shared" si="37"/>
        <v>0</v>
      </c>
      <c r="BE50" s="63">
        <f t="shared" si="38"/>
        <v>0</v>
      </c>
      <c r="BF50" s="60">
        <f t="shared" si="39"/>
        <v>0</v>
      </c>
      <c r="BG50" s="60">
        <f t="shared" si="40"/>
        <v>0</v>
      </c>
      <c r="BH50" s="60">
        <f t="shared" si="41"/>
        <v>0</v>
      </c>
      <c r="BI50" s="55">
        <f>VLOOKUP(AA50,Table1533[#All],2,FALSE)</f>
        <v>1.25</v>
      </c>
      <c r="BJ50" s="55">
        <f t="shared" si="42"/>
        <v>0</v>
      </c>
      <c r="BK50" s="43" t="str">
        <f t="shared" si="43"/>
        <v>0</v>
      </c>
      <c r="BL50" s="62">
        <f t="shared" si="26"/>
        <v>0</v>
      </c>
      <c r="BN50" s="6"/>
      <c r="BO50" s="6"/>
      <c r="BP50" s="6"/>
      <c r="BQ50" s="6"/>
      <c r="BR50" s="6"/>
      <c r="BS50" s="6"/>
      <c r="BT50" s="6"/>
      <c r="BU50" s="9"/>
      <c r="CH50" s="148" t="s">
        <v>205</v>
      </c>
      <c r="CI50" s="149">
        <v>1.59</v>
      </c>
      <c r="CJ50" s="145">
        <f>CI50*1.1</f>
        <v>1.7490000000000003</v>
      </c>
      <c r="CK50" s="150">
        <v>1.5</v>
      </c>
      <c r="CL50" s="277">
        <f>(L52*H52)/12</f>
        <v>0</v>
      </c>
    </row>
    <row r="51" spans="1:90" ht="12" hidden="1" customHeight="1" x14ac:dyDescent="0.6">
      <c r="A51" s="42"/>
      <c r="B51" s="230"/>
      <c r="C51" s="231"/>
      <c r="D51" s="231"/>
      <c r="E51" s="232"/>
      <c r="F51" s="43"/>
      <c r="G51" s="43"/>
      <c r="H51" s="44"/>
      <c r="I51" s="45"/>
      <c r="J51" s="43"/>
      <c r="K51" s="46"/>
      <c r="L51" s="47">
        <f t="shared" si="0"/>
        <v>0</v>
      </c>
      <c r="M51" s="43"/>
      <c r="N51" s="43"/>
      <c r="O51" s="43"/>
      <c r="P51" s="46"/>
      <c r="Q51" s="47">
        <f t="shared" si="21"/>
        <v>0</v>
      </c>
      <c r="R51" s="233"/>
      <c r="S51" s="234"/>
      <c r="T51" s="230"/>
      <c r="U51" s="231"/>
      <c r="V51" s="231"/>
      <c r="W51" s="232"/>
      <c r="X51" s="235" t="str">
        <f>IFERROR(INDEX(Table3923[],MATCH(R51,Table3923[Column1],),3),"")</f>
        <v/>
      </c>
      <c r="Y51" s="235"/>
      <c r="Z51" s="48" t="s">
        <v>85</v>
      </c>
      <c r="AA51" s="48" t="s">
        <v>85</v>
      </c>
      <c r="AB51" s="49"/>
      <c r="AC51" s="50"/>
      <c r="AD51" s="51">
        <f t="shared" si="31"/>
        <v>0</v>
      </c>
      <c r="AG51" s="52">
        <f t="shared" si="2"/>
        <v>0</v>
      </c>
      <c r="AH51" s="53"/>
      <c r="AM51" s="55">
        <f t="shared" si="3"/>
        <v>0</v>
      </c>
      <c r="AN51" s="55">
        <f t="shared" si="4"/>
        <v>0</v>
      </c>
      <c r="AO51" s="55">
        <f t="shared" si="32"/>
        <v>0</v>
      </c>
      <c r="AP51" s="56">
        <f t="shared" si="33"/>
        <v>0</v>
      </c>
      <c r="AQ51" s="55" t="str">
        <f t="shared" si="22"/>
        <v>0.00</v>
      </c>
      <c r="AR51" s="55" t="str">
        <f t="shared" si="34"/>
        <v>0</v>
      </c>
      <c r="AS51" s="57">
        <f t="shared" si="23"/>
        <v>0</v>
      </c>
      <c r="AT51" s="58">
        <f t="shared" si="8"/>
        <v>0</v>
      </c>
      <c r="AU51" s="57">
        <f t="shared" si="9"/>
        <v>0</v>
      </c>
      <c r="AV51" s="59">
        <f t="shared" si="24"/>
        <v>0</v>
      </c>
      <c r="AW51" s="59">
        <f t="shared" si="10"/>
        <v>0</v>
      </c>
      <c r="AX51" s="9"/>
      <c r="AY51" s="60">
        <f t="shared" si="35"/>
        <v>0</v>
      </c>
      <c r="AZ51" s="61">
        <f>_xlfn.IFNA(INDEX(Table3923[Column4],MATCH(R51,Table3923[Column1],0)),1.5)</f>
        <v>1.5</v>
      </c>
      <c r="BA51" s="62">
        <f>VLOOKUP(Z51,Table1331[#All],2,FALSE)</f>
        <v>1</v>
      </c>
      <c r="BB51" s="61">
        <f t="shared" si="25"/>
        <v>1.5</v>
      </c>
      <c r="BC51" s="55">
        <f t="shared" si="36"/>
        <v>0</v>
      </c>
      <c r="BD51" s="43">
        <f t="shared" si="37"/>
        <v>0</v>
      </c>
      <c r="BE51" s="63">
        <f t="shared" si="38"/>
        <v>0</v>
      </c>
      <c r="BF51" s="60">
        <f t="shared" si="39"/>
        <v>0</v>
      </c>
      <c r="BG51" s="60">
        <f t="shared" si="40"/>
        <v>0</v>
      </c>
      <c r="BH51" s="60">
        <f t="shared" si="41"/>
        <v>0</v>
      </c>
      <c r="BI51" s="55">
        <f>VLOOKUP(AA51,Table1533[#All],2,FALSE)</f>
        <v>1.25</v>
      </c>
      <c r="BJ51" s="55">
        <f t="shared" si="42"/>
        <v>0</v>
      </c>
      <c r="BK51" s="43" t="str">
        <f t="shared" si="43"/>
        <v>0</v>
      </c>
      <c r="BL51" s="62">
        <f t="shared" si="26"/>
        <v>0</v>
      </c>
      <c r="BN51" s="6"/>
      <c r="BO51" s="6"/>
      <c r="BP51" s="6"/>
      <c r="BQ51" s="6"/>
      <c r="BR51" s="6"/>
      <c r="BS51" s="6"/>
      <c r="BT51" s="6"/>
      <c r="BU51" s="9"/>
      <c r="CH51" s="148" t="s">
        <v>206</v>
      </c>
      <c r="CI51" s="151">
        <v>1.59</v>
      </c>
      <c r="CJ51" s="145">
        <f>CI51*1.1</f>
        <v>1.7490000000000003</v>
      </c>
      <c r="CK51" s="150">
        <v>1.5</v>
      </c>
      <c r="CL51" s="277">
        <f>(L53*H53)/12</f>
        <v>0</v>
      </c>
    </row>
    <row r="52" spans="1:90" ht="12" hidden="1" customHeight="1" x14ac:dyDescent="0.6">
      <c r="A52" s="42"/>
      <c r="B52" s="230"/>
      <c r="C52" s="231"/>
      <c r="D52" s="231"/>
      <c r="E52" s="232"/>
      <c r="F52" s="43"/>
      <c r="G52" s="43"/>
      <c r="H52" s="44"/>
      <c r="I52" s="45"/>
      <c r="J52" s="43"/>
      <c r="K52" s="46"/>
      <c r="L52" s="47">
        <f t="shared" si="0"/>
        <v>0</v>
      </c>
      <c r="M52" s="43"/>
      <c r="N52" s="43"/>
      <c r="O52" s="43"/>
      <c r="P52" s="46"/>
      <c r="Q52" s="47">
        <f t="shared" si="21"/>
        <v>0</v>
      </c>
      <c r="R52" s="233"/>
      <c r="S52" s="234"/>
      <c r="T52" s="230"/>
      <c r="U52" s="231"/>
      <c r="V52" s="231"/>
      <c r="W52" s="232"/>
      <c r="X52" s="235" t="str">
        <f>IFERROR(INDEX(Table3923[],MATCH(R52,Table3923[Column1],),3),"")</f>
        <v/>
      </c>
      <c r="Y52" s="235"/>
      <c r="Z52" s="48" t="s">
        <v>85</v>
      </c>
      <c r="AA52" s="48" t="s">
        <v>85</v>
      </c>
      <c r="AB52" s="49"/>
      <c r="AC52" s="50"/>
      <c r="AD52" s="51">
        <f t="shared" si="31"/>
        <v>0</v>
      </c>
      <c r="AG52" s="52">
        <f t="shared" si="2"/>
        <v>0</v>
      </c>
      <c r="AH52" s="53"/>
      <c r="AM52" s="55">
        <f t="shared" si="3"/>
        <v>0</v>
      </c>
      <c r="AN52" s="55">
        <f t="shared" si="4"/>
        <v>0</v>
      </c>
      <c r="AO52" s="55">
        <f t="shared" si="32"/>
        <v>0</v>
      </c>
      <c r="AP52" s="56">
        <f t="shared" si="33"/>
        <v>0</v>
      </c>
      <c r="AQ52" s="55" t="str">
        <f t="shared" si="22"/>
        <v>0.00</v>
      </c>
      <c r="AR52" s="55" t="str">
        <f t="shared" si="34"/>
        <v>0</v>
      </c>
      <c r="AS52" s="57">
        <f t="shared" si="23"/>
        <v>0</v>
      </c>
      <c r="AT52" s="58">
        <f t="shared" si="8"/>
        <v>0</v>
      </c>
      <c r="AU52" s="57">
        <f t="shared" si="9"/>
        <v>0</v>
      </c>
      <c r="AV52" s="59">
        <f t="shared" si="24"/>
        <v>0</v>
      </c>
      <c r="AW52" s="59">
        <f t="shared" si="10"/>
        <v>0</v>
      </c>
      <c r="AX52" s="9"/>
      <c r="AY52" s="60">
        <f t="shared" si="35"/>
        <v>0</v>
      </c>
      <c r="AZ52" s="61">
        <f>_xlfn.IFNA(INDEX(Table3923[Column4],MATCH(R52,Table3923[Column1],0)),1.5)</f>
        <v>1.5</v>
      </c>
      <c r="BA52" s="62">
        <f>VLOOKUP(Z52,Table1331[#All],2,FALSE)</f>
        <v>1</v>
      </c>
      <c r="BB52" s="61">
        <f t="shared" si="25"/>
        <v>1.5</v>
      </c>
      <c r="BC52" s="55">
        <f t="shared" si="36"/>
        <v>0</v>
      </c>
      <c r="BD52" s="43">
        <f t="shared" si="37"/>
        <v>0</v>
      </c>
      <c r="BE52" s="63">
        <f t="shared" si="38"/>
        <v>0</v>
      </c>
      <c r="BF52" s="60">
        <f t="shared" si="39"/>
        <v>0</v>
      </c>
      <c r="BG52" s="60">
        <f t="shared" si="40"/>
        <v>0</v>
      </c>
      <c r="BH52" s="60">
        <f t="shared" si="41"/>
        <v>0</v>
      </c>
      <c r="BI52" s="55">
        <f>VLOOKUP(AA52,Table1533[#All],2,FALSE)</f>
        <v>1.25</v>
      </c>
      <c r="BJ52" s="55">
        <f t="shared" si="42"/>
        <v>0</v>
      </c>
      <c r="BK52" s="43" t="str">
        <f t="shared" si="43"/>
        <v>0</v>
      </c>
      <c r="BL52" s="62">
        <f t="shared" si="26"/>
        <v>0</v>
      </c>
      <c r="BN52" s="6"/>
      <c r="BO52" s="6"/>
      <c r="BP52" s="6"/>
      <c r="BQ52" s="6"/>
      <c r="BR52" s="6"/>
      <c r="BS52" s="6"/>
      <c r="BT52" s="6"/>
      <c r="BU52" s="9"/>
      <c r="CH52" s="148" t="s">
        <v>207</v>
      </c>
      <c r="CI52" s="149">
        <v>4.0199999999999996</v>
      </c>
      <c r="CJ52" s="145">
        <f t="shared" si="30"/>
        <v>4.4219999999999997</v>
      </c>
      <c r="CK52" s="150">
        <v>1.75</v>
      </c>
      <c r="CL52" s="277">
        <f>(L54*H54)/12</f>
        <v>0</v>
      </c>
    </row>
    <row r="53" spans="1:90" ht="11.05" hidden="1" customHeight="1" x14ac:dyDescent="0.6">
      <c r="A53" s="42"/>
      <c r="B53" s="230"/>
      <c r="C53" s="231"/>
      <c r="D53" s="231"/>
      <c r="E53" s="232"/>
      <c r="F53" s="43"/>
      <c r="G53" s="43"/>
      <c r="H53" s="44"/>
      <c r="I53" s="45"/>
      <c r="J53" s="43"/>
      <c r="K53" s="46"/>
      <c r="L53" s="47">
        <f t="shared" si="0"/>
        <v>0</v>
      </c>
      <c r="M53" s="43"/>
      <c r="N53" s="43"/>
      <c r="O53" s="43"/>
      <c r="P53" s="46"/>
      <c r="Q53" s="47">
        <f t="shared" si="21"/>
        <v>0</v>
      </c>
      <c r="R53" s="233"/>
      <c r="S53" s="234"/>
      <c r="T53" s="230"/>
      <c r="U53" s="231"/>
      <c r="V53" s="231"/>
      <c r="W53" s="232"/>
      <c r="X53" s="235" t="str">
        <f>IFERROR(INDEX(Table3923[],MATCH(R53,Table3923[Column1],),3),"")</f>
        <v/>
      </c>
      <c r="Y53" s="235"/>
      <c r="Z53" s="48" t="s">
        <v>85</v>
      </c>
      <c r="AA53" s="48" t="s">
        <v>85</v>
      </c>
      <c r="AB53" s="49"/>
      <c r="AC53" s="50"/>
      <c r="AD53" s="51">
        <f t="shared" si="31"/>
        <v>0</v>
      </c>
      <c r="AG53" s="52">
        <f t="shared" si="2"/>
        <v>0</v>
      </c>
      <c r="AH53" s="53"/>
      <c r="AM53" s="55">
        <f t="shared" si="3"/>
        <v>0</v>
      </c>
      <c r="AN53" s="55">
        <f t="shared" si="4"/>
        <v>0</v>
      </c>
      <c r="AO53" s="55">
        <f t="shared" si="32"/>
        <v>0</v>
      </c>
      <c r="AP53" s="56">
        <f t="shared" si="33"/>
        <v>0</v>
      </c>
      <c r="AQ53" s="55" t="str">
        <f t="shared" si="22"/>
        <v>0.00</v>
      </c>
      <c r="AR53" s="55" t="str">
        <f t="shared" si="34"/>
        <v>0</v>
      </c>
      <c r="AS53" s="57">
        <f t="shared" si="23"/>
        <v>0</v>
      </c>
      <c r="AT53" s="58">
        <f t="shared" si="8"/>
        <v>0</v>
      </c>
      <c r="AU53" s="57">
        <f t="shared" si="9"/>
        <v>0</v>
      </c>
      <c r="AV53" s="59">
        <f t="shared" si="24"/>
        <v>0</v>
      </c>
      <c r="AW53" s="59">
        <f t="shared" si="10"/>
        <v>0</v>
      </c>
      <c r="AX53" s="9"/>
      <c r="AY53" s="60">
        <f t="shared" si="35"/>
        <v>0</v>
      </c>
      <c r="AZ53" s="61">
        <f>_xlfn.IFNA(INDEX(Table3923[Column4],MATCH(R53,Table3923[Column1],0)),1.5)</f>
        <v>1.5</v>
      </c>
      <c r="BA53" s="62">
        <f>VLOOKUP(Z53,Table1331[#All],2,FALSE)</f>
        <v>1</v>
      </c>
      <c r="BB53" s="61">
        <f t="shared" si="25"/>
        <v>1.5</v>
      </c>
      <c r="BC53" s="55">
        <f t="shared" si="36"/>
        <v>0</v>
      </c>
      <c r="BD53" s="43">
        <f t="shared" si="37"/>
        <v>0</v>
      </c>
      <c r="BE53" s="63">
        <f t="shared" si="38"/>
        <v>0</v>
      </c>
      <c r="BF53" s="60">
        <f t="shared" si="39"/>
        <v>0</v>
      </c>
      <c r="BG53" s="60">
        <f t="shared" si="40"/>
        <v>0</v>
      </c>
      <c r="BH53" s="60">
        <f t="shared" si="41"/>
        <v>0</v>
      </c>
      <c r="BI53" s="55">
        <f>VLOOKUP(AA53,Table1533[#All],2,FALSE)</f>
        <v>1.25</v>
      </c>
      <c r="BJ53" s="55">
        <f t="shared" si="42"/>
        <v>0</v>
      </c>
      <c r="BK53" s="43" t="str">
        <f t="shared" si="43"/>
        <v>0</v>
      </c>
      <c r="BL53" s="62">
        <f t="shared" si="26"/>
        <v>0</v>
      </c>
      <c r="BN53" s="6"/>
      <c r="BO53" s="6"/>
      <c r="BP53" s="6"/>
      <c r="BQ53" s="6"/>
      <c r="BR53" s="6"/>
      <c r="BS53" s="6"/>
      <c r="BT53" s="6"/>
      <c r="BU53" s="9"/>
      <c r="CH53" s="148" t="s">
        <v>208</v>
      </c>
      <c r="CI53" s="151">
        <v>6.13</v>
      </c>
      <c r="CJ53" s="145">
        <f t="shared" si="30"/>
        <v>6.7430000000000003</v>
      </c>
      <c r="CK53" s="150">
        <v>1.75</v>
      </c>
      <c r="CL53" s="277">
        <f>(L55*H55)/12</f>
        <v>0</v>
      </c>
    </row>
    <row r="54" spans="1:90" ht="11.05" hidden="1" customHeight="1" x14ac:dyDescent="0.6">
      <c r="A54" s="42"/>
      <c r="B54" s="230"/>
      <c r="C54" s="231"/>
      <c r="D54" s="231"/>
      <c r="E54" s="232"/>
      <c r="F54" s="43"/>
      <c r="G54" s="43"/>
      <c r="H54" s="44"/>
      <c r="I54" s="45"/>
      <c r="J54" s="43"/>
      <c r="K54" s="46"/>
      <c r="L54" s="47">
        <f t="shared" si="0"/>
        <v>0</v>
      </c>
      <c r="M54" s="43"/>
      <c r="N54" s="43"/>
      <c r="O54" s="43"/>
      <c r="P54" s="46"/>
      <c r="Q54" s="47">
        <f t="shared" si="21"/>
        <v>0</v>
      </c>
      <c r="R54" s="233"/>
      <c r="S54" s="234"/>
      <c r="T54" s="230"/>
      <c r="U54" s="231"/>
      <c r="V54" s="231"/>
      <c r="W54" s="232"/>
      <c r="X54" s="235" t="str">
        <f>IFERROR(INDEX(Table3923[],MATCH(R54,Table3923[Column1],),3),"")</f>
        <v/>
      </c>
      <c r="Y54" s="235"/>
      <c r="Z54" s="48" t="s">
        <v>85</v>
      </c>
      <c r="AA54" s="48" t="s">
        <v>85</v>
      </c>
      <c r="AB54" s="49"/>
      <c r="AC54" s="50"/>
      <c r="AD54" s="51">
        <f t="shared" si="31"/>
        <v>0</v>
      </c>
      <c r="AG54" s="52">
        <f t="shared" si="2"/>
        <v>0</v>
      </c>
      <c r="AH54" s="53"/>
      <c r="AM54" s="55">
        <f t="shared" si="3"/>
        <v>0</v>
      </c>
      <c r="AN54" s="55">
        <f t="shared" si="4"/>
        <v>0</v>
      </c>
      <c r="AO54" s="55">
        <f t="shared" si="32"/>
        <v>0</v>
      </c>
      <c r="AP54" s="56">
        <f t="shared" si="33"/>
        <v>0</v>
      </c>
      <c r="AQ54" s="55" t="str">
        <f t="shared" si="22"/>
        <v>0.00</v>
      </c>
      <c r="AR54" s="55" t="str">
        <f t="shared" si="34"/>
        <v>0</v>
      </c>
      <c r="AS54" s="57">
        <f t="shared" si="23"/>
        <v>0</v>
      </c>
      <c r="AT54" s="58">
        <f t="shared" si="8"/>
        <v>0</v>
      </c>
      <c r="AU54" s="57">
        <f t="shared" si="9"/>
        <v>0</v>
      </c>
      <c r="AV54" s="59">
        <f t="shared" si="24"/>
        <v>0</v>
      </c>
      <c r="AW54" s="59">
        <f t="shared" si="10"/>
        <v>0</v>
      </c>
      <c r="AX54" s="9"/>
      <c r="AY54" s="60">
        <f t="shared" si="35"/>
        <v>0</v>
      </c>
      <c r="AZ54" s="61">
        <f>_xlfn.IFNA(INDEX(Table3923[Column4],MATCH(R54,Table3923[Column1],0)),1.5)</f>
        <v>1.5</v>
      </c>
      <c r="BA54" s="62">
        <f>VLOOKUP(Z54,Table1331[#All],2,FALSE)</f>
        <v>1</v>
      </c>
      <c r="BB54" s="61">
        <f t="shared" si="25"/>
        <v>1.5</v>
      </c>
      <c r="BC54" s="55">
        <f t="shared" si="36"/>
        <v>0</v>
      </c>
      <c r="BD54" s="43">
        <f t="shared" si="37"/>
        <v>0</v>
      </c>
      <c r="BE54" s="63">
        <f t="shared" si="38"/>
        <v>0</v>
      </c>
      <c r="BF54" s="60">
        <f t="shared" si="39"/>
        <v>0</v>
      </c>
      <c r="BG54" s="60">
        <f t="shared" si="40"/>
        <v>0</v>
      </c>
      <c r="BH54" s="60">
        <f t="shared" si="41"/>
        <v>0</v>
      </c>
      <c r="BI54" s="55">
        <f>VLOOKUP(AA54,Table1533[#All],2,FALSE)</f>
        <v>1.25</v>
      </c>
      <c r="BJ54" s="55">
        <f t="shared" si="42"/>
        <v>0</v>
      </c>
      <c r="BK54" s="43" t="str">
        <f t="shared" si="43"/>
        <v>0</v>
      </c>
      <c r="BL54" s="62">
        <f t="shared" si="26"/>
        <v>0</v>
      </c>
      <c r="BN54" s="86"/>
      <c r="BO54" s="86"/>
      <c r="BP54" s="86"/>
      <c r="BQ54" s="86"/>
      <c r="BR54" s="86"/>
      <c r="BS54" s="86"/>
      <c r="BT54" s="86"/>
      <c r="BU54" s="87"/>
      <c r="CH54" s="148" t="s">
        <v>209</v>
      </c>
      <c r="CI54" s="149">
        <v>6.13</v>
      </c>
      <c r="CJ54" s="145">
        <f t="shared" si="30"/>
        <v>6.7430000000000003</v>
      </c>
      <c r="CK54" s="153">
        <v>1.75</v>
      </c>
      <c r="CL54" s="277">
        <f>(L56*H56)/12</f>
        <v>0</v>
      </c>
    </row>
    <row r="55" spans="1:90" ht="11.05" hidden="1" customHeight="1" x14ac:dyDescent="0.6">
      <c r="A55" s="42"/>
      <c r="B55" s="230"/>
      <c r="C55" s="231"/>
      <c r="D55" s="231"/>
      <c r="E55" s="232"/>
      <c r="F55" s="43"/>
      <c r="G55" s="43"/>
      <c r="H55" s="44"/>
      <c r="I55" s="45"/>
      <c r="J55" s="43"/>
      <c r="K55" s="46"/>
      <c r="L55" s="47">
        <f t="shared" si="0"/>
        <v>0</v>
      </c>
      <c r="M55" s="43"/>
      <c r="N55" s="43"/>
      <c r="O55" s="43"/>
      <c r="P55" s="46"/>
      <c r="Q55" s="47">
        <f t="shared" si="21"/>
        <v>0</v>
      </c>
      <c r="R55" s="233"/>
      <c r="S55" s="234"/>
      <c r="T55" s="230"/>
      <c r="U55" s="231"/>
      <c r="V55" s="231"/>
      <c r="W55" s="232"/>
      <c r="X55" s="235" t="str">
        <f>IFERROR(INDEX(Table3923[],MATCH(R55,Table3923[Column1],),3),"")</f>
        <v/>
      </c>
      <c r="Y55" s="235"/>
      <c r="Z55" s="48" t="s">
        <v>85</v>
      </c>
      <c r="AA55" s="48" t="s">
        <v>85</v>
      </c>
      <c r="AB55" s="49"/>
      <c r="AC55" s="50"/>
      <c r="AD55" s="51">
        <f t="shared" si="31"/>
        <v>0</v>
      </c>
      <c r="AG55" s="52">
        <f t="shared" si="2"/>
        <v>0</v>
      </c>
      <c r="AH55" s="53"/>
      <c r="AM55" s="55">
        <f t="shared" si="3"/>
        <v>0</v>
      </c>
      <c r="AN55" s="55">
        <f t="shared" si="4"/>
        <v>0</v>
      </c>
      <c r="AO55" s="55">
        <f t="shared" si="32"/>
        <v>0</v>
      </c>
      <c r="AP55" s="56">
        <f t="shared" si="33"/>
        <v>0</v>
      </c>
      <c r="AQ55" s="55" t="str">
        <f t="shared" si="22"/>
        <v>0.00</v>
      </c>
      <c r="AR55" s="55" t="str">
        <f t="shared" si="34"/>
        <v>0</v>
      </c>
      <c r="AS55" s="57">
        <f t="shared" si="23"/>
        <v>0</v>
      </c>
      <c r="AT55" s="58">
        <f t="shared" si="8"/>
        <v>0</v>
      </c>
      <c r="AU55" s="57">
        <f t="shared" si="9"/>
        <v>0</v>
      </c>
      <c r="AV55" s="59">
        <f t="shared" si="24"/>
        <v>0</v>
      </c>
      <c r="AW55" s="59">
        <f t="shared" si="10"/>
        <v>0</v>
      </c>
      <c r="AX55" s="9"/>
      <c r="AY55" s="60">
        <f t="shared" si="35"/>
        <v>0</v>
      </c>
      <c r="AZ55" s="61">
        <f>_xlfn.IFNA(INDEX(Table3923[Column4],MATCH(R55,Table3923[Column1],0)),1.5)</f>
        <v>1.5</v>
      </c>
      <c r="BA55" s="62">
        <f>VLOOKUP(Z55,Table1331[#All],2,FALSE)</f>
        <v>1</v>
      </c>
      <c r="BB55" s="61">
        <f t="shared" si="25"/>
        <v>1.5</v>
      </c>
      <c r="BC55" s="55">
        <f t="shared" si="36"/>
        <v>0</v>
      </c>
      <c r="BD55" s="43">
        <f t="shared" si="37"/>
        <v>0</v>
      </c>
      <c r="BE55" s="63">
        <f t="shared" si="38"/>
        <v>0</v>
      </c>
      <c r="BF55" s="60">
        <f t="shared" si="39"/>
        <v>0</v>
      </c>
      <c r="BG55" s="60">
        <f t="shared" si="40"/>
        <v>0</v>
      </c>
      <c r="BH55" s="60">
        <f t="shared" si="41"/>
        <v>0</v>
      </c>
      <c r="BI55" s="55">
        <f>VLOOKUP(AA55,Table1533[#All],2,FALSE)</f>
        <v>1.25</v>
      </c>
      <c r="BJ55" s="55">
        <f t="shared" si="42"/>
        <v>0</v>
      </c>
      <c r="BK55" s="43" t="str">
        <f t="shared" si="43"/>
        <v>0</v>
      </c>
      <c r="BL55" s="62">
        <f t="shared" si="26"/>
        <v>0</v>
      </c>
      <c r="CH55" s="148" t="s">
        <v>210</v>
      </c>
      <c r="CI55" s="151">
        <v>3.87</v>
      </c>
      <c r="CJ55" s="145">
        <f t="shared" si="30"/>
        <v>4.2570000000000006</v>
      </c>
      <c r="CK55" s="153">
        <v>1.75</v>
      </c>
      <c r="CL55" s="277">
        <f>(L57*H57)/12</f>
        <v>0</v>
      </c>
    </row>
    <row r="56" spans="1:90" ht="11.05" hidden="1" customHeight="1" x14ac:dyDescent="0.6">
      <c r="A56" s="42"/>
      <c r="B56" s="230"/>
      <c r="C56" s="231"/>
      <c r="D56" s="231"/>
      <c r="E56" s="232"/>
      <c r="F56" s="43"/>
      <c r="G56" s="43"/>
      <c r="H56" s="44"/>
      <c r="I56" s="45"/>
      <c r="J56" s="43"/>
      <c r="K56" s="46"/>
      <c r="L56" s="47">
        <f t="shared" si="0"/>
        <v>0</v>
      </c>
      <c r="M56" s="43"/>
      <c r="N56" s="43"/>
      <c r="O56" s="43"/>
      <c r="P56" s="46"/>
      <c r="Q56" s="47">
        <f t="shared" si="21"/>
        <v>0</v>
      </c>
      <c r="R56" s="233"/>
      <c r="S56" s="234"/>
      <c r="T56" s="230"/>
      <c r="U56" s="231"/>
      <c r="V56" s="231"/>
      <c r="W56" s="232"/>
      <c r="X56" s="235" t="str">
        <f>IFERROR(INDEX(Table3923[],MATCH(R56,Table3923[Column1],),3),"")</f>
        <v/>
      </c>
      <c r="Y56" s="235"/>
      <c r="Z56" s="48" t="s">
        <v>85</v>
      </c>
      <c r="AA56" s="48" t="s">
        <v>85</v>
      </c>
      <c r="AB56" s="49"/>
      <c r="AC56" s="50"/>
      <c r="AD56" s="51">
        <f t="shared" si="31"/>
        <v>0</v>
      </c>
      <c r="AG56" s="52">
        <f t="shared" si="2"/>
        <v>0</v>
      </c>
      <c r="AH56" s="53"/>
      <c r="AM56" s="55">
        <f t="shared" si="3"/>
        <v>0</v>
      </c>
      <c r="AN56" s="55">
        <f t="shared" si="4"/>
        <v>0</v>
      </c>
      <c r="AO56" s="55">
        <f t="shared" si="32"/>
        <v>0</v>
      </c>
      <c r="AP56" s="56">
        <f t="shared" si="33"/>
        <v>0</v>
      </c>
      <c r="AQ56" s="55" t="str">
        <f t="shared" si="22"/>
        <v>0.00</v>
      </c>
      <c r="AR56" s="55" t="str">
        <f t="shared" si="34"/>
        <v>0</v>
      </c>
      <c r="AS56" s="57">
        <f t="shared" si="23"/>
        <v>0</v>
      </c>
      <c r="AT56" s="58">
        <f t="shared" si="8"/>
        <v>0</v>
      </c>
      <c r="AU56" s="57">
        <f t="shared" si="9"/>
        <v>0</v>
      </c>
      <c r="AV56" s="59">
        <f t="shared" si="24"/>
        <v>0</v>
      </c>
      <c r="AW56" s="59">
        <f t="shared" si="10"/>
        <v>0</v>
      </c>
      <c r="AX56" s="9"/>
      <c r="AY56" s="60">
        <f t="shared" si="35"/>
        <v>0</v>
      </c>
      <c r="AZ56" s="61">
        <f>_xlfn.IFNA(INDEX(Table3923[Column4],MATCH(R56,Table3923[Column1],0)),1.5)</f>
        <v>1.5</v>
      </c>
      <c r="BA56" s="62">
        <f>VLOOKUP(Z56,Table1331[#All],2,FALSE)</f>
        <v>1</v>
      </c>
      <c r="BB56" s="61">
        <f t="shared" si="25"/>
        <v>1.5</v>
      </c>
      <c r="BC56" s="55">
        <f t="shared" si="36"/>
        <v>0</v>
      </c>
      <c r="BD56" s="43">
        <f t="shared" si="37"/>
        <v>0</v>
      </c>
      <c r="BE56" s="63">
        <f t="shared" si="38"/>
        <v>0</v>
      </c>
      <c r="BF56" s="60">
        <f t="shared" si="39"/>
        <v>0</v>
      </c>
      <c r="BG56" s="60">
        <f t="shared" si="40"/>
        <v>0</v>
      </c>
      <c r="BH56" s="60">
        <f t="shared" si="41"/>
        <v>0</v>
      </c>
      <c r="BI56" s="55">
        <f>VLOOKUP(AA56,Table1533[#All],2,FALSE)</f>
        <v>1.25</v>
      </c>
      <c r="BJ56" s="55">
        <f t="shared" si="42"/>
        <v>0</v>
      </c>
      <c r="BK56" s="43" t="str">
        <f t="shared" si="43"/>
        <v>0</v>
      </c>
      <c r="BL56" s="62">
        <f t="shared" si="26"/>
        <v>0</v>
      </c>
      <c r="CH56" s="148" t="s">
        <v>211</v>
      </c>
      <c r="CI56" s="149">
        <v>2.4300000000000002</v>
      </c>
      <c r="CJ56" s="145">
        <f t="shared" si="30"/>
        <v>2.6730000000000005</v>
      </c>
      <c r="CK56" s="153">
        <v>1.75</v>
      </c>
      <c r="CL56" s="277">
        <f>(L58*H58)/12</f>
        <v>0</v>
      </c>
    </row>
    <row r="57" spans="1:90" ht="11.05" hidden="1" customHeight="1" x14ac:dyDescent="0.6">
      <c r="A57" s="42"/>
      <c r="B57" s="230"/>
      <c r="C57" s="231"/>
      <c r="D57" s="231"/>
      <c r="E57" s="232"/>
      <c r="F57" s="43"/>
      <c r="G57" s="43"/>
      <c r="H57" s="44"/>
      <c r="I57" s="45"/>
      <c r="J57" s="43"/>
      <c r="K57" s="46"/>
      <c r="L57" s="47">
        <f t="shared" si="0"/>
        <v>0</v>
      </c>
      <c r="M57" s="43"/>
      <c r="N57" s="43"/>
      <c r="O57" s="43"/>
      <c r="P57" s="46"/>
      <c r="Q57" s="47">
        <f t="shared" si="21"/>
        <v>0</v>
      </c>
      <c r="R57" s="233"/>
      <c r="S57" s="234"/>
      <c r="T57" s="230"/>
      <c r="U57" s="231"/>
      <c r="V57" s="231"/>
      <c r="W57" s="232"/>
      <c r="X57" s="235" t="str">
        <f>IFERROR(INDEX(Table3923[],MATCH(R57,Table3923[Column1],),3),"")</f>
        <v/>
      </c>
      <c r="Y57" s="235"/>
      <c r="Z57" s="48" t="s">
        <v>85</v>
      </c>
      <c r="AA57" s="48" t="s">
        <v>85</v>
      </c>
      <c r="AB57" s="49"/>
      <c r="AC57" s="50"/>
      <c r="AD57" s="51">
        <f t="shared" si="31"/>
        <v>0</v>
      </c>
      <c r="AG57" s="52">
        <f t="shared" si="2"/>
        <v>0</v>
      </c>
      <c r="AH57" s="53"/>
      <c r="AM57" s="55">
        <f t="shared" si="3"/>
        <v>0</v>
      </c>
      <c r="AN57" s="55">
        <f t="shared" si="4"/>
        <v>0</v>
      </c>
      <c r="AO57" s="55">
        <f t="shared" si="32"/>
        <v>0</v>
      </c>
      <c r="AP57" s="56">
        <f t="shared" si="33"/>
        <v>0</v>
      </c>
      <c r="AQ57" s="55" t="str">
        <f t="shared" si="22"/>
        <v>0.00</v>
      </c>
      <c r="AR57" s="55" t="str">
        <f t="shared" si="34"/>
        <v>0</v>
      </c>
      <c r="AS57" s="57">
        <f t="shared" si="23"/>
        <v>0</v>
      </c>
      <c r="AT57" s="58">
        <f t="shared" si="8"/>
        <v>0</v>
      </c>
      <c r="AU57" s="57">
        <f t="shared" si="9"/>
        <v>0</v>
      </c>
      <c r="AV57" s="59">
        <f t="shared" si="24"/>
        <v>0</v>
      </c>
      <c r="AW57" s="59">
        <f t="shared" si="10"/>
        <v>0</v>
      </c>
      <c r="AX57" s="9"/>
      <c r="AY57" s="60">
        <f t="shared" si="35"/>
        <v>0</v>
      </c>
      <c r="AZ57" s="61">
        <f>_xlfn.IFNA(INDEX(Table3923[Column4],MATCH(R57,Table3923[Column1],0)),1.5)</f>
        <v>1.5</v>
      </c>
      <c r="BA57" s="62">
        <f>VLOOKUP(Z57,Table1331[#All],2,FALSE)</f>
        <v>1</v>
      </c>
      <c r="BB57" s="61">
        <f t="shared" si="25"/>
        <v>1.5</v>
      </c>
      <c r="BC57" s="55">
        <f t="shared" si="36"/>
        <v>0</v>
      </c>
      <c r="BD57" s="43">
        <f t="shared" si="37"/>
        <v>0</v>
      </c>
      <c r="BE57" s="63">
        <f t="shared" si="38"/>
        <v>0</v>
      </c>
      <c r="BF57" s="60">
        <f t="shared" si="39"/>
        <v>0</v>
      </c>
      <c r="BG57" s="60">
        <f t="shared" si="40"/>
        <v>0</v>
      </c>
      <c r="BH57" s="60">
        <f t="shared" si="41"/>
        <v>0</v>
      </c>
      <c r="BI57" s="55">
        <f>VLOOKUP(AA57,Table1533[#All],2,FALSE)</f>
        <v>1.25</v>
      </c>
      <c r="BJ57" s="55">
        <f t="shared" si="42"/>
        <v>0</v>
      </c>
      <c r="BK57" s="43" t="str">
        <f t="shared" si="43"/>
        <v>0</v>
      </c>
      <c r="BL57" s="62">
        <f t="shared" si="26"/>
        <v>0</v>
      </c>
      <c r="CH57" s="148" t="s">
        <v>212</v>
      </c>
      <c r="CI57" s="151">
        <v>1.61</v>
      </c>
      <c r="CJ57" s="145">
        <f t="shared" si="30"/>
        <v>1.7710000000000004</v>
      </c>
      <c r="CK57" s="153">
        <v>1.75</v>
      </c>
      <c r="CL57" s="277">
        <f>(L59*H59)/12</f>
        <v>0</v>
      </c>
    </row>
    <row r="58" spans="1:90" ht="11.05" hidden="1" customHeight="1" x14ac:dyDescent="0.6">
      <c r="A58" s="42"/>
      <c r="B58" s="230"/>
      <c r="C58" s="231"/>
      <c r="D58" s="231"/>
      <c r="E58" s="232"/>
      <c r="F58" s="43"/>
      <c r="G58" s="43"/>
      <c r="H58" s="44"/>
      <c r="I58" s="45"/>
      <c r="J58" s="43"/>
      <c r="K58" s="46"/>
      <c r="L58" s="47">
        <f t="shared" si="0"/>
        <v>0</v>
      </c>
      <c r="M58" s="43"/>
      <c r="N58" s="43"/>
      <c r="O58" s="43"/>
      <c r="P58" s="46"/>
      <c r="Q58" s="47">
        <f t="shared" si="21"/>
        <v>0</v>
      </c>
      <c r="R58" s="233"/>
      <c r="S58" s="234"/>
      <c r="T58" s="230"/>
      <c r="U58" s="231"/>
      <c r="V58" s="231"/>
      <c r="W58" s="232"/>
      <c r="X58" s="235" t="str">
        <f>IFERROR(INDEX(Table3923[],MATCH(R58,Table3923[Column1],),3),"")</f>
        <v/>
      </c>
      <c r="Y58" s="235"/>
      <c r="Z58" s="48" t="s">
        <v>85</v>
      </c>
      <c r="AA58" s="48" t="s">
        <v>85</v>
      </c>
      <c r="AB58" s="49"/>
      <c r="AC58" s="50"/>
      <c r="AD58" s="51">
        <f t="shared" si="31"/>
        <v>0</v>
      </c>
      <c r="AG58" s="52">
        <f t="shared" si="2"/>
        <v>0</v>
      </c>
      <c r="AH58" s="53"/>
      <c r="AM58" s="55">
        <f t="shared" si="3"/>
        <v>0</v>
      </c>
      <c r="AN58" s="55">
        <f t="shared" si="4"/>
        <v>0</v>
      </c>
      <c r="AO58" s="55">
        <f t="shared" si="32"/>
        <v>0</v>
      </c>
      <c r="AP58" s="56">
        <f t="shared" si="33"/>
        <v>0</v>
      </c>
      <c r="AQ58" s="55" t="str">
        <f t="shared" si="22"/>
        <v>0.00</v>
      </c>
      <c r="AR58" s="55" t="str">
        <f t="shared" si="34"/>
        <v>0</v>
      </c>
      <c r="AS58" s="57">
        <f t="shared" si="23"/>
        <v>0</v>
      </c>
      <c r="AT58" s="58">
        <f t="shared" si="8"/>
        <v>0</v>
      </c>
      <c r="AU58" s="57">
        <f t="shared" si="9"/>
        <v>0</v>
      </c>
      <c r="AV58" s="59">
        <f t="shared" si="24"/>
        <v>0</v>
      </c>
      <c r="AW58" s="59">
        <f t="shared" si="10"/>
        <v>0</v>
      </c>
      <c r="AX58" s="9"/>
      <c r="AY58" s="60">
        <f t="shared" si="35"/>
        <v>0</v>
      </c>
      <c r="AZ58" s="61">
        <f>_xlfn.IFNA(INDEX(Table3923[Column4],MATCH(R58,Table3923[Column1],0)),1.5)</f>
        <v>1.5</v>
      </c>
      <c r="BA58" s="62">
        <f>VLOOKUP(Z58,Table1331[#All],2,FALSE)</f>
        <v>1</v>
      </c>
      <c r="BB58" s="61">
        <f t="shared" si="25"/>
        <v>1.5</v>
      </c>
      <c r="BC58" s="55">
        <f t="shared" si="36"/>
        <v>0</v>
      </c>
      <c r="BD58" s="43">
        <f t="shared" si="37"/>
        <v>0</v>
      </c>
      <c r="BE58" s="63">
        <f t="shared" si="38"/>
        <v>0</v>
      </c>
      <c r="BF58" s="60">
        <f t="shared" si="39"/>
        <v>0</v>
      </c>
      <c r="BG58" s="60">
        <f t="shared" si="40"/>
        <v>0</v>
      </c>
      <c r="BH58" s="60">
        <f t="shared" si="41"/>
        <v>0</v>
      </c>
      <c r="BI58" s="55">
        <f>VLOOKUP(AA58,Table1533[#All],2,FALSE)</f>
        <v>1.25</v>
      </c>
      <c r="BJ58" s="55">
        <f t="shared" si="42"/>
        <v>0</v>
      </c>
      <c r="BK58" s="43" t="str">
        <f t="shared" si="43"/>
        <v>0</v>
      </c>
      <c r="BL58" s="62">
        <f t="shared" si="26"/>
        <v>0</v>
      </c>
      <c r="CH58" s="148" t="s">
        <v>213</v>
      </c>
      <c r="CI58" s="149">
        <v>1.61</v>
      </c>
      <c r="CJ58" s="145">
        <f t="shared" si="30"/>
        <v>1.7710000000000004</v>
      </c>
      <c r="CK58" s="153">
        <v>1.75</v>
      </c>
      <c r="CL58" s="277">
        <f>(L60*H60)/12</f>
        <v>0</v>
      </c>
    </row>
    <row r="59" spans="1:90" ht="11.05" hidden="1" customHeight="1" x14ac:dyDescent="0.6">
      <c r="A59" s="42"/>
      <c r="B59" s="230"/>
      <c r="C59" s="231"/>
      <c r="D59" s="231"/>
      <c r="E59" s="232"/>
      <c r="F59" s="43"/>
      <c r="G59" s="43"/>
      <c r="H59" s="44"/>
      <c r="I59" s="45"/>
      <c r="J59" s="43"/>
      <c r="K59" s="46"/>
      <c r="L59" s="47">
        <f t="shared" si="0"/>
        <v>0</v>
      </c>
      <c r="M59" s="43"/>
      <c r="N59" s="43"/>
      <c r="O59" s="43"/>
      <c r="P59" s="46"/>
      <c r="Q59" s="47">
        <f t="shared" si="21"/>
        <v>0</v>
      </c>
      <c r="R59" s="233"/>
      <c r="S59" s="234"/>
      <c r="T59" s="230"/>
      <c r="U59" s="231"/>
      <c r="V59" s="231"/>
      <c r="W59" s="232"/>
      <c r="X59" s="235" t="str">
        <f>IFERROR(INDEX(Table3923[],MATCH(R59,Table3923[Column1],),3),"")</f>
        <v/>
      </c>
      <c r="Y59" s="235"/>
      <c r="Z59" s="48" t="s">
        <v>85</v>
      </c>
      <c r="AA59" s="48" t="s">
        <v>85</v>
      </c>
      <c r="AB59" s="49"/>
      <c r="AC59" s="50"/>
      <c r="AD59" s="51">
        <f t="shared" si="31"/>
        <v>0</v>
      </c>
      <c r="AG59" s="52">
        <f t="shared" si="2"/>
        <v>0</v>
      </c>
      <c r="AH59" s="53"/>
      <c r="AM59" s="55">
        <f t="shared" si="3"/>
        <v>0</v>
      </c>
      <c r="AN59" s="55">
        <f t="shared" si="4"/>
        <v>0</v>
      </c>
      <c r="AO59" s="55">
        <f t="shared" si="32"/>
        <v>0</v>
      </c>
      <c r="AP59" s="56">
        <f t="shared" si="33"/>
        <v>0</v>
      </c>
      <c r="AQ59" s="55" t="str">
        <f t="shared" si="22"/>
        <v>0.00</v>
      </c>
      <c r="AR59" s="55" t="str">
        <f t="shared" si="34"/>
        <v>0</v>
      </c>
      <c r="AS59" s="57">
        <f t="shared" si="23"/>
        <v>0</v>
      </c>
      <c r="AT59" s="58">
        <f t="shared" si="8"/>
        <v>0</v>
      </c>
      <c r="AU59" s="57">
        <f t="shared" si="9"/>
        <v>0</v>
      </c>
      <c r="AV59" s="59">
        <f t="shared" si="24"/>
        <v>0</v>
      </c>
      <c r="AW59" s="59">
        <f t="shared" si="10"/>
        <v>0</v>
      </c>
      <c r="AX59" s="9"/>
      <c r="AY59" s="60">
        <f t="shared" si="35"/>
        <v>0</v>
      </c>
      <c r="AZ59" s="61">
        <f>_xlfn.IFNA(INDEX(Table3923[Column4],MATCH(R59,Table3923[Column1],0)),1.5)</f>
        <v>1.5</v>
      </c>
      <c r="BA59" s="62">
        <f>VLOOKUP(Z59,Table1331[#All],2,FALSE)</f>
        <v>1</v>
      </c>
      <c r="BB59" s="61">
        <f t="shared" si="25"/>
        <v>1.5</v>
      </c>
      <c r="BC59" s="55">
        <f t="shared" si="36"/>
        <v>0</v>
      </c>
      <c r="BD59" s="43">
        <f t="shared" si="37"/>
        <v>0</v>
      </c>
      <c r="BE59" s="63">
        <f t="shared" si="38"/>
        <v>0</v>
      </c>
      <c r="BF59" s="60">
        <f t="shared" si="39"/>
        <v>0</v>
      </c>
      <c r="BG59" s="60">
        <f t="shared" si="40"/>
        <v>0</v>
      </c>
      <c r="BH59" s="60">
        <f t="shared" si="41"/>
        <v>0</v>
      </c>
      <c r="BI59" s="55">
        <f>VLOOKUP(AA59,Table1533[#All],2,FALSE)</f>
        <v>1.25</v>
      </c>
      <c r="BJ59" s="55">
        <f t="shared" si="42"/>
        <v>0</v>
      </c>
      <c r="BK59" s="43" t="str">
        <f t="shared" si="43"/>
        <v>0</v>
      </c>
      <c r="BL59" s="62">
        <f t="shared" si="26"/>
        <v>0</v>
      </c>
      <c r="CH59" s="148" t="s">
        <v>214</v>
      </c>
      <c r="CI59" s="151">
        <v>1.79</v>
      </c>
      <c r="CJ59" s="145">
        <f t="shared" si="30"/>
        <v>1.9690000000000003</v>
      </c>
      <c r="CK59" s="153">
        <v>1.75</v>
      </c>
      <c r="CL59" s="277">
        <f>(L61*H61)/12</f>
        <v>0</v>
      </c>
    </row>
    <row r="60" spans="1:90" ht="11.05" hidden="1" customHeight="1" x14ac:dyDescent="0.6">
      <c r="A60" s="42"/>
      <c r="B60" s="230"/>
      <c r="C60" s="231"/>
      <c r="D60" s="231"/>
      <c r="E60" s="232"/>
      <c r="F60" s="43"/>
      <c r="G60" s="43"/>
      <c r="H60" s="44"/>
      <c r="I60" s="45"/>
      <c r="J60" s="43"/>
      <c r="K60" s="46"/>
      <c r="L60" s="47">
        <f t="shared" si="0"/>
        <v>0</v>
      </c>
      <c r="M60" s="43"/>
      <c r="N60" s="43"/>
      <c r="O60" s="43"/>
      <c r="P60" s="46"/>
      <c r="Q60" s="47">
        <f t="shared" si="21"/>
        <v>0</v>
      </c>
      <c r="R60" s="233"/>
      <c r="S60" s="234"/>
      <c r="T60" s="230"/>
      <c r="U60" s="231"/>
      <c r="V60" s="231"/>
      <c r="W60" s="232"/>
      <c r="X60" s="235" t="str">
        <f>IFERROR(INDEX(Table3923[],MATCH(R60,Table3923[Column1],),3),"")</f>
        <v/>
      </c>
      <c r="Y60" s="235"/>
      <c r="Z60" s="48" t="s">
        <v>85</v>
      </c>
      <c r="AA60" s="48" t="s">
        <v>85</v>
      </c>
      <c r="AB60" s="49"/>
      <c r="AC60" s="50"/>
      <c r="AD60" s="51">
        <f t="shared" si="31"/>
        <v>0</v>
      </c>
      <c r="AG60" s="52">
        <f t="shared" si="2"/>
        <v>0</v>
      </c>
      <c r="AH60" s="53"/>
      <c r="AM60" s="55">
        <f t="shared" si="3"/>
        <v>0</v>
      </c>
      <c r="AN60" s="55">
        <f t="shared" si="4"/>
        <v>0</v>
      </c>
      <c r="AO60" s="55">
        <f t="shared" si="32"/>
        <v>0</v>
      </c>
      <c r="AP60" s="56">
        <f t="shared" si="33"/>
        <v>0</v>
      </c>
      <c r="AQ60" s="55" t="str">
        <f t="shared" si="22"/>
        <v>0.00</v>
      </c>
      <c r="AR60" s="55" t="str">
        <f t="shared" si="34"/>
        <v>0</v>
      </c>
      <c r="AS60" s="57">
        <f t="shared" si="23"/>
        <v>0</v>
      </c>
      <c r="AT60" s="58">
        <f t="shared" si="8"/>
        <v>0</v>
      </c>
      <c r="AU60" s="57">
        <f t="shared" si="9"/>
        <v>0</v>
      </c>
      <c r="AV60" s="59">
        <f t="shared" si="24"/>
        <v>0</v>
      </c>
      <c r="AW60" s="59">
        <f t="shared" si="10"/>
        <v>0</v>
      </c>
      <c r="AX60" s="9"/>
      <c r="AY60" s="60">
        <f t="shared" si="35"/>
        <v>0</v>
      </c>
      <c r="AZ60" s="61">
        <f>_xlfn.IFNA(INDEX(Table3923[Column4],MATCH(R60,Table3923[Column1],0)),1.5)</f>
        <v>1.5</v>
      </c>
      <c r="BA60" s="62">
        <f>VLOOKUP(Z60,Table1331[#All],2,FALSE)</f>
        <v>1</v>
      </c>
      <c r="BB60" s="61">
        <f t="shared" si="25"/>
        <v>1.5</v>
      </c>
      <c r="BC60" s="55">
        <f t="shared" si="36"/>
        <v>0</v>
      </c>
      <c r="BD60" s="43">
        <f t="shared" si="37"/>
        <v>0</v>
      </c>
      <c r="BE60" s="63">
        <f t="shared" si="38"/>
        <v>0</v>
      </c>
      <c r="BF60" s="60">
        <f t="shared" si="39"/>
        <v>0</v>
      </c>
      <c r="BG60" s="60">
        <f t="shared" si="40"/>
        <v>0</v>
      </c>
      <c r="BH60" s="60">
        <f t="shared" si="41"/>
        <v>0</v>
      </c>
      <c r="BI60" s="55">
        <f>VLOOKUP(AA60,Table1533[#All],2,FALSE)</f>
        <v>1.25</v>
      </c>
      <c r="BJ60" s="55">
        <f t="shared" si="42"/>
        <v>0</v>
      </c>
      <c r="BK60" s="43" t="str">
        <f t="shared" si="43"/>
        <v>0</v>
      </c>
      <c r="BL60" s="62">
        <f t="shared" si="26"/>
        <v>0</v>
      </c>
      <c r="CH60" s="148" t="s">
        <v>215</v>
      </c>
      <c r="CI60" s="149">
        <v>0.98</v>
      </c>
      <c r="CJ60" s="145">
        <f t="shared" si="30"/>
        <v>1.0780000000000001</v>
      </c>
      <c r="CK60" s="153">
        <v>1.25</v>
      </c>
      <c r="CL60" s="277">
        <f>(L62*H62)/12</f>
        <v>0</v>
      </c>
    </row>
    <row r="61" spans="1:90" ht="11.05" hidden="1" customHeight="1" x14ac:dyDescent="0.6">
      <c r="A61" s="42"/>
      <c r="B61" s="230"/>
      <c r="C61" s="231"/>
      <c r="D61" s="231"/>
      <c r="E61" s="232"/>
      <c r="F61" s="43"/>
      <c r="G61" s="43"/>
      <c r="H61" s="44"/>
      <c r="I61" s="45"/>
      <c r="J61" s="43"/>
      <c r="K61" s="46"/>
      <c r="L61" s="47">
        <f t="shared" si="0"/>
        <v>0</v>
      </c>
      <c r="M61" s="43"/>
      <c r="N61" s="43"/>
      <c r="O61" s="43"/>
      <c r="P61" s="46"/>
      <c r="Q61" s="47">
        <f t="shared" si="21"/>
        <v>0</v>
      </c>
      <c r="R61" s="233"/>
      <c r="S61" s="234"/>
      <c r="T61" s="230"/>
      <c r="U61" s="231"/>
      <c r="V61" s="231"/>
      <c r="W61" s="232"/>
      <c r="X61" s="235" t="str">
        <f>IFERROR(INDEX(Table3923[],MATCH(R61,Table3923[Column1],),3),"")</f>
        <v/>
      </c>
      <c r="Y61" s="235"/>
      <c r="Z61" s="48" t="s">
        <v>85</v>
      </c>
      <c r="AA61" s="48" t="s">
        <v>85</v>
      </c>
      <c r="AB61" s="49"/>
      <c r="AC61" s="50"/>
      <c r="AD61" s="51">
        <f t="shared" si="31"/>
        <v>0</v>
      </c>
      <c r="AG61" s="52">
        <f t="shared" si="2"/>
        <v>0</v>
      </c>
      <c r="AH61" s="53"/>
      <c r="AM61" s="55">
        <f t="shared" si="3"/>
        <v>0</v>
      </c>
      <c r="AN61" s="55">
        <f t="shared" si="4"/>
        <v>0</v>
      </c>
      <c r="AO61" s="55">
        <f t="shared" si="32"/>
        <v>0</v>
      </c>
      <c r="AP61" s="56">
        <f t="shared" si="33"/>
        <v>0</v>
      </c>
      <c r="AQ61" s="55" t="str">
        <f t="shared" si="22"/>
        <v>0.00</v>
      </c>
      <c r="AR61" s="55" t="str">
        <f t="shared" si="34"/>
        <v>0</v>
      </c>
      <c r="AS61" s="57">
        <f t="shared" si="23"/>
        <v>0</v>
      </c>
      <c r="AT61" s="58">
        <f t="shared" si="8"/>
        <v>0</v>
      </c>
      <c r="AU61" s="57">
        <f t="shared" si="9"/>
        <v>0</v>
      </c>
      <c r="AV61" s="59">
        <f t="shared" si="24"/>
        <v>0</v>
      </c>
      <c r="AW61" s="59">
        <f t="shared" si="10"/>
        <v>0</v>
      </c>
      <c r="AX61" s="9"/>
      <c r="AY61" s="60">
        <f t="shared" si="35"/>
        <v>0</v>
      </c>
      <c r="AZ61" s="61">
        <f>_xlfn.IFNA(INDEX(Table3923[Column4],MATCH(R61,Table3923[Column1],0)),1.5)</f>
        <v>1.5</v>
      </c>
      <c r="BA61" s="62">
        <f>VLOOKUP(Z61,Table1331[#All],2,FALSE)</f>
        <v>1</v>
      </c>
      <c r="BB61" s="61">
        <f t="shared" si="25"/>
        <v>1.5</v>
      </c>
      <c r="BC61" s="55">
        <f t="shared" si="36"/>
        <v>0</v>
      </c>
      <c r="BD61" s="43">
        <f t="shared" si="37"/>
        <v>0</v>
      </c>
      <c r="BE61" s="63">
        <f t="shared" si="38"/>
        <v>0</v>
      </c>
      <c r="BF61" s="60">
        <f t="shared" si="39"/>
        <v>0</v>
      </c>
      <c r="BG61" s="60">
        <f t="shared" si="40"/>
        <v>0</v>
      </c>
      <c r="BH61" s="60">
        <f t="shared" si="41"/>
        <v>0</v>
      </c>
      <c r="BI61" s="55">
        <f>VLOOKUP(AA61,Table1533[#All],2,FALSE)</f>
        <v>1.25</v>
      </c>
      <c r="BJ61" s="55">
        <f t="shared" si="42"/>
        <v>0</v>
      </c>
      <c r="BK61" s="43" t="str">
        <f t="shared" si="43"/>
        <v>0</v>
      </c>
      <c r="BL61" s="62">
        <f t="shared" si="26"/>
        <v>0</v>
      </c>
      <c r="CH61" s="148" t="s">
        <v>216</v>
      </c>
      <c r="CI61" s="151">
        <v>1.96</v>
      </c>
      <c r="CJ61" s="145">
        <f t="shared" si="30"/>
        <v>2.1560000000000001</v>
      </c>
      <c r="CK61" s="153">
        <v>1.75</v>
      </c>
      <c r="CL61" s="277">
        <f>(L63*H63)/12</f>
        <v>0</v>
      </c>
    </row>
    <row r="62" spans="1:90" ht="11.05" hidden="1" customHeight="1" x14ac:dyDescent="0.6">
      <c r="A62" s="42"/>
      <c r="B62" s="230"/>
      <c r="C62" s="231"/>
      <c r="D62" s="231"/>
      <c r="E62" s="232"/>
      <c r="F62" s="43"/>
      <c r="G62" s="43"/>
      <c r="H62" s="44"/>
      <c r="I62" s="45"/>
      <c r="J62" s="43"/>
      <c r="K62" s="46"/>
      <c r="L62" s="47">
        <f t="shared" si="0"/>
        <v>0</v>
      </c>
      <c r="M62" s="43"/>
      <c r="N62" s="43"/>
      <c r="O62" s="43"/>
      <c r="P62" s="46"/>
      <c r="Q62" s="47">
        <f t="shared" si="21"/>
        <v>0</v>
      </c>
      <c r="R62" s="233"/>
      <c r="S62" s="234"/>
      <c r="T62" s="230"/>
      <c r="U62" s="231"/>
      <c r="V62" s="231"/>
      <c r="W62" s="232"/>
      <c r="X62" s="235" t="str">
        <f>IFERROR(INDEX(Table3923[],MATCH(R62,Table3923[Column1],),3),"")</f>
        <v/>
      </c>
      <c r="Y62" s="235"/>
      <c r="Z62" s="48" t="s">
        <v>85</v>
      </c>
      <c r="AA62" s="48" t="s">
        <v>85</v>
      </c>
      <c r="AB62" s="49"/>
      <c r="AC62" s="50"/>
      <c r="AD62" s="51">
        <f t="shared" si="31"/>
        <v>0</v>
      </c>
      <c r="AG62" s="52">
        <f t="shared" si="2"/>
        <v>0</v>
      </c>
      <c r="AH62" s="53"/>
      <c r="AM62" s="55">
        <f t="shared" si="3"/>
        <v>0</v>
      </c>
      <c r="AN62" s="55">
        <f t="shared" si="4"/>
        <v>0</v>
      </c>
      <c r="AO62" s="55">
        <f t="shared" si="32"/>
        <v>0</v>
      </c>
      <c r="AP62" s="56">
        <f t="shared" si="33"/>
        <v>0</v>
      </c>
      <c r="AQ62" s="55" t="str">
        <f t="shared" si="22"/>
        <v>0.00</v>
      </c>
      <c r="AR62" s="55" t="str">
        <f t="shared" si="34"/>
        <v>0</v>
      </c>
      <c r="AS62" s="57">
        <f t="shared" si="23"/>
        <v>0</v>
      </c>
      <c r="AT62" s="58">
        <f t="shared" si="8"/>
        <v>0</v>
      </c>
      <c r="AU62" s="57">
        <f t="shared" si="9"/>
        <v>0</v>
      </c>
      <c r="AV62" s="59">
        <f t="shared" si="24"/>
        <v>0</v>
      </c>
      <c r="AW62" s="59">
        <f t="shared" si="10"/>
        <v>0</v>
      </c>
      <c r="AX62" s="9"/>
      <c r="AY62" s="60">
        <f t="shared" si="35"/>
        <v>0</v>
      </c>
      <c r="AZ62" s="61">
        <f>_xlfn.IFNA(INDEX(Table3923[Column4],MATCH(R62,Table3923[Column1],0)),1.5)</f>
        <v>1.5</v>
      </c>
      <c r="BA62" s="62">
        <f>VLOOKUP(Z62,Table1331[#All],2,FALSE)</f>
        <v>1</v>
      </c>
      <c r="BB62" s="61">
        <f t="shared" si="25"/>
        <v>1.5</v>
      </c>
      <c r="BC62" s="55">
        <f t="shared" si="36"/>
        <v>0</v>
      </c>
      <c r="BD62" s="43">
        <f t="shared" si="37"/>
        <v>0</v>
      </c>
      <c r="BE62" s="63">
        <f t="shared" si="38"/>
        <v>0</v>
      </c>
      <c r="BF62" s="60">
        <f t="shared" si="39"/>
        <v>0</v>
      </c>
      <c r="BG62" s="60">
        <f t="shared" si="40"/>
        <v>0</v>
      </c>
      <c r="BH62" s="60">
        <f t="shared" si="41"/>
        <v>0</v>
      </c>
      <c r="BI62" s="55">
        <f>VLOOKUP(AA62,Table1533[#All],2,FALSE)</f>
        <v>1.25</v>
      </c>
      <c r="BJ62" s="55">
        <f t="shared" si="42"/>
        <v>0</v>
      </c>
      <c r="BK62" s="43" t="str">
        <f t="shared" si="43"/>
        <v>0</v>
      </c>
      <c r="BL62" s="62">
        <f t="shared" si="26"/>
        <v>0</v>
      </c>
      <c r="CH62" s="148"/>
      <c r="CI62" s="149"/>
      <c r="CJ62" s="145"/>
      <c r="CK62" s="153"/>
      <c r="CL62" s="277">
        <f>(L64*H64)/12</f>
        <v>0</v>
      </c>
    </row>
    <row r="63" spans="1:90" ht="11.05" hidden="1" customHeight="1" x14ac:dyDescent="0.6">
      <c r="A63" s="42"/>
      <c r="B63" s="230"/>
      <c r="C63" s="231"/>
      <c r="D63" s="231"/>
      <c r="E63" s="232"/>
      <c r="F63" s="43"/>
      <c r="G63" s="43"/>
      <c r="H63" s="44"/>
      <c r="I63" s="45"/>
      <c r="J63" s="43"/>
      <c r="K63" s="46"/>
      <c r="L63" s="47">
        <f t="shared" si="0"/>
        <v>0</v>
      </c>
      <c r="M63" s="43"/>
      <c r="N63" s="43"/>
      <c r="O63" s="43"/>
      <c r="P63" s="46"/>
      <c r="Q63" s="47">
        <f t="shared" si="21"/>
        <v>0</v>
      </c>
      <c r="R63" s="233"/>
      <c r="S63" s="234"/>
      <c r="T63" s="230"/>
      <c r="U63" s="231"/>
      <c r="V63" s="231"/>
      <c r="W63" s="232"/>
      <c r="X63" s="235" t="str">
        <f>IFERROR(INDEX(Table3923[],MATCH(R63,Table3923[Column1],),3),"")</f>
        <v/>
      </c>
      <c r="Y63" s="235"/>
      <c r="Z63" s="48" t="s">
        <v>85</v>
      </c>
      <c r="AA63" s="48" t="s">
        <v>85</v>
      </c>
      <c r="AB63" s="49"/>
      <c r="AC63" s="50"/>
      <c r="AD63" s="51">
        <f t="shared" si="31"/>
        <v>0</v>
      </c>
      <c r="AG63" s="52">
        <f t="shared" si="2"/>
        <v>0</v>
      </c>
      <c r="AH63" s="53"/>
      <c r="AM63" s="55">
        <f t="shared" si="3"/>
        <v>0</v>
      </c>
      <c r="AN63" s="55">
        <f t="shared" si="4"/>
        <v>0</v>
      </c>
      <c r="AO63" s="55">
        <f t="shared" si="32"/>
        <v>0</v>
      </c>
      <c r="AP63" s="56">
        <f t="shared" si="33"/>
        <v>0</v>
      </c>
      <c r="AQ63" s="55" t="str">
        <f t="shared" si="22"/>
        <v>0.00</v>
      </c>
      <c r="AR63" s="55" t="str">
        <f t="shared" si="34"/>
        <v>0</v>
      </c>
      <c r="AS63" s="57">
        <f t="shared" si="23"/>
        <v>0</v>
      </c>
      <c r="AT63" s="58">
        <f t="shared" si="8"/>
        <v>0</v>
      </c>
      <c r="AU63" s="57">
        <f t="shared" si="9"/>
        <v>0</v>
      </c>
      <c r="AV63" s="59">
        <f t="shared" si="24"/>
        <v>0</v>
      </c>
      <c r="AW63" s="59">
        <f t="shared" si="10"/>
        <v>0</v>
      </c>
      <c r="AX63" s="9"/>
      <c r="AY63" s="60">
        <f t="shared" si="35"/>
        <v>0</v>
      </c>
      <c r="AZ63" s="61">
        <f>_xlfn.IFNA(INDEX(Table3923[Column4],MATCH(R63,Table3923[Column1],0)),1.5)</f>
        <v>1.5</v>
      </c>
      <c r="BA63" s="62">
        <f>VLOOKUP(Z63,Table1331[#All],2,FALSE)</f>
        <v>1</v>
      </c>
      <c r="BB63" s="61">
        <f t="shared" si="25"/>
        <v>1.5</v>
      </c>
      <c r="BC63" s="55">
        <f t="shared" si="36"/>
        <v>0</v>
      </c>
      <c r="BD63" s="43">
        <f t="shared" si="37"/>
        <v>0</v>
      </c>
      <c r="BE63" s="63">
        <f t="shared" si="38"/>
        <v>0</v>
      </c>
      <c r="BF63" s="60">
        <f t="shared" si="39"/>
        <v>0</v>
      </c>
      <c r="BG63" s="60">
        <f t="shared" si="40"/>
        <v>0</v>
      </c>
      <c r="BH63" s="60">
        <f t="shared" si="41"/>
        <v>0</v>
      </c>
      <c r="BI63" s="55">
        <f>VLOOKUP(AA63,Table1533[#All],2,FALSE)</f>
        <v>1.25</v>
      </c>
      <c r="BJ63" s="55">
        <f t="shared" si="42"/>
        <v>0</v>
      </c>
      <c r="BK63" s="43" t="str">
        <f t="shared" si="43"/>
        <v>0</v>
      </c>
      <c r="BL63" s="62">
        <f t="shared" si="26"/>
        <v>0</v>
      </c>
      <c r="CH63" s="148" t="s">
        <v>217</v>
      </c>
      <c r="CI63" s="151">
        <v>2.4700000000000002</v>
      </c>
      <c r="CJ63" s="145">
        <f t="shared" si="30"/>
        <v>2.7170000000000005</v>
      </c>
      <c r="CK63" s="153">
        <v>1.5</v>
      </c>
      <c r="CL63" s="277">
        <f>(L65*H65)/12</f>
        <v>0</v>
      </c>
    </row>
    <row r="64" spans="1:90" ht="11.05" hidden="1" customHeight="1" x14ac:dyDescent="0.6">
      <c r="A64" s="42"/>
      <c r="B64" s="230"/>
      <c r="C64" s="231"/>
      <c r="D64" s="231"/>
      <c r="E64" s="232"/>
      <c r="F64" s="43"/>
      <c r="G64" s="43"/>
      <c r="H64" s="44"/>
      <c r="I64" s="45"/>
      <c r="J64" s="43"/>
      <c r="K64" s="46"/>
      <c r="L64" s="47">
        <f t="shared" si="0"/>
        <v>0</v>
      </c>
      <c r="M64" s="43"/>
      <c r="N64" s="43"/>
      <c r="O64" s="43"/>
      <c r="P64" s="46"/>
      <c r="Q64" s="47">
        <f t="shared" si="21"/>
        <v>0</v>
      </c>
      <c r="R64" s="233"/>
      <c r="S64" s="234"/>
      <c r="T64" s="230"/>
      <c r="U64" s="231"/>
      <c r="V64" s="231"/>
      <c r="W64" s="232"/>
      <c r="X64" s="235" t="str">
        <f>IFERROR(INDEX(Table3923[],MATCH(R64,Table3923[Column1],),3),"")</f>
        <v/>
      </c>
      <c r="Y64" s="235"/>
      <c r="Z64" s="48" t="s">
        <v>85</v>
      </c>
      <c r="AA64" s="48" t="s">
        <v>85</v>
      </c>
      <c r="AB64" s="49"/>
      <c r="AC64" s="50"/>
      <c r="AD64" s="51">
        <f t="shared" si="31"/>
        <v>0</v>
      </c>
      <c r="AG64" s="52">
        <f t="shared" si="2"/>
        <v>0</v>
      </c>
      <c r="AH64" s="53"/>
      <c r="AM64" s="55">
        <f t="shared" si="3"/>
        <v>0</v>
      </c>
      <c r="AN64" s="55">
        <f t="shared" si="4"/>
        <v>0</v>
      </c>
      <c r="AO64" s="55">
        <f t="shared" si="32"/>
        <v>0</v>
      </c>
      <c r="AP64" s="56">
        <f t="shared" si="33"/>
        <v>0</v>
      </c>
      <c r="AQ64" s="55" t="str">
        <f t="shared" si="22"/>
        <v>0.00</v>
      </c>
      <c r="AR64" s="55" t="str">
        <f t="shared" si="34"/>
        <v>0</v>
      </c>
      <c r="AS64" s="57">
        <f t="shared" si="23"/>
        <v>0</v>
      </c>
      <c r="AT64" s="58">
        <f t="shared" si="8"/>
        <v>0</v>
      </c>
      <c r="AU64" s="57">
        <f t="shared" si="9"/>
        <v>0</v>
      </c>
      <c r="AV64" s="59">
        <f t="shared" si="24"/>
        <v>0</v>
      </c>
      <c r="AW64" s="59">
        <f t="shared" si="10"/>
        <v>0</v>
      </c>
      <c r="AX64" s="9"/>
      <c r="AY64" s="60">
        <f t="shared" si="35"/>
        <v>0</v>
      </c>
      <c r="AZ64" s="61">
        <f>_xlfn.IFNA(INDEX(Table3923[Column4],MATCH(R64,Table3923[Column1],0)),1.5)</f>
        <v>1.5</v>
      </c>
      <c r="BA64" s="62">
        <f>VLOOKUP(Z64,Table1331[#All],2,FALSE)</f>
        <v>1</v>
      </c>
      <c r="BB64" s="61">
        <f t="shared" si="25"/>
        <v>1.5</v>
      </c>
      <c r="BC64" s="55">
        <f t="shared" si="36"/>
        <v>0</v>
      </c>
      <c r="BD64" s="43">
        <f t="shared" si="37"/>
        <v>0</v>
      </c>
      <c r="BE64" s="63">
        <f t="shared" si="38"/>
        <v>0</v>
      </c>
      <c r="BF64" s="60">
        <f t="shared" si="39"/>
        <v>0</v>
      </c>
      <c r="BG64" s="60">
        <f t="shared" si="40"/>
        <v>0</v>
      </c>
      <c r="BH64" s="60">
        <f t="shared" si="41"/>
        <v>0</v>
      </c>
      <c r="BI64" s="55">
        <f>VLOOKUP(AA64,Table1533[#All],2,FALSE)</f>
        <v>1.25</v>
      </c>
      <c r="BJ64" s="55">
        <f t="shared" si="42"/>
        <v>0</v>
      </c>
      <c r="BK64" s="43" t="str">
        <f t="shared" si="43"/>
        <v>0</v>
      </c>
      <c r="BL64" s="62">
        <f t="shared" si="26"/>
        <v>0</v>
      </c>
      <c r="CH64" s="148" t="s">
        <v>218</v>
      </c>
      <c r="CI64" s="149">
        <v>2.4700000000000002</v>
      </c>
      <c r="CJ64" s="145">
        <f t="shared" si="30"/>
        <v>2.7170000000000005</v>
      </c>
      <c r="CK64" s="153">
        <v>1.5</v>
      </c>
      <c r="CL64" s="277">
        <f>(L66*H66)/12</f>
        <v>0</v>
      </c>
    </row>
    <row r="65" spans="1:90" ht="11.05" hidden="1" customHeight="1" x14ac:dyDescent="0.6">
      <c r="A65" s="42"/>
      <c r="B65" s="230"/>
      <c r="C65" s="231"/>
      <c r="D65" s="231"/>
      <c r="E65" s="232"/>
      <c r="F65" s="43"/>
      <c r="G65" s="43"/>
      <c r="H65" s="44"/>
      <c r="I65" s="45"/>
      <c r="J65" s="43"/>
      <c r="K65" s="46"/>
      <c r="L65" s="47">
        <f t="shared" si="0"/>
        <v>0</v>
      </c>
      <c r="M65" s="43"/>
      <c r="N65" s="43"/>
      <c r="O65" s="43"/>
      <c r="P65" s="46"/>
      <c r="Q65" s="47">
        <f t="shared" si="21"/>
        <v>0</v>
      </c>
      <c r="R65" s="233"/>
      <c r="S65" s="234"/>
      <c r="T65" s="230"/>
      <c r="U65" s="231"/>
      <c r="V65" s="231"/>
      <c r="W65" s="232"/>
      <c r="X65" s="235" t="str">
        <f>IFERROR(INDEX(Table3923[],MATCH(R65,Table3923[Column1],),3),"")</f>
        <v/>
      </c>
      <c r="Y65" s="235"/>
      <c r="Z65" s="48" t="s">
        <v>85</v>
      </c>
      <c r="AA65" s="48" t="s">
        <v>85</v>
      </c>
      <c r="AB65" s="49"/>
      <c r="AC65" s="50"/>
      <c r="AD65" s="51">
        <f t="shared" si="31"/>
        <v>0</v>
      </c>
      <c r="AG65" s="52">
        <f t="shared" si="2"/>
        <v>0</v>
      </c>
      <c r="AH65" s="53"/>
      <c r="AM65" s="55">
        <f t="shared" si="3"/>
        <v>0</v>
      </c>
      <c r="AN65" s="55">
        <f t="shared" si="4"/>
        <v>0</v>
      </c>
      <c r="AO65" s="55">
        <f t="shared" si="32"/>
        <v>0</v>
      </c>
      <c r="AP65" s="56">
        <f t="shared" si="33"/>
        <v>0</v>
      </c>
      <c r="AQ65" s="55" t="str">
        <f t="shared" si="22"/>
        <v>0.00</v>
      </c>
      <c r="AR65" s="55" t="str">
        <f t="shared" si="34"/>
        <v>0</v>
      </c>
      <c r="AS65" s="57">
        <f t="shared" si="23"/>
        <v>0</v>
      </c>
      <c r="AT65" s="58">
        <f t="shared" si="8"/>
        <v>0</v>
      </c>
      <c r="AU65" s="57">
        <f t="shared" si="9"/>
        <v>0</v>
      </c>
      <c r="AV65" s="59">
        <f t="shared" si="24"/>
        <v>0</v>
      </c>
      <c r="AW65" s="59">
        <f t="shared" si="10"/>
        <v>0</v>
      </c>
      <c r="AX65" s="9"/>
      <c r="AY65" s="60">
        <f t="shared" si="35"/>
        <v>0</v>
      </c>
      <c r="AZ65" s="61">
        <f>_xlfn.IFNA(INDEX(Table3923[Column4],MATCH(R65,Table3923[Column1],0)),1.5)</f>
        <v>1.5</v>
      </c>
      <c r="BA65" s="62">
        <f>VLOOKUP(Z65,Table1331[#All],2,FALSE)</f>
        <v>1</v>
      </c>
      <c r="BB65" s="61">
        <f t="shared" si="25"/>
        <v>1.5</v>
      </c>
      <c r="BC65" s="55">
        <f t="shared" si="36"/>
        <v>0</v>
      </c>
      <c r="BD65" s="43">
        <f t="shared" si="37"/>
        <v>0</v>
      </c>
      <c r="BE65" s="63">
        <f t="shared" si="38"/>
        <v>0</v>
      </c>
      <c r="BF65" s="60">
        <f t="shared" si="39"/>
        <v>0</v>
      </c>
      <c r="BG65" s="60">
        <f t="shared" si="40"/>
        <v>0</v>
      </c>
      <c r="BH65" s="60">
        <f t="shared" si="41"/>
        <v>0</v>
      </c>
      <c r="BI65" s="55">
        <f>VLOOKUP(AA65,Table1533[#All],2,FALSE)</f>
        <v>1.25</v>
      </c>
      <c r="BJ65" s="55">
        <f t="shared" si="42"/>
        <v>0</v>
      </c>
      <c r="BK65" s="43" t="str">
        <f t="shared" si="43"/>
        <v>0</v>
      </c>
      <c r="BL65" s="62">
        <f t="shared" si="26"/>
        <v>0</v>
      </c>
      <c r="CH65" s="148" t="s">
        <v>219</v>
      </c>
      <c r="CI65" s="151">
        <v>4.47</v>
      </c>
      <c r="CJ65" s="145">
        <f t="shared" si="30"/>
        <v>4.9169999999999998</v>
      </c>
      <c r="CK65" s="153">
        <v>1.5</v>
      </c>
      <c r="CL65" s="277">
        <f>(L67*H67)/12</f>
        <v>0</v>
      </c>
    </row>
    <row r="66" spans="1:90" ht="11.05" hidden="1" customHeight="1" x14ac:dyDescent="0.6">
      <c r="A66" s="42"/>
      <c r="B66" s="230"/>
      <c r="C66" s="231"/>
      <c r="D66" s="231"/>
      <c r="E66" s="232"/>
      <c r="F66" s="43"/>
      <c r="G66" s="43"/>
      <c r="H66" s="44"/>
      <c r="I66" s="45"/>
      <c r="J66" s="43"/>
      <c r="K66" s="46"/>
      <c r="L66" s="47">
        <f t="shared" si="0"/>
        <v>0</v>
      </c>
      <c r="M66" s="43"/>
      <c r="N66" s="43"/>
      <c r="O66" s="43"/>
      <c r="P66" s="46"/>
      <c r="Q66" s="47">
        <f t="shared" si="21"/>
        <v>0</v>
      </c>
      <c r="R66" s="233"/>
      <c r="S66" s="234"/>
      <c r="T66" s="230"/>
      <c r="U66" s="231"/>
      <c r="V66" s="231"/>
      <c r="W66" s="232"/>
      <c r="X66" s="235" t="str">
        <f>IFERROR(INDEX(Table3923[],MATCH(R66,Table3923[Column1],),3),"")</f>
        <v/>
      </c>
      <c r="Y66" s="235"/>
      <c r="Z66" s="48" t="s">
        <v>85</v>
      </c>
      <c r="AA66" s="48" t="s">
        <v>85</v>
      </c>
      <c r="AB66" s="49"/>
      <c r="AC66" s="50"/>
      <c r="AD66" s="51">
        <f t="shared" si="31"/>
        <v>0</v>
      </c>
      <c r="AG66" s="52">
        <f t="shared" si="2"/>
        <v>0</v>
      </c>
      <c r="AH66" s="53"/>
      <c r="AM66" s="55">
        <f t="shared" si="3"/>
        <v>0</v>
      </c>
      <c r="AN66" s="55">
        <f t="shared" si="4"/>
        <v>0</v>
      </c>
      <c r="AO66" s="55">
        <f t="shared" si="32"/>
        <v>0</v>
      </c>
      <c r="AP66" s="56">
        <f t="shared" si="33"/>
        <v>0</v>
      </c>
      <c r="AQ66" s="55" t="str">
        <f t="shared" si="22"/>
        <v>0.00</v>
      </c>
      <c r="AR66" s="55" t="str">
        <f t="shared" si="34"/>
        <v>0</v>
      </c>
      <c r="AS66" s="57">
        <f t="shared" si="23"/>
        <v>0</v>
      </c>
      <c r="AT66" s="58">
        <f t="shared" si="8"/>
        <v>0</v>
      </c>
      <c r="AU66" s="57">
        <f t="shared" si="9"/>
        <v>0</v>
      </c>
      <c r="AV66" s="59">
        <f t="shared" si="24"/>
        <v>0</v>
      </c>
      <c r="AW66" s="59">
        <f t="shared" si="10"/>
        <v>0</v>
      </c>
      <c r="AX66" s="9"/>
      <c r="AY66" s="60">
        <f t="shared" si="35"/>
        <v>0</v>
      </c>
      <c r="AZ66" s="61">
        <f>_xlfn.IFNA(INDEX(Table3923[Column4],MATCH(R66,Table3923[Column1],0)),1.5)</f>
        <v>1.5</v>
      </c>
      <c r="BA66" s="62">
        <f>VLOOKUP(Z66,Table1331[#All],2,FALSE)</f>
        <v>1</v>
      </c>
      <c r="BB66" s="61">
        <f t="shared" si="25"/>
        <v>1.5</v>
      </c>
      <c r="BC66" s="55">
        <f t="shared" si="36"/>
        <v>0</v>
      </c>
      <c r="BD66" s="43">
        <f t="shared" si="37"/>
        <v>0</v>
      </c>
      <c r="BE66" s="63">
        <f t="shared" si="38"/>
        <v>0</v>
      </c>
      <c r="BF66" s="60">
        <f t="shared" si="39"/>
        <v>0</v>
      </c>
      <c r="BG66" s="60">
        <f t="shared" si="40"/>
        <v>0</v>
      </c>
      <c r="BH66" s="60">
        <f t="shared" si="41"/>
        <v>0</v>
      </c>
      <c r="BI66" s="55">
        <f>VLOOKUP(AA66,Table1533[#All],2,FALSE)</f>
        <v>1.25</v>
      </c>
      <c r="BJ66" s="55">
        <f t="shared" si="42"/>
        <v>0</v>
      </c>
      <c r="BK66" s="43" t="str">
        <f t="shared" si="43"/>
        <v>0</v>
      </c>
      <c r="BL66" s="62">
        <f t="shared" si="26"/>
        <v>0</v>
      </c>
      <c r="CH66" s="148" t="s">
        <v>220</v>
      </c>
      <c r="CI66" s="149">
        <v>1.85</v>
      </c>
      <c r="CJ66" s="145">
        <f t="shared" si="30"/>
        <v>2.0350000000000001</v>
      </c>
      <c r="CK66" s="153">
        <v>1.5</v>
      </c>
      <c r="CL66" s="277">
        <f>(L68*H68)/12</f>
        <v>0</v>
      </c>
    </row>
    <row r="67" spans="1:90" ht="11.05" hidden="1" customHeight="1" x14ac:dyDescent="0.6">
      <c r="A67" s="42"/>
      <c r="B67" s="230"/>
      <c r="C67" s="231"/>
      <c r="D67" s="231"/>
      <c r="E67" s="232"/>
      <c r="F67" s="43"/>
      <c r="G67" s="43"/>
      <c r="H67" s="44"/>
      <c r="I67" s="45"/>
      <c r="J67" s="43"/>
      <c r="K67" s="46"/>
      <c r="L67" s="47">
        <f t="shared" si="0"/>
        <v>0</v>
      </c>
      <c r="M67" s="43"/>
      <c r="N67" s="43"/>
      <c r="O67" s="43"/>
      <c r="P67" s="46"/>
      <c r="Q67" s="47">
        <f t="shared" si="21"/>
        <v>0</v>
      </c>
      <c r="R67" s="233"/>
      <c r="S67" s="234"/>
      <c r="T67" s="230"/>
      <c r="U67" s="231"/>
      <c r="V67" s="231"/>
      <c r="W67" s="232"/>
      <c r="X67" s="235" t="str">
        <f>IFERROR(INDEX(Table3923[],MATCH(R67,Table3923[Column1],),3),"")</f>
        <v/>
      </c>
      <c r="Y67" s="235"/>
      <c r="Z67" s="48" t="s">
        <v>85</v>
      </c>
      <c r="AA67" s="48" t="s">
        <v>85</v>
      </c>
      <c r="AB67" s="49"/>
      <c r="AC67" s="50"/>
      <c r="AD67" s="51">
        <f t="shared" si="31"/>
        <v>0</v>
      </c>
      <c r="AG67" s="52">
        <f t="shared" si="2"/>
        <v>0</v>
      </c>
      <c r="AH67" s="53"/>
      <c r="AM67" s="55">
        <f t="shared" si="3"/>
        <v>0</v>
      </c>
      <c r="AN67" s="55">
        <f t="shared" si="4"/>
        <v>0</v>
      </c>
      <c r="AO67" s="55">
        <f t="shared" si="32"/>
        <v>0</v>
      </c>
      <c r="AP67" s="56">
        <f t="shared" si="33"/>
        <v>0</v>
      </c>
      <c r="AQ67" s="55" t="str">
        <f t="shared" si="22"/>
        <v>0.00</v>
      </c>
      <c r="AR67" s="55" t="str">
        <f t="shared" si="34"/>
        <v>0</v>
      </c>
      <c r="AS67" s="57">
        <f t="shared" si="23"/>
        <v>0</v>
      </c>
      <c r="AT67" s="58">
        <f t="shared" si="8"/>
        <v>0</v>
      </c>
      <c r="AU67" s="57">
        <f t="shared" si="9"/>
        <v>0</v>
      </c>
      <c r="AV67" s="59">
        <f t="shared" si="24"/>
        <v>0</v>
      </c>
      <c r="AW67" s="59">
        <f t="shared" si="10"/>
        <v>0</v>
      </c>
      <c r="AX67" s="9"/>
      <c r="AY67" s="60">
        <f t="shared" si="35"/>
        <v>0</v>
      </c>
      <c r="AZ67" s="61">
        <f>_xlfn.IFNA(INDEX(Table3923[Column4],MATCH(R67,Table3923[Column1],0)),1.5)</f>
        <v>1.5</v>
      </c>
      <c r="BA67" s="62">
        <f>VLOOKUP(Z67,Table1331[#All],2,FALSE)</f>
        <v>1</v>
      </c>
      <c r="BB67" s="61">
        <f t="shared" si="25"/>
        <v>1.5</v>
      </c>
      <c r="BC67" s="55">
        <f t="shared" si="36"/>
        <v>0</v>
      </c>
      <c r="BD67" s="43">
        <f t="shared" si="37"/>
        <v>0</v>
      </c>
      <c r="BE67" s="63">
        <f t="shared" si="38"/>
        <v>0</v>
      </c>
      <c r="BF67" s="60">
        <f t="shared" si="39"/>
        <v>0</v>
      </c>
      <c r="BG67" s="60">
        <f t="shared" si="40"/>
        <v>0</v>
      </c>
      <c r="BH67" s="60">
        <f t="shared" si="41"/>
        <v>0</v>
      </c>
      <c r="BI67" s="55">
        <f>VLOOKUP(AA67,Table1533[#All],2,FALSE)</f>
        <v>1.25</v>
      </c>
      <c r="BJ67" s="55">
        <f t="shared" si="42"/>
        <v>0</v>
      </c>
      <c r="BK67" s="43" t="str">
        <f t="shared" si="43"/>
        <v>0</v>
      </c>
      <c r="BL67" s="62">
        <f t="shared" si="26"/>
        <v>0</v>
      </c>
      <c r="CH67" s="148" t="s">
        <v>221</v>
      </c>
      <c r="CI67" s="151">
        <v>2.4700000000000002</v>
      </c>
      <c r="CJ67" s="145">
        <f t="shared" si="30"/>
        <v>2.7170000000000005</v>
      </c>
      <c r="CK67" s="153">
        <v>1.5</v>
      </c>
      <c r="CL67" s="277">
        <f>(L69*H69)/12</f>
        <v>0</v>
      </c>
    </row>
    <row r="68" spans="1:90" ht="11.05" hidden="1" customHeight="1" x14ac:dyDescent="0.6">
      <c r="A68" s="42"/>
      <c r="B68" s="230"/>
      <c r="C68" s="231"/>
      <c r="D68" s="231"/>
      <c r="E68" s="232"/>
      <c r="F68" s="43"/>
      <c r="G68" s="43"/>
      <c r="H68" s="44"/>
      <c r="I68" s="45"/>
      <c r="J68" s="43"/>
      <c r="K68" s="46"/>
      <c r="L68" s="47">
        <f t="shared" si="0"/>
        <v>0</v>
      </c>
      <c r="M68" s="43"/>
      <c r="N68" s="43"/>
      <c r="O68" s="43"/>
      <c r="P68" s="46"/>
      <c r="Q68" s="47">
        <f t="shared" si="21"/>
        <v>0</v>
      </c>
      <c r="R68" s="233"/>
      <c r="S68" s="234"/>
      <c r="T68" s="230"/>
      <c r="U68" s="231"/>
      <c r="V68" s="231"/>
      <c r="W68" s="232"/>
      <c r="X68" s="235" t="str">
        <f>IFERROR(INDEX(Table3923[],MATCH(R68,Table3923[Column1],),3),"")</f>
        <v/>
      </c>
      <c r="Y68" s="235"/>
      <c r="Z68" s="48" t="s">
        <v>85</v>
      </c>
      <c r="AA68" s="48" t="s">
        <v>85</v>
      </c>
      <c r="AB68" s="49"/>
      <c r="AC68" s="50"/>
      <c r="AD68" s="51">
        <f t="shared" si="31"/>
        <v>0</v>
      </c>
      <c r="AG68" s="52">
        <f t="shared" si="2"/>
        <v>0</v>
      </c>
      <c r="AH68" s="53"/>
      <c r="AM68" s="55">
        <f t="shared" si="3"/>
        <v>0</v>
      </c>
      <c r="AN68" s="55">
        <f t="shared" si="4"/>
        <v>0</v>
      </c>
      <c r="AO68" s="55">
        <f t="shared" si="32"/>
        <v>0</v>
      </c>
      <c r="AP68" s="56">
        <f t="shared" si="33"/>
        <v>0</v>
      </c>
      <c r="AQ68" s="55" t="str">
        <f t="shared" si="22"/>
        <v>0.00</v>
      </c>
      <c r="AR68" s="55" t="str">
        <f t="shared" si="34"/>
        <v>0</v>
      </c>
      <c r="AS68" s="57">
        <f t="shared" si="23"/>
        <v>0</v>
      </c>
      <c r="AT68" s="58">
        <f t="shared" si="8"/>
        <v>0</v>
      </c>
      <c r="AU68" s="57">
        <f t="shared" si="9"/>
        <v>0</v>
      </c>
      <c r="AV68" s="59">
        <f t="shared" si="24"/>
        <v>0</v>
      </c>
      <c r="AW68" s="59">
        <f t="shared" si="10"/>
        <v>0</v>
      </c>
      <c r="AX68" s="9"/>
      <c r="AY68" s="60">
        <f t="shared" si="35"/>
        <v>0</v>
      </c>
      <c r="AZ68" s="61">
        <f>_xlfn.IFNA(INDEX(Table3923[Column4],MATCH(R68,Table3923[Column1],0)),1.5)</f>
        <v>1.5</v>
      </c>
      <c r="BA68" s="62">
        <f>VLOOKUP(Z68,Table1331[#All],2,FALSE)</f>
        <v>1</v>
      </c>
      <c r="BB68" s="61">
        <f t="shared" si="25"/>
        <v>1.5</v>
      </c>
      <c r="BC68" s="55">
        <f t="shared" si="36"/>
        <v>0</v>
      </c>
      <c r="BD68" s="43">
        <f t="shared" si="37"/>
        <v>0</v>
      </c>
      <c r="BE68" s="63">
        <f t="shared" si="38"/>
        <v>0</v>
      </c>
      <c r="BF68" s="60">
        <f t="shared" si="39"/>
        <v>0</v>
      </c>
      <c r="BG68" s="60">
        <f t="shared" si="40"/>
        <v>0</v>
      </c>
      <c r="BH68" s="60">
        <f t="shared" si="41"/>
        <v>0</v>
      </c>
      <c r="BI68" s="55">
        <f>VLOOKUP(AA68,Table1533[#All],2,FALSE)</f>
        <v>1.25</v>
      </c>
      <c r="BJ68" s="55">
        <f t="shared" si="42"/>
        <v>0</v>
      </c>
      <c r="BK68" s="43" t="str">
        <f t="shared" si="43"/>
        <v>0</v>
      </c>
      <c r="BL68" s="62">
        <f t="shared" si="26"/>
        <v>0</v>
      </c>
      <c r="CH68" s="148" t="s">
        <v>222</v>
      </c>
      <c r="CI68" s="149">
        <v>4.6399999999999997</v>
      </c>
      <c r="CJ68" s="145">
        <f t="shared" si="30"/>
        <v>5.1040000000000001</v>
      </c>
      <c r="CK68" s="153">
        <v>1.5</v>
      </c>
      <c r="CL68" s="277">
        <f>(L70*H70)/12</f>
        <v>0</v>
      </c>
    </row>
    <row r="69" spans="1:90" ht="11.05" hidden="1" customHeight="1" x14ac:dyDescent="0.6">
      <c r="A69" s="42"/>
      <c r="B69" s="230"/>
      <c r="C69" s="231"/>
      <c r="D69" s="231"/>
      <c r="E69" s="232"/>
      <c r="F69" s="43"/>
      <c r="G69" s="43"/>
      <c r="H69" s="44"/>
      <c r="I69" s="45"/>
      <c r="J69" s="43"/>
      <c r="K69" s="46"/>
      <c r="L69" s="47">
        <f t="shared" si="0"/>
        <v>0</v>
      </c>
      <c r="M69" s="43"/>
      <c r="N69" s="43"/>
      <c r="O69" s="43"/>
      <c r="P69" s="46"/>
      <c r="Q69" s="47">
        <f t="shared" si="21"/>
        <v>0</v>
      </c>
      <c r="R69" s="233"/>
      <c r="S69" s="234"/>
      <c r="T69" s="230"/>
      <c r="U69" s="231"/>
      <c r="V69" s="231"/>
      <c r="W69" s="232"/>
      <c r="X69" s="235" t="str">
        <f>IFERROR(INDEX(Table3923[],MATCH(R69,Table3923[Column1],),3),"")</f>
        <v/>
      </c>
      <c r="Y69" s="235"/>
      <c r="Z69" s="48" t="s">
        <v>85</v>
      </c>
      <c r="AA69" s="48" t="s">
        <v>85</v>
      </c>
      <c r="AB69" s="49"/>
      <c r="AC69" s="50"/>
      <c r="AD69" s="51">
        <f t="shared" si="31"/>
        <v>0</v>
      </c>
      <c r="AG69" s="52">
        <f t="shared" si="2"/>
        <v>0</v>
      </c>
      <c r="AH69" s="53"/>
      <c r="AM69" s="55">
        <f t="shared" si="3"/>
        <v>0</v>
      </c>
      <c r="AN69" s="55">
        <f t="shared" si="4"/>
        <v>0</v>
      </c>
      <c r="AO69" s="55">
        <f t="shared" si="32"/>
        <v>0</v>
      </c>
      <c r="AP69" s="56">
        <f t="shared" si="33"/>
        <v>0</v>
      </c>
      <c r="AQ69" s="55" t="str">
        <f t="shared" si="22"/>
        <v>0.00</v>
      </c>
      <c r="AR69" s="55" t="str">
        <f t="shared" si="34"/>
        <v>0</v>
      </c>
      <c r="AS69" s="57">
        <f t="shared" si="23"/>
        <v>0</v>
      </c>
      <c r="AT69" s="58">
        <f t="shared" si="8"/>
        <v>0</v>
      </c>
      <c r="AU69" s="57">
        <f t="shared" si="9"/>
        <v>0</v>
      </c>
      <c r="AV69" s="59">
        <f t="shared" si="24"/>
        <v>0</v>
      </c>
      <c r="AW69" s="59">
        <f t="shared" si="10"/>
        <v>0</v>
      </c>
      <c r="AX69" s="9"/>
      <c r="AY69" s="60">
        <f t="shared" si="35"/>
        <v>0</v>
      </c>
      <c r="AZ69" s="61">
        <f>_xlfn.IFNA(INDEX(Table3923[Column4],MATCH(R69,Table3923[Column1],0)),1.5)</f>
        <v>1.5</v>
      </c>
      <c r="BA69" s="62">
        <f>VLOOKUP(Z69,Table1331[#All],2,FALSE)</f>
        <v>1</v>
      </c>
      <c r="BB69" s="61">
        <f t="shared" si="25"/>
        <v>1.5</v>
      </c>
      <c r="BC69" s="55">
        <f t="shared" si="36"/>
        <v>0</v>
      </c>
      <c r="BD69" s="43">
        <f t="shared" si="37"/>
        <v>0</v>
      </c>
      <c r="BE69" s="63">
        <f t="shared" si="38"/>
        <v>0</v>
      </c>
      <c r="BF69" s="60">
        <f t="shared" si="39"/>
        <v>0</v>
      </c>
      <c r="BG69" s="60">
        <f t="shared" si="40"/>
        <v>0</v>
      </c>
      <c r="BH69" s="60">
        <f t="shared" si="41"/>
        <v>0</v>
      </c>
      <c r="BI69" s="55">
        <f>VLOOKUP(AA69,Table1533[#All],2,FALSE)</f>
        <v>1.25</v>
      </c>
      <c r="BJ69" s="55">
        <f t="shared" si="42"/>
        <v>0</v>
      </c>
      <c r="BK69" s="43" t="str">
        <f t="shared" si="43"/>
        <v>0</v>
      </c>
      <c r="BL69" s="62">
        <f t="shared" si="26"/>
        <v>0</v>
      </c>
      <c r="CH69" s="148" t="s">
        <v>223</v>
      </c>
      <c r="CI69" s="151">
        <v>2.4700000000000002</v>
      </c>
      <c r="CJ69" s="145">
        <f t="shared" si="30"/>
        <v>2.7170000000000005</v>
      </c>
      <c r="CK69" s="153">
        <v>1.5</v>
      </c>
      <c r="CL69" s="277">
        <f>(L71*H71)/12</f>
        <v>0</v>
      </c>
    </row>
    <row r="70" spans="1:90" ht="11.05" hidden="1" customHeight="1" x14ac:dyDescent="0.6">
      <c r="A70" s="42"/>
      <c r="B70" s="230"/>
      <c r="C70" s="231"/>
      <c r="D70" s="231"/>
      <c r="E70" s="232"/>
      <c r="F70" s="43"/>
      <c r="G70" s="43"/>
      <c r="H70" s="44"/>
      <c r="I70" s="45"/>
      <c r="J70" s="43"/>
      <c r="K70" s="46"/>
      <c r="L70" s="47">
        <f t="shared" si="0"/>
        <v>0</v>
      </c>
      <c r="M70" s="43"/>
      <c r="N70" s="43"/>
      <c r="O70" s="43"/>
      <c r="P70" s="46"/>
      <c r="Q70" s="47">
        <f t="shared" si="21"/>
        <v>0</v>
      </c>
      <c r="R70" s="233"/>
      <c r="S70" s="234"/>
      <c r="T70" s="230"/>
      <c r="U70" s="231"/>
      <c r="V70" s="231"/>
      <c r="W70" s="232"/>
      <c r="X70" s="235" t="str">
        <f>IFERROR(INDEX(Table3923[],MATCH(R70,Table3923[Column1],),3),"")</f>
        <v/>
      </c>
      <c r="Y70" s="235"/>
      <c r="Z70" s="48" t="s">
        <v>85</v>
      </c>
      <c r="AA70" s="48" t="s">
        <v>85</v>
      </c>
      <c r="AB70" s="49"/>
      <c r="AC70" s="50"/>
      <c r="AD70" s="51">
        <f t="shared" si="31"/>
        <v>0</v>
      </c>
      <c r="AG70" s="52">
        <f t="shared" si="2"/>
        <v>0</v>
      </c>
      <c r="AH70" s="53"/>
      <c r="AM70" s="55">
        <f t="shared" si="3"/>
        <v>0</v>
      </c>
      <c r="AN70" s="55">
        <f t="shared" si="4"/>
        <v>0</v>
      </c>
      <c r="AO70" s="55">
        <f t="shared" si="32"/>
        <v>0</v>
      </c>
      <c r="AP70" s="56">
        <f t="shared" si="33"/>
        <v>0</v>
      </c>
      <c r="AQ70" s="55" t="str">
        <f t="shared" si="22"/>
        <v>0.00</v>
      </c>
      <c r="AR70" s="55" t="str">
        <f t="shared" si="34"/>
        <v>0</v>
      </c>
      <c r="AS70" s="57">
        <f t="shared" si="23"/>
        <v>0</v>
      </c>
      <c r="AT70" s="58">
        <f t="shared" si="8"/>
        <v>0</v>
      </c>
      <c r="AU70" s="57">
        <f t="shared" si="9"/>
        <v>0</v>
      </c>
      <c r="AV70" s="59">
        <f t="shared" si="24"/>
        <v>0</v>
      </c>
      <c r="AW70" s="59">
        <f t="shared" si="10"/>
        <v>0</v>
      </c>
      <c r="AX70" s="9"/>
      <c r="AY70" s="60">
        <f t="shared" si="35"/>
        <v>0</v>
      </c>
      <c r="AZ70" s="61">
        <f>_xlfn.IFNA(INDEX(Table3923[Column4],MATCH(R70,Table3923[Column1],0)),1.5)</f>
        <v>1.5</v>
      </c>
      <c r="BA70" s="62">
        <f>VLOOKUP(Z70,Table1331[#All],2,FALSE)</f>
        <v>1</v>
      </c>
      <c r="BB70" s="61">
        <f t="shared" si="25"/>
        <v>1.5</v>
      </c>
      <c r="BC70" s="55">
        <f t="shared" si="36"/>
        <v>0</v>
      </c>
      <c r="BD70" s="43">
        <f t="shared" si="37"/>
        <v>0</v>
      </c>
      <c r="BE70" s="63">
        <f t="shared" si="38"/>
        <v>0</v>
      </c>
      <c r="BF70" s="60">
        <f t="shared" si="39"/>
        <v>0</v>
      </c>
      <c r="BG70" s="60">
        <f t="shared" si="40"/>
        <v>0</v>
      </c>
      <c r="BH70" s="60">
        <f t="shared" si="41"/>
        <v>0</v>
      </c>
      <c r="BI70" s="55">
        <f>VLOOKUP(AA70,Table1533[#All],2,FALSE)</f>
        <v>1.25</v>
      </c>
      <c r="BJ70" s="55">
        <f t="shared" si="42"/>
        <v>0</v>
      </c>
      <c r="BK70" s="43" t="str">
        <f t="shared" si="43"/>
        <v>0</v>
      </c>
      <c r="BL70" s="62">
        <f t="shared" si="26"/>
        <v>0</v>
      </c>
      <c r="CH70" s="148" t="s">
        <v>224</v>
      </c>
      <c r="CI70" s="149">
        <v>1.85</v>
      </c>
      <c r="CJ70" s="145">
        <f t="shared" si="30"/>
        <v>2.0350000000000001</v>
      </c>
      <c r="CK70" s="153">
        <v>1.5</v>
      </c>
      <c r="CL70" s="277">
        <f>(L72*H72)/12</f>
        <v>0</v>
      </c>
    </row>
    <row r="71" spans="1:90" ht="11.05" hidden="1" customHeight="1" x14ac:dyDescent="0.6">
      <c r="A71" s="42"/>
      <c r="B71" s="230"/>
      <c r="C71" s="231"/>
      <c r="D71" s="231"/>
      <c r="E71" s="232"/>
      <c r="F71" s="43"/>
      <c r="G71" s="43"/>
      <c r="H71" s="44"/>
      <c r="I71" s="45"/>
      <c r="J71" s="43"/>
      <c r="K71" s="46"/>
      <c r="L71" s="47">
        <f t="shared" si="0"/>
        <v>0</v>
      </c>
      <c r="M71" s="43"/>
      <c r="N71" s="43"/>
      <c r="O71" s="43"/>
      <c r="P71" s="46"/>
      <c r="Q71" s="47">
        <f t="shared" si="21"/>
        <v>0</v>
      </c>
      <c r="R71" s="233"/>
      <c r="S71" s="234"/>
      <c r="T71" s="230"/>
      <c r="U71" s="231"/>
      <c r="V71" s="231"/>
      <c r="W71" s="232"/>
      <c r="X71" s="235" t="str">
        <f>IFERROR(INDEX(Table3923[],MATCH(R71,Table3923[Column1],),3),"")</f>
        <v/>
      </c>
      <c r="Y71" s="235"/>
      <c r="Z71" s="48" t="s">
        <v>85</v>
      </c>
      <c r="AA71" s="48" t="s">
        <v>85</v>
      </c>
      <c r="AB71" s="49"/>
      <c r="AC71" s="50"/>
      <c r="AD71" s="51">
        <f t="shared" ref="AD71:AD102" si="44">SUM(AV71+AW71)</f>
        <v>0</v>
      </c>
      <c r="AG71" s="52">
        <f t="shared" ref="AG71:AG134" si="45">(((I71*2)+(J71*2))*K71)/12</f>
        <v>0</v>
      </c>
      <c r="AH71" s="53"/>
      <c r="AM71" s="55">
        <f t="shared" ref="AM71:AM134" si="46">IFERROR((Q71*X71),0)</f>
        <v>0</v>
      </c>
      <c r="AN71" s="55">
        <f t="shared" ref="AN71:AN134" si="47">IFERROR((AY71/$B$158)*$X$4,0)</f>
        <v>0</v>
      </c>
      <c r="AO71" s="55">
        <f t="shared" ref="AO71:AO102" si="48">BC71+BJ71+BE71</f>
        <v>0</v>
      </c>
      <c r="AP71" s="56">
        <f t="shared" ref="AP71:AP102" si="49">(($AB$4*$AJ$7)+($AC$2*$AJ$7))*BL71</f>
        <v>0</v>
      </c>
      <c r="AQ71" s="55" t="str">
        <f t="shared" si="22"/>
        <v>0.00</v>
      </c>
      <c r="AR71" s="55" t="str">
        <f t="shared" ref="AR71:AR102" si="50">IF($Z$2="No","0",(((AP71/$AJ$7)+BF71+BH71)*$AJ$13)-(AP71+BC71+BE71+BJ71))</f>
        <v>0</v>
      </c>
      <c r="AS71" s="57">
        <f t="shared" si="23"/>
        <v>0</v>
      </c>
      <c r="AT71" s="58">
        <f t="shared" ref="AT71:AT134" si="51">AD71*$AB$163</f>
        <v>0</v>
      </c>
      <c r="AU71" s="57">
        <f t="shared" ref="AU71:AU134" si="52">AD71-AV71-AT71-AS71</f>
        <v>0</v>
      </c>
      <c r="AV71" s="59">
        <f t="shared" si="24"/>
        <v>0</v>
      </c>
      <c r="AW71" s="59">
        <f t="shared" ref="AW71:AW134" si="53">AV71*$AB$167</f>
        <v>0</v>
      </c>
      <c r="AX71" s="9"/>
      <c r="AY71" s="60">
        <f t="shared" ref="AY71:AY102" si="54">IF(R71="removal only",0,((I71*J71*K71)/144))</f>
        <v>0</v>
      </c>
      <c r="AZ71" s="61">
        <f>_xlfn.IFNA(INDEX(Table3923[Column4],MATCH(R71,Table3923[Column1],0)),1.5)</f>
        <v>1.5</v>
      </c>
      <c r="BA71" s="62">
        <f>VLOOKUP(Z71,Table1331[#All],2,FALSE)</f>
        <v>1</v>
      </c>
      <c r="BB71" s="61">
        <f t="shared" si="25"/>
        <v>1.5</v>
      </c>
      <c r="BC71" s="55">
        <f t="shared" ref="BC71:BC102" si="55">IF(R71="removal only",0,(AY71*BB71))</f>
        <v>0</v>
      </c>
      <c r="BD71" s="43">
        <f t="shared" ref="BD71:BD102" si="56">IF(R71="removal only",0,K71)</f>
        <v>0</v>
      </c>
      <c r="BE71" s="63">
        <f t="shared" ref="BE71:BE102" si="57">(AB71/60)*$AJ$7</f>
        <v>0</v>
      </c>
      <c r="BF71" s="60">
        <f t="shared" ref="BF71:BF102" si="58">IF(R71="removal only",0,(BC71+BE71)/$AJ$7)</f>
        <v>0</v>
      </c>
      <c r="BG71" s="60">
        <f t="shared" ref="BG71:BG102" si="59">IF(H71="Yes",((I71*J71*K71)/144),0)</f>
        <v>0</v>
      </c>
      <c r="BH71" s="60">
        <f t="shared" ref="BH71:BH102" si="60">IF(BG71="0",0,BJ71/$AJ$7)</f>
        <v>0</v>
      </c>
      <c r="BI71" s="55">
        <f>VLOOKUP(AA71,Table1533[#All],2,FALSE)</f>
        <v>1.25</v>
      </c>
      <c r="BJ71" s="55">
        <f t="shared" ref="BJ71:BJ102" si="61">IF(H71="Yes",BG71*BI71,0)</f>
        <v>0</v>
      </c>
      <c r="BK71" s="43" t="str">
        <f t="shared" ref="BK71:BK102" si="62">IF(H71="Yes",K71,"0")</f>
        <v>0</v>
      </c>
      <c r="BL71" s="62">
        <f t="shared" si="26"/>
        <v>0</v>
      </c>
      <c r="CH71" s="148" t="s">
        <v>225</v>
      </c>
      <c r="CI71" s="151">
        <v>2.4</v>
      </c>
      <c r="CJ71" s="145">
        <f t="shared" si="30"/>
        <v>2.64</v>
      </c>
      <c r="CK71" s="153">
        <v>1.5</v>
      </c>
      <c r="CL71" s="277">
        <f>(L73*H73)/12</f>
        <v>0</v>
      </c>
    </row>
    <row r="72" spans="1:90" ht="11.05" hidden="1" customHeight="1" x14ac:dyDescent="0.6">
      <c r="A72" s="42"/>
      <c r="B72" s="230"/>
      <c r="C72" s="231"/>
      <c r="D72" s="231"/>
      <c r="E72" s="232"/>
      <c r="F72" s="43"/>
      <c r="G72" s="43"/>
      <c r="H72" s="44"/>
      <c r="I72" s="45"/>
      <c r="J72" s="43"/>
      <c r="K72" s="46"/>
      <c r="L72" s="47">
        <f t="shared" si="0"/>
        <v>0</v>
      </c>
      <c r="M72" s="43"/>
      <c r="N72" s="43"/>
      <c r="O72" s="43"/>
      <c r="P72" s="46"/>
      <c r="Q72" s="47">
        <f t="shared" ref="Q72:Q135" si="63">IF(P72&lt;&gt;"",M72*O72*P72/144,L72*(1+$Q$5))</f>
        <v>0</v>
      </c>
      <c r="R72" s="233"/>
      <c r="S72" s="234"/>
      <c r="T72" s="230"/>
      <c r="U72" s="231"/>
      <c r="V72" s="231"/>
      <c r="W72" s="232"/>
      <c r="X72" s="235" t="str">
        <f>IFERROR(INDEX(Table3923[],MATCH(R72,Table3923[Column1],),3),"")</f>
        <v/>
      </c>
      <c r="Y72" s="235"/>
      <c r="Z72" s="48" t="s">
        <v>85</v>
      </c>
      <c r="AA72" s="48" t="s">
        <v>85</v>
      </c>
      <c r="AB72" s="49"/>
      <c r="AC72" s="50"/>
      <c r="AD72" s="51">
        <f t="shared" si="44"/>
        <v>0</v>
      </c>
      <c r="AG72" s="52">
        <f t="shared" si="45"/>
        <v>0</v>
      </c>
      <c r="AH72" s="53"/>
      <c r="AM72" s="55">
        <f t="shared" si="46"/>
        <v>0</v>
      </c>
      <c r="AN72" s="55">
        <f t="shared" si="47"/>
        <v>0</v>
      </c>
      <c r="AO72" s="55">
        <f t="shared" si="48"/>
        <v>0</v>
      </c>
      <c r="AP72" s="56">
        <f t="shared" si="49"/>
        <v>0</v>
      </c>
      <c r="AQ72" s="55" t="str">
        <f t="shared" ref="AQ72:AQ135" si="64">IF(AND($X$2="Yes", $Z$2="No"), ((AO72+AP72)*0.25),"0.00")</f>
        <v>0.00</v>
      </c>
      <c r="AR72" s="55" t="str">
        <f t="shared" si="50"/>
        <v>0</v>
      </c>
      <c r="AS72" s="57">
        <f t="shared" ref="AS72:AS135" si="65">((AO72+AP72)/$AJ$7)*$AJ$10</f>
        <v>0</v>
      </c>
      <c r="AT72" s="58">
        <f t="shared" si="51"/>
        <v>0</v>
      </c>
      <c r="AU72" s="57">
        <f t="shared" si="52"/>
        <v>0</v>
      </c>
      <c r="AV72" s="59">
        <f t="shared" ref="AV72:AV135" si="66">SUM(AM72+AN72+AO72+AP72+AQ72+AR72)</f>
        <v>0</v>
      </c>
      <c r="AW72" s="59">
        <f t="shared" si="53"/>
        <v>0</v>
      </c>
      <c r="AX72" s="9"/>
      <c r="AY72" s="60">
        <f t="shared" si="54"/>
        <v>0</v>
      </c>
      <c r="AZ72" s="61">
        <f>_xlfn.IFNA(INDEX(Table3923[Column4],MATCH(R72,Table3923[Column1],0)),1.5)</f>
        <v>1.5</v>
      </c>
      <c r="BA72" s="62">
        <f>VLOOKUP(Z72,Table1331[#All],2,FALSE)</f>
        <v>1</v>
      </c>
      <c r="BB72" s="61">
        <f t="shared" si="25"/>
        <v>1.5</v>
      </c>
      <c r="BC72" s="55">
        <f t="shared" si="55"/>
        <v>0</v>
      </c>
      <c r="BD72" s="43">
        <f t="shared" si="56"/>
        <v>0</v>
      </c>
      <c r="BE72" s="63">
        <f t="shared" si="57"/>
        <v>0</v>
      </c>
      <c r="BF72" s="60">
        <f t="shared" si="58"/>
        <v>0</v>
      </c>
      <c r="BG72" s="60">
        <f t="shared" si="59"/>
        <v>0</v>
      </c>
      <c r="BH72" s="60">
        <f t="shared" si="60"/>
        <v>0</v>
      </c>
      <c r="BI72" s="55">
        <f>VLOOKUP(AA72,Table1533[#All],2,FALSE)</f>
        <v>1.25</v>
      </c>
      <c r="BJ72" s="55">
        <f t="shared" si="61"/>
        <v>0</v>
      </c>
      <c r="BK72" s="43" t="str">
        <f t="shared" si="62"/>
        <v>0</v>
      </c>
      <c r="BL72" s="62">
        <f t="shared" ref="BL72:BL135" si="67">IFERROR((BF72+BH72)/($S$158-$AB$4-$AC$2),0)</f>
        <v>0</v>
      </c>
      <c r="CH72" s="148" t="s">
        <v>226</v>
      </c>
      <c r="CI72" s="149">
        <v>2.4</v>
      </c>
      <c r="CJ72" s="145">
        <f t="shared" si="30"/>
        <v>2.64</v>
      </c>
      <c r="CK72" s="153">
        <v>1.5</v>
      </c>
      <c r="CL72" s="277">
        <f>(L74*H74)/12</f>
        <v>0</v>
      </c>
    </row>
    <row r="73" spans="1:90" ht="11.05" hidden="1" customHeight="1" x14ac:dyDescent="0.6">
      <c r="A73" s="42"/>
      <c r="B73" s="230"/>
      <c r="C73" s="231"/>
      <c r="D73" s="231"/>
      <c r="E73" s="232"/>
      <c r="F73" s="43"/>
      <c r="G73" s="43"/>
      <c r="H73" s="44"/>
      <c r="I73" s="45"/>
      <c r="J73" s="43"/>
      <c r="K73" s="46"/>
      <c r="L73" s="47">
        <f t="shared" si="0"/>
        <v>0</v>
      </c>
      <c r="M73" s="43"/>
      <c r="N73" s="43"/>
      <c r="O73" s="43"/>
      <c r="P73" s="46"/>
      <c r="Q73" s="47">
        <f t="shared" si="63"/>
        <v>0</v>
      </c>
      <c r="R73" s="233"/>
      <c r="S73" s="234"/>
      <c r="T73" s="230"/>
      <c r="U73" s="231"/>
      <c r="V73" s="231"/>
      <c r="W73" s="232"/>
      <c r="X73" s="235" t="str">
        <f>IFERROR(INDEX(Table3923[],MATCH(R73,Table3923[Column1],),3),"")</f>
        <v/>
      </c>
      <c r="Y73" s="235"/>
      <c r="Z73" s="48" t="s">
        <v>85</v>
      </c>
      <c r="AA73" s="48" t="s">
        <v>85</v>
      </c>
      <c r="AB73" s="49"/>
      <c r="AC73" s="50"/>
      <c r="AD73" s="51">
        <f t="shared" si="44"/>
        <v>0</v>
      </c>
      <c r="AG73" s="52">
        <f t="shared" si="45"/>
        <v>0</v>
      </c>
      <c r="AH73" s="53"/>
      <c r="AM73" s="55">
        <f t="shared" si="46"/>
        <v>0</v>
      </c>
      <c r="AN73" s="55">
        <f t="shared" si="47"/>
        <v>0</v>
      </c>
      <c r="AO73" s="55">
        <f t="shared" si="48"/>
        <v>0</v>
      </c>
      <c r="AP73" s="56">
        <f t="shared" si="49"/>
        <v>0</v>
      </c>
      <c r="AQ73" s="55" t="str">
        <f t="shared" si="64"/>
        <v>0.00</v>
      </c>
      <c r="AR73" s="55" t="str">
        <f t="shared" si="50"/>
        <v>0</v>
      </c>
      <c r="AS73" s="57">
        <f t="shared" si="65"/>
        <v>0</v>
      </c>
      <c r="AT73" s="58">
        <f t="shared" si="51"/>
        <v>0</v>
      </c>
      <c r="AU73" s="57">
        <f t="shared" si="52"/>
        <v>0</v>
      </c>
      <c r="AV73" s="59">
        <f t="shared" si="66"/>
        <v>0</v>
      </c>
      <c r="AW73" s="59">
        <f t="shared" si="53"/>
        <v>0</v>
      </c>
      <c r="AX73" s="9"/>
      <c r="AY73" s="60">
        <f t="shared" si="54"/>
        <v>0</v>
      </c>
      <c r="AZ73" s="61">
        <f>_xlfn.IFNA(INDEX(Table3923[Column4],MATCH(R73,Table3923[Column1],0)),1.5)</f>
        <v>1.5</v>
      </c>
      <c r="BA73" s="62">
        <f>VLOOKUP(Z73,Table1331[#All],2,FALSE)</f>
        <v>1</v>
      </c>
      <c r="BB73" s="61">
        <f t="shared" si="25"/>
        <v>1.5</v>
      </c>
      <c r="BC73" s="55">
        <f t="shared" si="55"/>
        <v>0</v>
      </c>
      <c r="BD73" s="43">
        <f t="shared" si="56"/>
        <v>0</v>
      </c>
      <c r="BE73" s="63">
        <f t="shared" si="57"/>
        <v>0</v>
      </c>
      <c r="BF73" s="60">
        <f t="shared" si="58"/>
        <v>0</v>
      </c>
      <c r="BG73" s="60">
        <f t="shared" si="59"/>
        <v>0</v>
      </c>
      <c r="BH73" s="60">
        <f t="shared" si="60"/>
        <v>0</v>
      </c>
      <c r="BI73" s="55">
        <f>VLOOKUP(AA73,Table1533[#All],2,FALSE)</f>
        <v>1.25</v>
      </c>
      <c r="BJ73" s="55">
        <f t="shared" si="61"/>
        <v>0</v>
      </c>
      <c r="BK73" s="43" t="str">
        <f t="shared" si="62"/>
        <v>0</v>
      </c>
      <c r="BL73" s="62">
        <f t="shared" si="67"/>
        <v>0</v>
      </c>
      <c r="CH73" s="148" t="s">
        <v>227</v>
      </c>
      <c r="CI73" s="151">
        <v>1.48</v>
      </c>
      <c r="CJ73" s="145">
        <f t="shared" si="30"/>
        <v>1.6280000000000001</v>
      </c>
      <c r="CK73" s="153">
        <v>2</v>
      </c>
      <c r="CL73" s="277">
        <f>(L75*H75)/12</f>
        <v>0</v>
      </c>
    </row>
    <row r="74" spans="1:90" ht="11.05" hidden="1" customHeight="1" x14ac:dyDescent="0.6">
      <c r="A74" s="42"/>
      <c r="B74" s="230"/>
      <c r="C74" s="231"/>
      <c r="D74" s="231"/>
      <c r="E74" s="232"/>
      <c r="F74" s="43"/>
      <c r="G74" s="43"/>
      <c r="H74" s="44"/>
      <c r="I74" s="45"/>
      <c r="J74" s="43"/>
      <c r="K74" s="46"/>
      <c r="L74" s="47">
        <f t="shared" si="0"/>
        <v>0</v>
      </c>
      <c r="M74" s="43"/>
      <c r="N74" s="43"/>
      <c r="O74" s="43"/>
      <c r="P74" s="46"/>
      <c r="Q74" s="47">
        <f t="shared" si="63"/>
        <v>0</v>
      </c>
      <c r="R74" s="233"/>
      <c r="S74" s="234"/>
      <c r="T74" s="230"/>
      <c r="U74" s="231"/>
      <c r="V74" s="231"/>
      <c r="W74" s="232"/>
      <c r="X74" s="235" t="str">
        <f>IFERROR(INDEX(Table3923[],MATCH(R74,Table3923[Column1],),3),"")</f>
        <v/>
      </c>
      <c r="Y74" s="235"/>
      <c r="Z74" s="48" t="s">
        <v>85</v>
      </c>
      <c r="AA74" s="48" t="s">
        <v>85</v>
      </c>
      <c r="AB74" s="49"/>
      <c r="AC74" s="50"/>
      <c r="AD74" s="51">
        <f t="shared" si="44"/>
        <v>0</v>
      </c>
      <c r="AG74" s="52">
        <f t="shared" si="45"/>
        <v>0</v>
      </c>
      <c r="AH74" s="53"/>
      <c r="AM74" s="55">
        <f t="shared" si="46"/>
        <v>0</v>
      </c>
      <c r="AN74" s="55">
        <f t="shared" si="47"/>
        <v>0</v>
      </c>
      <c r="AO74" s="55">
        <f t="shared" si="48"/>
        <v>0</v>
      </c>
      <c r="AP74" s="56">
        <f t="shared" si="49"/>
        <v>0</v>
      </c>
      <c r="AQ74" s="55" t="str">
        <f t="shared" si="64"/>
        <v>0.00</v>
      </c>
      <c r="AR74" s="55" t="str">
        <f t="shared" si="50"/>
        <v>0</v>
      </c>
      <c r="AS74" s="57">
        <f t="shared" si="65"/>
        <v>0</v>
      </c>
      <c r="AT74" s="58">
        <f t="shared" si="51"/>
        <v>0</v>
      </c>
      <c r="AU74" s="57">
        <f t="shared" si="52"/>
        <v>0</v>
      </c>
      <c r="AV74" s="59">
        <f t="shared" si="66"/>
        <v>0</v>
      </c>
      <c r="AW74" s="59">
        <f t="shared" si="53"/>
        <v>0</v>
      </c>
      <c r="AX74" s="9"/>
      <c r="AY74" s="60">
        <f t="shared" si="54"/>
        <v>0</v>
      </c>
      <c r="AZ74" s="61">
        <f>_xlfn.IFNA(INDEX(Table3923[Column4],MATCH(R74,Table3923[Column1],0)),1.5)</f>
        <v>1.5</v>
      </c>
      <c r="BA74" s="62">
        <f>VLOOKUP(Z74,Table1331[#All],2,FALSE)</f>
        <v>1</v>
      </c>
      <c r="BB74" s="61">
        <f t="shared" si="25"/>
        <v>1.5</v>
      </c>
      <c r="BC74" s="55">
        <f t="shared" si="55"/>
        <v>0</v>
      </c>
      <c r="BD74" s="43">
        <f t="shared" si="56"/>
        <v>0</v>
      </c>
      <c r="BE74" s="63">
        <f t="shared" si="57"/>
        <v>0</v>
      </c>
      <c r="BF74" s="60">
        <f t="shared" si="58"/>
        <v>0</v>
      </c>
      <c r="BG74" s="60">
        <f t="shared" si="59"/>
        <v>0</v>
      </c>
      <c r="BH74" s="60">
        <f t="shared" si="60"/>
        <v>0</v>
      </c>
      <c r="BI74" s="55">
        <f>VLOOKUP(AA74,Table1533[#All],2,FALSE)</f>
        <v>1.25</v>
      </c>
      <c r="BJ74" s="55">
        <f t="shared" si="61"/>
        <v>0</v>
      </c>
      <c r="BK74" s="43" t="str">
        <f t="shared" si="62"/>
        <v>0</v>
      </c>
      <c r="BL74" s="62">
        <f t="shared" si="67"/>
        <v>0</v>
      </c>
      <c r="CH74" s="148" t="s">
        <v>228</v>
      </c>
      <c r="CI74" s="149">
        <v>1.48</v>
      </c>
      <c r="CJ74" s="145">
        <f t="shared" si="30"/>
        <v>1.6280000000000001</v>
      </c>
      <c r="CK74" s="153">
        <v>2</v>
      </c>
      <c r="CL74" s="277">
        <f>(L76*H76)/12</f>
        <v>0</v>
      </c>
    </row>
    <row r="75" spans="1:90" ht="11.05" hidden="1" customHeight="1" x14ac:dyDescent="0.6">
      <c r="A75" s="42"/>
      <c r="B75" s="230"/>
      <c r="C75" s="231"/>
      <c r="D75" s="231"/>
      <c r="E75" s="232"/>
      <c r="F75" s="43"/>
      <c r="G75" s="43"/>
      <c r="H75" s="44"/>
      <c r="I75" s="45"/>
      <c r="J75" s="43"/>
      <c r="K75" s="46"/>
      <c r="L75" s="47">
        <f t="shared" si="0"/>
        <v>0</v>
      </c>
      <c r="M75" s="43"/>
      <c r="N75" s="43"/>
      <c r="O75" s="43"/>
      <c r="P75" s="46"/>
      <c r="Q75" s="47">
        <f t="shared" si="63"/>
        <v>0</v>
      </c>
      <c r="R75" s="233"/>
      <c r="S75" s="234"/>
      <c r="T75" s="230"/>
      <c r="U75" s="231"/>
      <c r="V75" s="231"/>
      <c r="W75" s="232"/>
      <c r="X75" s="235" t="str">
        <f>IFERROR(INDEX(Table3923[],MATCH(R75,Table3923[Column1],),3),"")</f>
        <v/>
      </c>
      <c r="Y75" s="235"/>
      <c r="Z75" s="48" t="s">
        <v>85</v>
      </c>
      <c r="AA75" s="48" t="s">
        <v>85</v>
      </c>
      <c r="AB75" s="49"/>
      <c r="AC75" s="50"/>
      <c r="AD75" s="51">
        <f t="shared" si="44"/>
        <v>0</v>
      </c>
      <c r="AG75" s="52">
        <f t="shared" si="45"/>
        <v>0</v>
      </c>
      <c r="AH75" s="53"/>
      <c r="AM75" s="55">
        <f t="shared" si="46"/>
        <v>0</v>
      </c>
      <c r="AN75" s="55">
        <f t="shared" si="47"/>
        <v>0</v>
      </c>
      <c r="AO75" s="55">
        <f t="shared" si="48"/>
        <v>0</v>
      </c>
      <c r="AP75" s="56">
        <f t="shared" si="49"/>
        <v>0</v>
      </c>
      <c r="AQ75" s="55" t="str">
        <f t="shared" si="64"/>
        <v>0.00</v>
      </c>
      <c r="AR75" s="55" t="str">
        <f t="shared" si="50"/>
        <v>0</v>
      </c>
      <c r="AS75" s="57">
        <f t="shared" si="65"/>
        <v>0</v>
      </c>
      <c r="AT75" s="58">
        <f t="shared" si="51"/>
        <v>0</v>
      </c>
      <c r="AU75" s="57">
        <f t="shared" si="52"/>
        <v>0</v>
      </c>
      <c r="AV75" s="59">
        <f t="shared" si="66"/>
        <v>0</v>
      </c>
      <c r="AW75" s="59">
        <f t="shared" si="53"/>
        <v>0</v>
      </c>
      <c r="AX75" s="9"/>
      <c r="AY75" s="60">
        <f t="shared" si="54"/>
        <v>0</v>
      </c>
      <c r="AZ75" s="61">
        <f>_xlfn.IFNA(INDEX(Table3923[Column4],MATCH(R75,Table3923[Column1],0)),1.5)</f>
        <v>1.5</v>
      </c>
      <c r="BA75" s="62">
        <f>VLOOKUP(Z75,Table1331[#All],2,FALSE)</f>
        <v>1</v>
      </c>
      <c r="BB75" s="61">
        <f t="shared" si="25"/>
        <v>1.5</v>
      </c>
      <c r="BC75" s="55">
        <f t="shared" si="55"/>
        <v>0</v>
      </c>
      <c r="BD75" s="43">
        <f t="shared" si="56"/>
        <v>0</v>
      </c>
      <c r="BE75" s="63">
        <f t="shared" si="57"/>
        <v>0</v>
      </c>
      <c r="BF75" s="60">
        <f t="shared" si="58"/>
        <v>0</v>
      </c>
      <c r="BG75" s="60">
        <f t="shared" si="59"/>
        <v>0</v>
      </c>
      <c r="BH75" s="60">
        <f t="shared" si="60"/>
        <v>0</v>
      </c>
      <c r="BI75" s="55">
        <f>VLOOKUP(AA75,Table1533[#All],2,FALSE)</f>
        <v>1.25</v>
      </c>
      <c r="BJ75" s="55">
        <f t="shared" si="61"/>
        <v>0</v>
      </c>
      <c r="BK75" s="43" t="str">
        <f t="shared" si="62"/>
        <v>0</v>
      </c>
      <c r="BL75" s="62">
        <f t="shared" si="67"/>
        <v>0</v>
      </c>
      <c r="CH75" s="148" t="s">
        <v>229</v>
      </c>
      <c r="CI75" s="151">
        <v>1.97</v>
      </c>
      <c r="CJ75" s="145">
        <f t="shared" si="30"/>
        <v>2.1670000000000003</v>
      </c>
      <c r="CK75" s="153">
        <v>1.5</v>
      </c>
      <c r="CL75" s="277">
        <f>(L77*H77)/12</f>
        <v>0</v>
      </c>
    </row>
    <row r="76" spans="1:90" ht="11.05" hidden="1" customHeight="1" x14ac:dyDescent="0.6">
      <c r="A76" s="42"/>
      <c r="B76" s="230"/>
      <c r="C76" s="231"/>
      <c r="D76" s="231"/>
      <c r="E76" s="232"/>
      <c r="F76" s="43"/>
      <c r="G76" s="43"/>
      <c r="H76" s="44"/>
      <c r="I76" s="45"/>
      <c r="J76" s="43"/>
      <c r="K76" s="46"/>
      <c r="L76" s="47">
        <f t="shared" si="0"/>
        <v>0</v>
      </c>
      <c r="M76" s="43"/>
      <c r="N76" s="43"/>
      <c r="O76" s="43"/>
      <c r="P76" s="46"/>
      <c r="Q76" s="47">
        <f t="shared" si="63"/>
        <v>0</v>
      </c>
      <c r="R76" s="233"/>
      <c r="S76" s="234"/>
      <c r="T76" s="230"/>
      <c r="U76" s="231"/>
      <c r="V76" s="231"/>
      <c r="W76" s="232"/>
      <c r="X76" s="235" t="str">
        <f>IFERROR(INDEX(Table3923[],MATCH(R76,Table3923[Column1],),3),"")</f>
        <v/>
      </c>
      <c r="Y76" s="235"/>
      <c r="Z76" s="48" t="s">
        <v>85</v>
      </c>
      <c r="AA76" s="48" t="s">
        <v>85</v>
      </c>
      <c r="AB76" s="49"/>
      <c r="AC76" s="50"/>
      <c r="AD76" s="51">
        <f t="shared" si="44"/>
        <v>0</v>
      </c>
      <c r="AG76" s="52">
        <f t="shared" si="45"/>
        <v>0</v>
      </c>
      <c r="AH76" s="53"/>
      <c r="AM76" s="55">
        <f t="shared" si="46"/>
        <v>0</v>
      </c>
      <c r="AN76" s="55">
        <f t="shared" si="47"/>
        <v>0</v>
      </c>
      <c r="AO76" s="55">
        <f t="shared" si="48"/>
        <v>0</v>
      </c>
      <c r="AP76" s="56">
        <f t="shared" si="49"/>
        <v>0</v>
      </c>
      <c r="AQ76" s="55" t="str">
        <f t="shared" si="64"/>
        <v>0.00</v>
      </c>
      <c r="AR76" s="55" t="str">
        <f t="shared" si="50"/>
        <v>0</v>
      </c>
      <c r="AS76" s="57">
        <f t="shared" si="65"/>
        <v>0</v>
      </c>
      <c r="AT76" s="58">
        <f t="shared" si="51"/>
        <v>0</v>
      </c>
      <c r="AU76" s="57">
        <f t="shared" si="52"/>
        <v>0</v>
      </c>
      <c r="AV76" s="59">
        <f t="shared" si="66"/>
        <v>0</v>
      </c>
      <c r="AW76" s="59">
        <f t="shared" si="53"/>
        <v>0</v>
      </c>
      <c r="AX76" s="9"/>
      <c r="AY76" s="60">
        <f t="shared" si="54"/>
        <v>0</v>
      </c>
      <c r="AZ76" s="61">
        <f>_xlfn.IFNA(INDEX(Table3923[Column4],MATCH(R76,Table3923[Column1],0)),1.5)</f>
        <v>1.5</v>
      </c>
      <c r="BA76" s="62">
        <f>VLOOKUP(Z76,Table1331[#All],2,FALSE)</f>
        <v>1</v>
      </c>
      <c r="BB76" s="61">
        <f t="shared" si="25"/>
        <v>1.5</v>
      </c>
      <c r="BC76" s="55">
        <f t="shared" si="55"/>
        <v>0</v>
      </c>
      <c r="BD76" s="43">
        <f t="shared" si="56"/>
        <v>0</v>
      </c>
      <c r="BE76" s="63">
        <f t="shared" si="57"/>
        <v>0</v>
      </c>
      <c r="BF76" s="60">
        <f t="shared" si="58"/>
        <v>0</v>
      </c>
      <c r="BG76" s="60">
        <f t="shared" si="59"/>
        <v>0</v>
      </c>
      <c r="BH76" s="60">
        <f t="shared" si="60"/>
        <v>0</v>
      </c>
      <c r="BI76" s="55">
        <f>VLOOKUP(AA76,Table1533[#All],2,FALSE)</f>
        <v>1.25</v>
      </c>
      <c r="BJ76" s="55">
        <f t="shared" si="61"/>
        <v>0</v>
      </c>
      <c r="BK76" s="43" t="str">
        <f t="shared" si="62"/>
        <v>0</v>
      </c>
      <c r="BL76" s="62">
        <f t="shared" si="67"/>
        <v>0</v>
      </c>
      <c r="CH76" s="148" t="s">
        <v>230</v>
      </c>
      <c r="CI76" s="149">
        <v>1.97</v>
      </c>
      <c r="CJ76" s="145">
        <f t="shared" si="30"/>
        <v>2.1670000000000003</v>
      </c>
      <c r="CK76" s="153">
        <v>1.5</v>
      </c>
      <c r="CL76" s="277">
        <f>(L78*H78)/12</f>
        <v>0</v>
      </c>
    </row>
    <row r="77" spans="1:90" ht="11.05" hidden="1" customHeight="1" x14ac:dyDescent="0.6">
      <c r="A77" s="42"/>
      <c r="B77" s="230"/>
      <c r="C77" s="231"/>
      <c r="D77" s="231"/>
      <c r="E77" s="232"/>
      <c r="F77" s="43"/>
      <c r="G77" s="43"/>
      <c r="H77" s="44"/>
      <c r="I77" s="45"/>
      <c r="J77" s="43"/>
      <c r="K77" s="46"/>
      <c r="L77" s="47">
        <f t="shared" si="0"/>
        <v>0</v>
      </c>
      <c r="M77" s="43"/>
      <c r="N77" s="43"/>
      <c r="O77" s="43"/>
      <c r="P77" s="46"/>
      <c r="Q77" s="47">
        <f t="shared" si="63"/>
        <v>0</v>
      </c>
      <c r="R77" s="233"/>
      <c r="S77" s="234"/>
      <c r="T77" s="230"/>
      <c r="U77" s="231"/>
      <c r="V77" s="231"/>
      <c r="W77" s="232"/>
      <c r="X77" s="235" t="str">
        <f>IFERROR(INDEX(Table3923[],MATCH(R77,Table3923[Column1],),3),"")</f>
        <v/>
      </c>
      <c r="Y77" s="235"/>
      <c r="Z77" s="48" t="s">
        <v>85</v>
      </c>
      <c r="AA77" s="48" t="s">
        <v>85</v>
      </c>
      <c r="AB77" s="49"/>
      <c r="AC77" s="50"/>
      <c r="AD77" s="51">
        <f t="shared" si="44"/>
        <v>0</v>
      </c>
      <c r="AG77" s="52">
        <f t="shared" si="45"/>
        <v>0</v>
      </c>
      <c r="AH77" s="53"/>
      <c r="AM77" s="55">
        <f t="shared" si="46"/>
        <v>0</v>
      </c>
      <c r="AN77" s="55">
        <f t="shared" si="47"/>
        <v>0</v>
      </c>
      <c r="AO77" s="55">
        <f t="shared" si="48"/>
        <v>0</v>
      </c>
      <c r="AP77" s="56">
        <f t="shared" si="49"/>
        <v>0</v>
      </c>
      <c r="AQ77" s="55" t="str">
        <f t="shared" si="64"/>
        <v>0.00</v>
      </c>
      <c r="AR77" s="55" t="str">
        <f t="shared" si="50"/>
        <v>0</v>
      </c>
      <c r="AS77" s="57">
        <f t="shared" si="65"/>
        <v>0</v>
      </c>
      <c r="AT77" s="58">
        <f t="shared" si="51"/>
        <v>0</v>
      </c>
      <c r="AU77" s="57">
        <f t="shared" si="52"/>
        <v>0</v>
      </c>
      <c r="AV77" s="59">
        <f t="shared" si="66"/>
        <v>0</v>
      </c>
      <c r="AW77" s="59">
        <f t="shared" si="53"/>
        <v>0</v>
      </c>
      <c r="AX77" s="9"/>
      <c r="AY77" s="60">
        <f t="shared" si="54"/>
        <v>0</v>
      </c>
      <c r="AZ77" s="61">
        <f>_xlfn.IFNA(INDEX(Table3923[Column4],MATCH(R77,Table3923[Column1],0)),1.5)</f>
        <v>1.5</v>
      </c>
      <c r="BA77" s="62">
        <f>VLOOKUP(Z77,Table1331[#All],2,FALSE)</f>
        <v>1</v>
      </c>
      <c r="BB77" s="61">
        <f t="shared" si="25"/>
        <v>1.5</v>
      </c>
      <c r="BC77" s="55">
        <f t="shared" si="55"/>
        <v>0</v>
      </c>
      <c r="BD77" s="43">
        <f t="shared" si="56"/>
        <v>0</v>
      </c>
      <c r="BE77" s="63">
        <f t="shared" si="57"/>
        <v>0</v>
      </c>
      <c r="BF77" s="60">
        <f t="shared" si="58"/>
        <v>0</v>
      </c>
      <c r="BG77" s="60">
        <f t="shared" si="59"/>
        <v>0</v>
      </c>
      <c r="BH77" s="60">
        <f t="shared" si="60"/>
        <v>0</v>
      </c>
      <c r="BI77" s="55">
        <f>VLOOKUP(AA77,Table1533[#All],2,FALSE)</f>
        <v>1.25</v>
      </c>
      <c r="BJ77" s="55">
        <f t="shared" si="61"/>
        <v>0</v>
      </c>
      <c r="BK77" s="43" t="str">
        <f t="shared" si="62"/>
        <v>0</v>
      </c>
      <c r="BL77" s="62">
        <f t="shared" si="67"/>
        <v>0</v>
      </c>
      <c r="CH77" s="148"/>
      <c r="CI77" s="151"/>
      <c r="CJ77" s="145"/>
      <c r="CK77" s="153"/>
      <c r="CL77" s="277">
        <f>(L79*H79)/12</f>
        <v>0</v>
      </c>
    </row>
    <row r="78" spans="1:90" ht="11.05" hidden="1" customHeight="1" x14ac:dyDescent="0.6">
      <c r="A78" s="42"/>
      <c r="B78" s="230"/>
      <c r="C78" s="231"/>
      <c r="D78" s="231"/>
      <c r="E78" s="232"/>
      <c r="F78" s="43"/>
      <c r="G78" s="43"/>
      <c r="H78" s="44"/>
      <c r="I78" s="45"/>
      <c r="J78" s="43"/>
      <c r="K78" s="46"/>
      <c r="L78" s="47">
        <f t="shared" si="0"/>
        <v>0</v>
      </c>
      <c r="M78" s="43"/>
      <c r="N78" s="43"/>
      <c r="O78" s="43"/>
      <c r="P78" s="46"/>
      <c r="Q78" s="47">
        <f t="shared" si="63"/>
        <v>0</v>
      </c>
      <c r="R78" s="233"/>
      <c r="S78" s="234"/>
      <c r="T78" s="230"/>
      <c r="U78" s="231"/>
      <c r="V78" s="231"/>
      <c r="W78" s="232"/>
      <c r="X78" s="235" t="str">
        <f>IFERROR(INDEX(Table3923[],MATCH(R78,Table3923[Column1],),3),"")</f>
        <v/>
      </c>
      <c r="Y78" s="235"/>
      <c r="Z78" s="48" t="s">
        <v>85</v>
      </c>
      <c r="AA78" s="48" t="s">
        <v>85</v>
      </c>
      <c r="AB78" s="49"/>
      <c r="AC78" s="50"/>
      <c r="AD78" s="51">
        <f t="shared" si="44"/>
        <v>0</v>
      </c>
      <c r="AG78" s="52">
        <f t="shared" si="45"/>
        <v>0</v>
      </c>
      <c r="AH78" s="53"/>
      <c r="AM78" s="55">
        <f t="shared" si="46"/>
        <v>0</v>
      </c>
      <c r="AN78" s="55">
        <f t="shared" si="47"/>
        <v>0</v>
      </c>
      <c r="AO78" s="55">
        <f t="shared" si="48"/>
        <v>0</v>
      </c>
      <c r="AP78" s="56">
        <f t="shared" si="49"/>
        <v>0</v>
      </c>
      <c r="AQ78" s="55" t="str">
        <f t="shared" si="64"/>
        <v>0.00</v>
      </c>
      <c r="AR78" s="55" t="str">
        <f t="shared" si="50"/>
        <v>0</v>
      </c>
      <c r="AS78" s="57">
        <f t="shared" si="65"/>
        <v>0</v>
      </c>
      <c r="AT78" s="58">
        <f t="shared" si="51"/>
        <v>0</v>
      </c>
      <c r="AU78" s="57">
        <f t="shared" si="52"/>
        <v>0</v>
      </c>
      <c r="AV78" s="59">
        <f t="shared" si="66"/>
        <v>0</v>
      </c>
      <c r="AW78" s="59">
        <f t="shared" si="53"/>
        <v>0</v>
      </c>
      <c r="AX78" s="9"/>
      <c r="AY78" s="60">
        <f t="shared" si="54"/>
        <v>0</v>
      </c>
      <c r="AZ78" s="61">
        <f>_xlfn.IFNA(INDEX(Table3923[Column4],MATCH(R78,Table3923[Column1],0)),1.5)</f>
        <v>1.5</v>
      </c>
      <c r="BA78" s="62">
        <f>VLOOKUP(Z78,Table1331[#All],2,FALSE)</f>
        <v>1</v>
      </c>
      <c r="BB78" s="61">
        <f t="shared" si="25"/>
        <v>1.5</v>
      </c>
      <c r="BC78" s="55">
        <f t="shared" si="55"/>
        <v>0</v>
      </c>
      <c r="BD78" s="43">
        <f t="shared" si="56"/>
        <v>0</v>
      </c>
      <c r="BE78" s="63">
        <f t="shared" si="57"/>
        <v>0</v>
      </c>
      <c r="BF78" s="60">
        <f t="shared" si="58"/>
        <v>0</v>
      </c>
      <c r="BG78" s="60">
        <f t="shared" si="59"/>
        <v>0</v>
      </c>
      <c r="BH78" s="60">
        <f t="shared" si="60"/>
        <v>0</v>
      </c>
      <c r="BI78" s="55">
        <f>VLOOKUP(AA78,Table1533[#All],2,FALSE)</f>
        <v>1.25</v>
      </c>
      <c r="BJ78" s="55">
        <f t="shared" si="61"/>
        <v>0</v>
      </c>
      <c r="BK78" s="43" t="str">
        <f t="shared" si="62"/>
        <v>0</v>
      </c>
      <c r="BL78" s="62">
        <f t="shared" si="67"/>
        <v>0</v>
      </c>
      <c r="CH78" s="148" t="s">
        <v>231</v>
      </c>
      <c r="CI78" s="149">
        <v>1.43</v>
      </c>
      <c r="CJ78" s="145">
        <f t="shared" si="30"/>
        <v>1.573</v>
      </c>
      <c r="CK78" s="150">
        <v>1.5</v>
      </c>
      <c r="CL78" s="277">
        <f>(L80*H80)/12</f>
        <v>0</v>
      </c>
    </row>
    <row r="79" spans="1:90" ht="11.05" hidden="1" customHeight="1" x14ac:dyDescent="0.6">
      <c r="A79" s="42"/>
      <c r="B79" s="230"/>
      <c r="C79" s="231"/>
      <c r="D79" s="231"/>
      <c r="E79" s="232"/>
      <c r="F79" s="43"/>
      <c r="G79" s="43"/>
      <c r="H79" s="44"/>
      <c r="I79" s="45"/>
      <c r="J79" s="43"/>
      <c r="K79" s="46"/>
      <c r="L79" s="47">
        <f t="shared" si="0"/>
        <v>0</v>
      </c>
      <c r="M79" s="43"/>
      <c r="N79" s="43"/>
      <c r="O79" s="43"/>
      <c r="P79" s="46"/>
      <c r="Q79" s="47">
        <f t="shared" si="63"/>
        <v>0</v>
      </c>
      <c r="R79" s="233"/>
      <c r="S79" s="234"/>
      <c r="T79" s="230"/>
      <c r="U79" s="231"/>
      <c r="V79" s="231"/>
      <c r="W79" s="232"/>
      <c r="X79" s="235" t="str">
        <f>IFERROR(INDEX(Table3923[],MATCH(R79,Table3923[Column1],),3),"")</f>
        <v/>
      </c>
      <c r="Y79" s="235"/>
      <c r="Z79" s="48" t="s">
        <v>85</v>
      </c>
      <c r="AA79" s="48" t="s">
        <v>85</v>
      </c>
      <c r="AB79" s="49"/>
      <c r="AC79" s="50"/>
      <c r="AD79" s="51">
        <f t="shared" si="44"/>
        <v>0</v>
      </c>
      <c r="AG79" s="52">
        <f t="shared" si="45"/>
        <v>0</v>
      </c>
      <c r="AH79" s="53"/>
      <c r="AM79" s="55">
        <f t="shared" si="46"/>
        <v>0</v>
      </c>
      <c r="AN79" s="55">
        <f t="shared" si="47"/>
        <v>0</v>
      </c>
      <c r="AO79" s="55">
        <f t="shared" si="48"/>
        <v>0</v>
      </c>
      <c r="AP79" s="56">
        <f t="shared" si="49"/>
        <v>0</v>
      </c>
      <c r="AQ79" s="55" t="str">
        <f t="shared" si="64"/>
        <v>0.00</v>
      </c>
      <c r="AR79" s="55" t="str">
        <f t="shared" si="50"/>
        <v>0</v>
      </c>
      <c r="AS79" s="57">
        <f t="shared" si="65"/>
        <v>0</v>
      </c>
      <c r="AT79" s="58">
        <f t="shared" si="51"/>
        <v>0</v>
      </c>
      <c r="AU79" s="57">
        <f t="shared" si="52"/>
        <v>0</v>
      </c>
      <c r="AV79" s="59">
        <f t="shared" si="66"/>
        <v>0</v>
      </c>
      <c r="AW79" s="59">
        <f t="shared" si="53"/>
        <v>0</v>
      </c>
      <c r="AX79" s="9"/>
      <c r="AY79" s="60">
        <f t="shared" si="54"/>
        <v>0</v>
      </c>
      <c r="AZ79" s="61">
        <f>_xlfn.IFNA(INDEX(Table3923[Column4],MATCH(R79,Table3923[Column1],0)),1.5)</f>
        <v>1.5</v>
      </c>
      <c r="BA79" s="62">
        <f>VLOOKUP(Z79,Table1331[#All],2,FALSE)</f>
        <v>1</v>
      </c>
      <c r="BB79" s="61">
        <f t="shared" si="25"/>
        <v>1.5</v>
      </c>
      <c r="BC79" s="55">
        <f t="shared" si="55"/>
        <v>0</v>
      </c>
      <c r="BD79" s="43">
        <f t="shared" si="56"/>
        <v>0</v>
      </c>
      <c r="BE79" s="63">
        <f t="shared" si="57"/>
        <v>0</v>
      </c>
      <c r="BF79" s="60">
        <f t="shared" si="58"/>
        <v>0</v>
      </c>
      <c r="BG79" s="60">
        <f t="shared" si="59"/>
        <v>0</v>
      </c>
      <c r="BH79" s="60">
        <f t="shared" si="60"/>
        <v>0</v>
      </c>
      <c r="BI79" s="55">
        <f>VLOOKUP(AA79,Table1533[#All],2,FALSE)</f>
        <v>1.25</v>
      </c>
      <c r="BJ79" s="55">
        <f t="shared" si="61"/>
        <v>0</v>
      </c>
      <c r="BK79" s="43" t="str">
        <f t="shared" si="62"/>
        <v>0</v>
      </c>
      <c r="BL79" s="62">
        <f t="shared" si="67"/>
        <v>0</v>
      </c>
      <c r="CH79" s="148" t="s">
        <v>232</v>
      </c>
      <c r="CI79" s="151">
        <v>1.43</v>
      </c>
      <c r="CJ79" s="145">
        <f t="shared" si="30"/>
        <v>1.573</v>
      </c>
      <c r="CK79" s="150">
        <v>1.5</v>
      </c>
      <c r="CL79" s="277">
        <f>(L81*H81)/12</f>
        <v>0</v>
      </c>
    </row>
    <row r="80" spans="1:90" ht="11.05" hidden="1" customHeight="1" x14ac:dyDescent="0.6">
      <c r="A80" s="42"/>
      <c r="B80" s="230"/>
      <c r="C80" s="231"/>
      <c r="D80" s="231"/>
      <c r="E80" s="232"/>
      <c r="F80" s="43"/>
      <c r="G80" s="43"/>
      <c r="H80" s="44"/>
      <c r="I80" s="45"/>
      <c r="J80" s="43"/>
      <c r="K80" s="46"/>
      <c r="L80" s="47">
        <f t="shared" si="0"/>
        <v>0</v>
      </c>
      <c r="M80" s="43"/>
      <c r="N80" s="43"/>
      <c r="O80" s="43"/>
      <c r="P80" s="46"/>
      <c r="Q80" s="47">
        <f t="shared" si="63"/>
        <v>0</v>
      </c>
      <c r="R80" s="233"/>
      <c r="S80" s="234"/>
      <c r="T80" s="230"/>
      <c r="U80" s="231"/>
      <c r="V80" s="231"/>
      <c r="W80" s="232"/>
      <c r="X80" s="235" t="str">
        <f>IFERROR(INDEX(Table3923[],MATCH(R80,Table3923[Column1],),3),"")</f>
        <v/>
      </c>
      <c r="Y80" s="235"/>
      <c r="Z80" s="48" t="s">
        <v>85</v>
      </c>
      <c r="AA80" s="48" t="s">
        <v>85</v>
      </c>
      <c r="AB80" s="49"/>
      <c r="AC80" s="50"/>
      <c r="AD80" s="51">
        <f t="shared" si="44"/>
        <v>0</v>
      </c>
      <c r="AG80" s="52">
        <f t="shared" si="45"/>
        <v>0</v>
      </c>
      <c r="AH80" s="53"/>
      <c r="AM80" s="55">
        <f t="shared" si="46"/>
        <v>0</v>
      </c>
      <c r="AN80" s="55">
        <f t="shared" si="47"/>
        <v>0</v>
      </c>
      <c r="AO80" s="55">
        <f t="shared" si="48"/>
        <v>0</v>
      </c>
      <c r="AP80" s="56">
        <f t="shared" si="49"/>
        <v>0</v>
      </c>
      <c r="AQ80" s="55" t="str">
        <f t="shared" si="64"/>
        <v>0.00</v>
      </c>
      <c r="AR80" s="55" t="str">
        <f t="shared" si="50"/>
        <v>0</v>
      </c>
      <c r="AS80" s="57">
        <f t="shared" si="65"/>
        <v>0</v>
      </c>
      <c r="AT80" s="58">
        <f t="shared" si="51"/>
        <v>0</v>
      </c>
      <c r="AU80" s="57">
        <f t="shared" si="52"/>
        <v>0</v>
      </c>
      <c r="AV80" s="59">
        <f t="shared" si="66"/>
        <v>0</v>
      </c>
      <c r="AW80" s="59">
        <f t="shared" si="53"/>
        <v>0</v>
      </c>
      <c r="AX80" s="9"/>
      <c r="AY80" s="60">
        <f t="shared" si="54"/>
        <v>0</v>
      </c>
      <c r="AZ80" s="61">
        <f>_xlfn.IFNA(INDEX(Table3923[Column4],MATCH(R80,Table3923[Column1],0)),1.5)</f>
        <v>1.5</v>
      </c>
      <c r="BA80" s="62">
        <f>VLOOKUP(Z80,Table1331[#All],2,FALSE)</f>
        <v>1</v>
      </c>
      <c r="BB80" s="61">
        <f t="shared" si="25"/>
        <v>1.5</v>
      </c>
      <c r="BC80" s="55">
        <f t="shared" si="55"/>
        <v>0</v>
      </c>
      <c r="BD80" s="43">
        <f t="shared" si="56"/>
        <v>0</v>
      </c>
      <c r="BE80" s="63">
        <f t="shared" si="57"/>
        <v>0</v>
      </c>
      <c r="BF80" s="60">
        <f t="shared" si="58"/>
        <v>0</v>
      </c>
      <c r="BG80" s="60">
        <f t="shared" si="59"/>
        <v>0</v>
      </c>
      <c r="BH80" s="60">
        <f t="shared" si="60"/>
        <v>0</v>
      </c>
      <c r="BI80" s="55">
        <f>VLOOKUP(AA80,Table1533[#All],2,FALSE)</f>
        <v>1.25</v>
      </c>
      <c r="BJ80" s="55">
        <f t="shared" si="61"/>
        <v>0</v>
      </c>
      <c r="BK80" s="43" t="str">
        <f t="shared" si="62"/>
        <v>0</v>
      </c>
      <c r="BL80" s="62">
        <f t="shared" si="67"/>
        <v>0</v>
      </c>
      <c r="CH80" s="148" t="s">
        <v>233</v>
      </c>
      <c r="CI80" s="149">
        <v>1.43</v>
      </c>
      <c r="CJ80" s="145">
        <f t="shared" si="30"/>
        <v>1.573</v>
      </c>
      <c r="CK80" s="153">
        <v>1.5</v>
      </c>
      <c r="CL80" s="277">
        <f>(L82*H82)/12</f>
        <v>0</v>
      </c>
    </row>
    <row r="81" spans="1:90" ht="11.05" hidden="1" customHeight="1" x14ac:dyDescent="0.6">
      <c r="A81" s="42"/>
      <c r="B81" s="230"/>
      <c r="C81" s="231"/>
      <c r="D81" s="231"/>
      <c r="E81" s="232"/>
      <c r="F81" s="43"/>
      <c r="G81" s="43"/>
      <c r="H81" s="44"/>
      <c r="I81" s="45"/>
      <c r="J81" s="43"/>
      <c r="K81" s="46"/>
      <c r="L81" s="47">
        <f t="shared" si="0"/>
        <v>0</v>
      </c>
      <c r="M81" s="43"/>
      <c r="N81" s="43"/>
      <c r="O81" s="43"/>
      <c r="P81" s="46"/>
      <c r="Q81" s="47">
        <f t="shared" si="63"/>
        <v>0</v>
      </c>
      <c r="R81" s="233"/>
      <c r="S81" s="234"/>
      <c r="T81" s="230"/>
      <c r="U81" s="231"/>
      <c r="V81" s="231"/>
      <c r="W81" s="232"/>
      <c r="X81" s="235" t="str">
        <f>IFERROR(INDEX(Table3923[],MATCH(R81,Table3923[Column1],),3),"")</f>
        <v/>
      </c>
      <c r="Y81" s="235"/>
      <c r="Z81" s="48" t="s">
        <v>85</v>
      </c>
      <c r="AA81" s="48" t="s">
        <v>85</v>
      </c>
      <c r="AB81" s="49"/>
      <c r="AC81" s="50"/>
      <c r="AD81" s="51">
        <f t="shared" si="44"/>
        <v>0</v>
      </c>
      <c r="AG81" s="52">
        <f t="shared" si="45"/>
        <v>0</v>
      </c>
      <c r="AH81" s="53"/>
      <c r="AM81" s="55">
        <f t="shared" si="46"/>
        <v>0</v>
      </c>
      <c r="AN81" s="55">
        <f t="shared" si="47"/>
        <v>0</v>
      </c>
      <c r="AO81" s="55">
        <f t="shared" si="48"/>
        <v>0</v>
      </c>
      <c r="AP81" s="56">
        <f t="shared" si="49"/>
        <v>0</v>
      </c>
      <c r="AQ81" s="55" t="str">
        <f t="shared" si="64"/>
        <v>0.00</v>
      </c>
      <c r="AR81" s="55" t="str">
        <f t="shared" si="50"/>
        <v>0</v>
      </c>
      <c r="AS81" s="57">
        <f t="shared" si="65"/>
        <v>0</v>
      </c>
      <c r="AT81" s="58">
        <f t="shared" si="51"/>
        <v>0</v>
      </c>
      <c r="AU81" s="57">
        <f t="shared" si="52"/>
        <v>0</v>
      </c>
      <c r="AV81" s="59">
        <f t="shared" si="66"/>
        <v>0</v>
      </c>
      <c r="AW81" s="59">
        <f t="shared" si="53"/>
        <v>0</v>
      </c>
      <c r="AX81" s="9"/>
      <c r="AY81" s="60">
        <f t="shared" si="54"/>
        <v>0</v>
      </c>
      <c r="AZ81" s="61">
        <f>_xlfn.IFNA(INDEX(Table3923[Column4],MATCH(R81,Table3923[Column1],0)),1.5)</f>
        <v>1.5</v>
      </c>
      <c r="BA81" s="62">
        <f>VLOOKUP(Z81,Table1331[#All],2,FALSE)</f>
        <v>1</v>
      </c>
      <c r="BB81" s="61">
        <f t="shared" si="25"/>
        <v>1.5</v>
      </c>
      <c r="BC81" s="55">
        <f t="shared" si="55"/>
        <v>0</v>
      </c>
      <c r="BD81" s="43">
        <f t="shared" si="56"/>
        <v>0</v>
      </c>
      <c r="BE81" s="63">
        <f t="shared" si="57"/>
        <v>0</v>
      </c>
      <c r="BF81" s="60">
        <f t="shared" si="58"/>
        <v>0</v>
      </c>
      <c r="BG81" s="60">
        <f t="shared" si="59"/>
        <v>0</v>
      </c>
      <c r="BH81" s="60">
        <f t="shared" si="60"/>
        <v>0</v>
      </c>
      <c r="BI81" s="55">
        <f>VLOOKUP(AA81,Table1533[#All],2,FALSE)</f>
        <v>1.25</v>
      </c>
      <c r="BJ81" s="55">
        <f t="shared" si="61"/>
        <v>0</v>
      </c>
      <c r="BK81" s="43" t="str">
        <f t="shared" si="62"/>
        <v>0</v>
      </c>
      <c r="BL81" s="62">
        <f t="shared" si="67"/>
        <v>0</v>
      </c>
      <c r="CH81" s="148" t="s">
        <v>234</v>
      </c>
      <c r="CI81" s="151">
        <v>1.43</v>
      </c>
      <c r="CJ81" s="145">
        <f t="shared" si="30"/>
        <v>1.573</v>
      </c>
      <c r="CK81" s="153">
        <v>1.5</v>
      </c>
      <c r="CL81" s="277">
        <f>(L83*H83)/12</f>
        <v>0</v>
      </c>
    </row>
    <row r="82" spans="1:90" ht="11.05" hidden="1" customHeight="1" x14ac:dyDescent="0.6">
      <c r="A82" s="42"/>
      <c r="B82" s="230"/>
      <c r="C82" s="231"/>
      <c r="D82" s="231"/>
      <c r="E82" s="232"/>
      <c r="F82" s="43"/>
      <c r="G82" s="43"/>
      <c r="H82" s="44"/>
      <c r="I82" s="45"/>
      <c r="J82" s="43"/>
      <c r="K82" s="46"/>
      <c r="L82" s="47">
        <f t="shared" si="0"/>
        <v>0</v>
      </c>
      <c r="M82" s="43"/>
      <c r="N82" s="43"/>
      <c r="O82" s="43"/>
      <c r="P82" s="46"/>
      <c r="Q82" s="47">
        <f t="shared" si="63"/>
        <v>0</v>
      </c>
      <c r="R82" s="233"/>
      <c r="S82" s="234"/>
      <c r="T82" s="230"/>
      <c r="U82" s="231"/>
      <c r="V82" s="231"/>
      <c r="W82" s="232"/>
      <c r="X82" s="235" t="str">
        <f>IFERROR(INDEX(Table3923[],MATCH(R82,Table3923[Column1],),3),"")</f>
        <v/>
      </c>
      <c r="Y82" s="235"/>
      <c r="Z82" s="48" t="s">
        <v>85</v>
      </c>
      <c r="AA82" s="48" t="s">
        <v>85</v>
      </c>
      <c r="AB82" s="49"/>
      <c r="AC82" s="50"/>
      <c r="AD82" s="51">
        <f t="shared" si="44"/>
        <v>0</v>
      </c>
      <c r="AG82" s="52">
        <f t="shared" si="45"/>
        <v>0</v>
      </c>
      <c r="AH82" s="53"/>
      <c r="AM82" s="55">
        <f t="shared" si="46"/>
        <v>0</v>
      </c>
      <c r="AN82" s="55">
        <f t="shared" si="47"/>
        <v>0</v>
      </c>
      <c r="AO82" s="55">
        <f t="shared" si="48"/>
        <v>0</v>
      </c>
      <c r="AP82" s="56">
        <f t="shared" si="49"/>
        <v>0</v>
      </c>
      <c r="AQ82" s="55" t="str">
        <f t="shared" si="64"/>
        <v>0.00</v>
      </c>
      <c r="AR82" s="55" t="str">
        <f t="shared" si="50"/>
        <v>0</v>
      </c>
      <c r="AS82" s="57">
        <f t="shared" si="65"/>
        <v>0</v>
      </c>
      <c r="AT82" s="58">
        <f t="shared" si="51"/>
        <v>0</v>
      </c>
      <c r="AU82" s="57">
        <f t="shared" si="52"/>
        <v>0</v>
      </c>
      <c r="AV82" s="59">
        <f t="shared" si="66"/>
        <v>0</v>
      </c>
      <c r="AW82" s="59">
        <f t="shared" si="53"/>
        <v>0</v>
      </c>
      <c r="AX82" s="9"/>
      <c r="AY82" s="60">
        <f t="shared" si="54"/>
        <v>0</v>
      </c>
      <c r="AZ82" s="61">
        <f>_xlfn.IFNA(INDEX(Table3923[Column4],MATCH(R82,Table3923[Column1],0)),1.5)</f>
        <v>1.5</v>
      </c>
      <c r="BA82" s="62">
        <f>VLOOKUP(Z82,Table1331[#All],2,FALSE)</f>
        <v>1</v>
      </c>
      <c r="BB82" s="61">
        <f t="shared" si="25"/>
        <v>1.5</v>
      </c>
      <c r="BC82" s="55">
        <f t="shared" si="55"/>
        <v>0</v>
      </c>
      <c r="BD82" s="43">
        <f t="shared" si="56"/>
        <v>0</v>
      </c>
      <c r="BE82" s="63">
        <f t="shared" si="57"/>
        <v>0</v>
      </c>
      <c r="BF82" s="60">
        <f t="shared" si="58"/>
        <v>0</v>
      </c>
      <c r="BG82" s="60">
        <f t="shared" si="59"/>
        <v>0</v>
      </c>
      <c r="BH82" s="60">
        <f t="shared" si="60"/>
        <v>0</v>
      </c>
      <c r="BI82" s="55">
        <f>VLOOKUP(AA82,Table1533[#All],2,FALSE)</f>
        <v>1.25</v>
      </c>
      <c r="BJ82" s="55">
        <f t="shared" si="61"/>
        <v>0</v>
      </c>
      <c r="BK82" s="43" t="str">
        <f t="shared" si="62"/>
        <v>0</v>
      </c>
      <c r="BL82" s="62">
        <f t="shared" si="67"/>
        <v>0</v>
      </c>
      <c r="CH82" s="148" t="s">
        <v>235</v>
      </c>
      <c r="CI82" s="149">
        <v>1.43</v>
      </c>
      <c r="CJ82" s="145">
        <f t="shared" si="30"/>
        <v>1.573</v>
      </c>
      <c r="CK82" s="153">
        <v>1.5</v>
      </c>
      <c r="CL82" s="277">
        <f>(L84*H84)/12</f>
        <v>0</v>
      </c>
    </row>
    <row r="83" spans="1:90" ht="11.05" hidden="1" customHeight="1" x14ac:dyDescent="0.6">
      <c r="A83" s="42"/>
      <c r="B83" s="230"/>
      <c r="C83" s="231"/>
      <c r="D83" s="231"/>
      <c r="E83" s="232"/>
      <c r="F83" s="43"/>
      <c r="G83" s="43"/>
      <c r="H83" s="44"/>
      <c r="I83" s="45"/>
      <c r="J83" s="43"/>
      <c r="K83" s="46"/>
      <c r="L83" s="47">
        <f t="shared" si="0"/>
        <v>0</v>
      </c>
      <c r="M83" s="43"/>
      <c r="N83" s="43"/>
      <c r="O83" s="43"/>
      <c r="P83" s="46"/>
      <c r="Q83" s="47">
        <f t="shared" si="63"/>
        <v>0</v>
      </c>
      <c r="R83" s="233"/>
      <c r="S83" s="234"/>
      <c r="T83" s="230"/>
      <c r="U83" s="231"/>
      <c r="V83" s="231"/>
      <c r="W83" s="232"/>
      <c r="X83" s="235" t="str">
        <f>IFERROR(INDEX(Table3923[],MATCH(R83,Table3923[Column1],),3),"")</f>
        <v/>
      </c>
      <c r="Y83" s="235"/>
      <c r="Z83" s="48" t="s">
        <v>85</v>
      </c>
      <c r="AA83" s="48" t="s">
        <v>85</v>
      </c>
      <c r="AB83" s="49"/>
      <c r="AC83" s="50"/>
      <c r="AD83" s="51">
        <f t="shared" si="44"/>
        <v>0</v>
      </c>
      <c r="AG83" s="52">
        <f t="shared" si="45"/>
        <v>0</v>
      </c>
      <c r="AH83" s="53"/>
      <c r="AM83" s="55">
        <f t="shared" si="46"/>
        <v>0</v>
      </c>
      <c r="AN83" s="55">
        <f t="shared" si="47"/>
        <v>0</v>
      </c>
      <c r="AO83" s="55">
        <f t="shared" si="48"/>
        <v>0</v>
      </c>
      <c r="AP83" s="56">
        <f t="shared" si="49"/>
        <v>0</v>
      </c>
      <c r="AQ83" s="55" t="str">
        <f t="shared" si="64"/>
        <v>0.00</v>
      </c>
      <c r="AR83" s="55" t="str">
        <f t="shared" si="50"/>
        <v>0</v>
      </c>
      <c r="AS83" s="57">
        <f t="shared" si="65"/>
        <v>0</v>
      </c>
      <c r="AT83" s="58">
        <f t="shared" si="51"/>
        <v>0</v>
      </c>
      <c r="AU83" s="57">
        <f t="shared" si="52"/>
        <v>0</v>
      </c>
      <c r="AV83" s="59">
        <f t="shared" si="66"/>
        <v>0</v>
      </c>
      <c r="AW83" s="59">
        <f t="shared" si="53"/>
        <v>0</v>
      </c>
      <c r="AX83" s="9"/>
      <c r="AY83" s="60">
        <f t="shared" si="54"/>
        <v>0</v>
      </c>
      <c r="AZ83" s="61">
        <f>_xlfn.IFNA(INDEX(Table3923[Column4],MATCH(R83,Table3923[Column1],0)),1.5)</f>
        <v>1.5</v>
      </c>
      <c r="BA83" s="62">
        <f>VLOOKUP(Z83,Table1331[#All],2,FALSE)</f>
        <v>1</v>
      </c>
      <c r="BB83" s="61">
        <f t="shared" si="25"/>
        <v>1.5</v>
      </c>
      <c r="BC83" s="55">
        <f t="shared" si="55"/>
        <v>0</v>
      </c>
      <c r="BD83" s="43">
        <f t="shared" si="56"/>
        <v>0</v>
      </c>
      <c r="BE83" s="63">
        <f t="shared" si="57"/>
        <v>0</v>
      </c>
      <c r="BF83" s="60">
        <f t="shared" si="58"/>
        <v>0</v>
      </c>
      <c r="BG83" s="60">
        <f t="shared" si="59"/>
        <v>0</v>
      </c>
      <c r="BH83" s="60">
        <f t="shared" si="60"/>
        <v>0</v>
      </c>
      <c r="BI83" s="55">
        <f>VLOOKUP(AA83,Table1533[#All],2,FALSE)</f>
        <v>1.25</v>
      </c>
      <c r="BJ83" s="55">
        <f t="shared" si="61"/>
        <v>0</v>
      </c>
      <c r="BK83" s="43" t="str">
        <f t="shared" si="62"/>
        <v>0</v>
      </c>
      <c r="BL83" s="62">
        <f t="shared" si="67"/>
        <v>0</v>
      </c>
      <c r="CH83" s="148" t="s">
        <v>236</v>
      </c>
      <c r="CI83" s="151">
        <v>1.24</v>
      </c>
      <c r="CJ83" s="145">
        <f t="shared" si="30"/>
        <v>1.3640000000000001</v>
      </c>
      <c r="CK83" s="153">
        <v>1.5</v>
      </c>
      <c r="CL83" s="277">
        <f>(L85*H85)/12</f>
        <v>0</v>
      </c>
    </row>
    <row r="84" spans="1:90" ht="11.05" hidden="1" customHeight="1" x14ac:dyDescent="0.6">
      <c r="A84" s="42"/>
      <c r="B84" s="230"/>
      <c r="C84" s="231"/>
      <c r="D84" s="231"/>
      <c r="E84" s="232"/>
      <c r="F84" s="43"/>
      <c r="G84" s="43"/>
      <c r="H84" s="44"/>
      <c r="I84" s="45"/>
      <c r="J84" s="43"/>
      <c r="K84" s="46"/>
      <c r="L84" s="47">
        <f t="shared" si="0"/>
        <v>0</v>
      </c>
      <c r="M84" s="43"/>
      <c r="N84" s="43"/>
      <c r="O84" s="43"/>
      <c r="P84" s="46"/>
      <c r="Q84" s="47">
        <f t="shared" si="63"/>
        <v>0</v>
      </c>
      <c r="R84" s="233"/>
      <c r="S84" s="234"/>
      <c r="T84" s="230"/>
      <c r="U84" s="231"/>
      <c r="V84" s="231"/>
      <c r="W84" s="232"/>
      <c r="X84" s="235" t="str">
        <f>IFERROR(INDEX(Table3923[],MATCH(R84,Table3923[Column1],),3),"")</f>
        <v/>
      </c>
      <c r="Y84" s="235"/>
      <c r="Z84" s="48" t="s">
        <v>85</v>
      </c>
      <c r="AA84" s="48" t="s">
        <v>85</v>
      </c>
      <c r="AB84" s="49"/>
      <c r="AC84" s="50"/>
      <c r="AD84" s="51">
        <f t="shared" si="44"/>
        <v>0</v>
      </c>
      <c r="AG84" s="52">
        <f t="shared" si="45"/>
        <v>0</v>
      </c>
      <c r="AH84" s="53"/>
      <c r="AM84" s="55">
        <f t="shared" si="46"/>
        <v>0</v>
      </c>
      <c r="AN84" s="55">
        <f t="shared" si="47"/>
        <v>0</v>
      </c>
      <c r="AO84" s="55">
        <f t="shared" si="48"/>
        <v>0</v>
      </c>
      <c r="AP84" s="56">
        <f t="shared" si="49"/>
        <v>0</v>
      </c>
      <c r="AQ84" s="55" t="str">
        <f t="shared" si="64"/>
        <v>0.00</v>
      </c>
      <c r="AR84" s="55" t="str">
        <f t="shared" si="50"/>
        <v>0</v>
      </c>
      <c r="AS84" s="57">
        <f t="shared" si="65"/>
        <v>0</v>
      </c>
      <c r="AT84" s="58">
        <f t="shared" si="51"/>
        <v>0</v>
      </c>
      <c r="AU84" s="57">
        <f t="shared" si="52"/>
        <v>0</v>
      </c>
      <c r="AV84" s="59">
        <f t="shared" si="66"/>
        <v>0</v>
      </c>
      <c r="AW84" s="59">
        <f t="shared" si="53"/>
        <v>0</v>
      </c>
      <c r="AX84" s="9"/>
      <c r="AY84" s="60">
        <f t="shared" si="54"/>
        <v>0</v>
      </c>
      <c r="AZ84" s="61">
        <f>_xlfn.IFNA(INDEX(Table3923[Column4],MATCH(R84,Table3923[Column1],0)),1.5)</f>
        <v>1.5</v>
      </c>
      <c r="BA84" s="62">
        <f>VLOOKUP(Z84,Table1331[#All],2,FALSE)</f>
        <v>1</v>
      </c>
      <c r="BB84" s="61">
        <f t="shared" si="25"/>
        <v>1.5</v>
      </c>
      <c r="BC84" s="55">
        <f t="shared" si="55"/>
        <v>0</v>
      </c>
      <c r="BD84" s="43">
        <f t="shared" si="56"/>
        <v>0</v>
      </c>
      <c r="BE84" s="63">
        <f t="shared" si="57"/>
        <v>0</v>
      </c>
      <c r="BF84" s="60">
        <f t="shared" si="58"/>
        <v>0</v>
      </c>
      <c r="BG84" s="60">
        <f t="shared" si="59"/>
        <v>0</v>
      </c>
      <c r="BH84" s="60">
        <f t="shared" si="60"/>
        <v>0</v>
      </c>
      <c r="BI84" s="55">
        <f>VLOOKUP(AA84,Table1533[#All],2,FALSE)</f>
        <v>1.25</v>
      </c>
      <c r="BJ84" s="55">
        <f t="shared" si="61"/>
        <v>0</v>
      </c>
      <c r="BK84" s="43" t="str">
        <f t="shared" si="62"/>
        <v>0</v>
      </c>
      <c r="BL84" s="62">
        <f t="shared" si="67"/>
        <v>0</v>
      </c>
      <c r="CH84" s="148" t="s">
        <v>237</v>
      </c>
      <c r="CI84" s="149">
        <v>1.24</v>
      </c>
      <c r="CJ84" s="145">
        <f t="shared" si="30"/>
        <v>1.3640000000000001</v>
      </c>
      <c r="CK84" s="153">
        <v>1.5</v>
      </c>
      <c r="CL84" s="277">
        <f>(L86*H86)/12</f>
        <v>0</v>
      </c>
    </row>
    <row r="85" spans="1:90" ht="11.05" hidden="1" customHeight="1" x14ac:dyDescent="0.6">
      <c r="A85" s="42"/>
      <c r="B85" s="230"/>
      <c r="C85" s="231"/>
      <c r="D85" s="231"/>
      <c r="E85" s="232"/>
      <c r="F85" s="43"/>
      <c r="G85" s="43"/>
      <c r="H85" s="44"/>
      <c r="I85" s="45"/>
      <c r="J85" s="43"/>
      <c r="K85" s="46"/>
      <c r="L85" s="47">
        <f t="shared" si="0"/>
        <v>0</v>
      </c>
      <c r="M85" s="43"/>
      <c r="N85" s="43"/>
      <c r="O85" s="43"/>
      <c r="P85" s="46"/>
      <c r="Q85" s="47">
        <f t="shared" si="63"/>
        <v>0</v>
      </c>
      <c r="R85" s="233"/>
      <c r="S85" s="234"/>
      <c r="T85" s="230"/>
      <c r="U85" s="231"/>
      <c r="V85" s="231"/>
      <c r="W85" s="232"/>
      <c r="X85" s="235" t="str">
        <f>IFERROR(INDEX(Table3923[],MATCH(R85,Table3923[Column1],),3),"")</f>
        <v/>
      </c>
      <c r="Y85" s="235"/>
      <c r="Z85" s="48" t="s">
        <v>85</v>
      </c>
      <c r="AA85" s="48" t="s">
        <v>85</v>
      </c>
      <c r="AB85" s="49"/>
      <c r="AC85" s="50"/>
      <c r="AD85" s="51">
        <f t="shared" si="44"/>
        <v>0</v>
      </c>
      <c r="AG85" s="52">
        <f t="shared" si="45"/>
        <v>0</v>
      </c>
      <c r="AH85" s="53"/>
      <c r="AM85" s="55">
        <f t="shared" si="46"/>
        <v>0</v>
      </c>
      <c r="AN85" s="55">
        <f t="shared" si="47"/>
        <v>0</v>
      </c>
      <c r="AO85" s="55">
        <f t="shared" si="48"/>
        <v>0</v>
      </c>
      <c r="AP85" s="56">
        <f t="shared" si="49"/>
        <v>0</v>
      </c>
      <c r="AQ85" s="55" t="str">
        <f t="shared" si="64"/>
        <v>0.00</v>
      </c>
      <c r="AR85" s="55" t="str">
        <f t="shared" si="50"/>
        <v>0</v>
      </c>
      <c r="AS85" s="57">
        <f t="shared" si="65"/>
        <v>0</v>
      </c>
      <c r="AT85" s="58">
        <f t="shared" si="51"/>
        <v>0</v>
      </c>
      <c r="AU85" s="57">
        <f t="shared" si="52"/>
        <v>0</v>
      </c>
      <c r="AV85" s="59">
        <f t="shared" si="66"/>
        <v>0</v>
      </c>
      <c r="AW85" s="59">
        <f t="shared" si="53"/>
        <v>0</v>
      </c>
      <c r="AX85" s="9"/>
      <c r="AY85" s="60">
        <f t="shared" si="54"/>
        <v>0</v>
      </c>
      <c r="AZ85" s="61">
        <f>_xlfn.IFNA(INDEX(Table3923[Column4],MATCH(R85,Table3923[Column1],0)),1.5)</f>
        <v>1.5</v>
      </c>
      <c r="BA85" s="62">
        <f>VLOOKUP(Z85,Table1331[#All],2,FALSE)</f>
        <v>1</v>
      </c>
      <c r="BB85" s="61">
        <f t="shared" si="25"/>
        <v>1.5</v>
      </c>
      <c r="BC85" s="55">
        <f t="shared" si="55"/>
        <v>0</v>
      </c>
      <c r="BD85" s="43">
        <f t="shared" si="56"/>
        <v>0</v>
      </c>
      <c r="BE85" s="63">
        <f t="shared" si="57"/>
        <v>0</v>
      </c>
      <c r="BF85" s="60">
        <f t="shared" si="58"/>
        <v>0</v>
      </c>
      <c r="BG85" s="60">
        <f t="shared" si="59"/>
        <v>0</v>
      </c>
      <c r="BH85" s="60">
        <f t="shared" si="60"/>
        <v>0</v>
      </c>
      <c r="BI85" s="55">
        <f>VLOOKUP(AA85,Table1533[#All],2,FALSE)</f>
        <v>1.25</v>
      </c>
      <c r="BJ85" s="55">
        <f t="shared" si="61"/>
        <v>0</v>
      </c>
      <c r="BK85" s="43" t="str">
        <f t="shared" si="62"/>
        <v>0</v>
      </c>
      <c r="BL85" s="62">
        <f t="shared" si="67"/>
        <v>0</v>
      </c>
      <c r="CH85" s="148" t="s">
        <v>238</v>
      </c>
      <c r="CI85" s="151">
        <v>1.24</v>
      </c>
      <c r="CJ85" s="145">
        <f t="shared" si="30"/>
        <v>1.3640000000000001</v>
      </c>
      <c r="CK85" s="153">
        <v>1.5</v>
      </c>
      <c r="CL85" s="277">
        <f>(L87*H87)/12</f>
        <v>0</v>
      </c>
    </row>
    <row r="86" spans="1:90" ht="11.05" hidden="1" customHeight="1" x14ac:dyDescent="0.6">
      <c r="A86" s="42"/>
      <c r="B86" s="230"/>
      <c r="C86" s="231"/>
      <c r="D86" s="231"/>
      <c r="E86" s="232"/>
      <c r="F86" s="43"/>
      <c r="G86" s="43"/>
      <c r="H86" s="44"/>
      <c r="I86" s="45"/>
      <c r="J86" s="43"/>
      <c r="K86" s="46"/>
      <c r="L86" s="47">
        <f t="shared" si="0"/>
        <v>0</v>
      </c>
      <c r="M86" s="43"/>
      <c r="N86" s="43"/>
      <c r="O86" s="43"/>
      <c r="P86" s="46"/>
      <c r="Q86" s="47">
        <f t="shared" si="63"/>
        <v>0</v>
      </c>
      <c r="R86" s="233"/>
      <c r="S86" s="234"/>
      <c r="T86" s="230"/>
      <c r="U86" s="231"/>
      <c r="V86" s="231"/>
      <c r="W86" s="232"/>
      <c r="X86" s="235" t="str">
        <f>IFERROR(INDEX(Table3923[],MATCH(R86,Table3923[Column1],),3),"")</f>
        <v/>
      </c>
      <c r="Y86" s="235"/>
      <c r="Z86" s="48" t="s">
        <v>85</v>
      </c>
      <c r="AA86" s="48" t="s">
        <v>85</v>
      </c>
      <c r="AB86" s="49"/>
      <c r="AC86" s="50"/>
      <c r="AD86" s="51">
        <f t="shared" si="44"/>
        <v>0</v>
      </c>
      <c r="AG86" s="52">
        <f t="shared" si="45"/>
        <v>0</v>
      </c>
      <c r="AH86" s="53"/>
      <c r="AM86" s="55">
        <f t="shared" si="46"/>
        <v>0</v>
      </c>
      <c r="AN86" s="55">
        <f t="shared" si="47"/>
        <v>0</v>
      </c>
      <c r="AO86" s="55">
        <f t="shared" si="48"/>
        <v>0</v>
      </c>
      <c r="AP86" s="56">
        <f t="shared" si="49"/>
        <v>0</v>
      </c>
      <c r="AQ86" s="55" t="str">
        <f t="shared" si="64"/>
        <v>0.00</v>
      </c>
      <c r="AR86" s="55" t="str">
        <f t="shared" si="50"/>
        <v>0</v>
      </c>
      <c r="AS86" s="57">
        <f t="shared" si="65"/>
        <v>0</v>
      </c>
      <c r="AT86" s="58">
        <f t="shared" si="51"/>
        <v>0</v>
      </c>
      <c r="AU86" s="57">
        <f t="shared" si="52"/>
        <v>0</v>
      </c>
      <c r="AV86" s="59">
        <f t="shared" si="66"/>
        <v>0</v>
      </c>
      <c r="AW86" s="59">
        <f t="shared" si="53"/>
        <v>0</v>
      </c>
      <c r="AX86" s="9"/>
      <c r="AY86" s="60">
        <f t="shared" si="54"/>
        <v>0</v>
      </c>
      <c r="AZ86" s="61">
        <f>_xlfn.IFNA(INDEX(Table3923[Column4],MATCH(R86,Table3923[Column1],0)),1.5)</f>
        <v>1.5</v>
      </c>
      <c r="BA86" s="62">
        <f>VLOOKUP(Z86,Table1331[#All],2,FALSE)</f>
        <v>1</v>
      </c>
      <c r="BB86" s="61">
        <f t="shared" si="25"/>
        <v>1.5</v>
      </c>
      <c r="BC86" s="55">
        <f t="shared" si="55"/>
        <v>0</v>
      </c>
      <c r="BD86" s="43">
        <f t="shared" si="56"/>
        <v>0</v>
      </c>
      <c r="BE86" s="63">
        <f t="shared" si="57"/>
        <v>0</v>
      </c>
      <c r="BF86" s="60">
        <f t="shared" si="58"/>
        <v>0</v>
      </c>
      <c r="BG86" s="60">
        <f t="shared" si="59"/>
        <v>0</v>
      </c>
      <c r="BH86" s="60">
        <f t="shared" si="60"/>
        <v>0</v>
      </c>
      <c r="BI86" s="55">
        <f>VLOOKUP(AA86,Table1533[#All],2,FALSE)</f>
        <v>1.25</v>
      </c>
      <c r="BJ86" s="55">
        <f t="shared" si="61"/>
        <v>0</v>
      </c>
      <c r="BK86" s="43" t="str">
        <f t="shared" si="62"/>
        <v>0</v>
      </c>
      <c r="BL86" s="62">
        <f t="shared" si="67"/>
        <v>0</v>
      </c>
      <c r="CH86" s="148" t="s">
        <v>239</v>
      </c>
      <c r="CI86" s="149">
        <v>1.24</v>
      </c>
      <c r="CJ86" s="145">
        <f t="shared" si="30"/>
        <v>1.3640000000000001</v>
      </c>
      <c r="CK86" s="153">
        <v>1.5</v>
      </c>
      <c r="CL86" s="277">
        <f>(L88*H88)/12</f>
        <v>0</v>
      </c>
    </row>
    <row r="87" spans="1:90" ht="11.05" hidden="1" customHeight="1" x14ac:dyDescent="0.6">
      <c r="A87" s="42"/>
      <c r="B87" s="230"/>
      <c r="C87" s="231"/>
      <c r="D87" s="231"/>
      <c r="E87" s="232"/>
      <c r="F87" s="43"/>
      <c r="G87" s="43"/>
      <c r="H87" s="44"/>
      <c r="I87" s="45"/>
      <c r="J87" s="43"/>
      <c r="K87" s="46"/>
      <c r="L87" s="47">
        <f t="shared" si="0"/>
        <v>0</v>
      </c>
      <c r="M87" s="43"/>
      <c r="N87" s="43"/>
      <c r="O87" s="43"/>
      <c r="P87" s="46"/>
      <c r="Q87" s="47">
        <f t="shared" si="63"/>
        <v>0</v>
      </c>
      <c r="R87" s="233"/>
      <c r="S87" s="234"/>
      <c r="T87" s="230"/>
      <c r="U87" s="231"/>
      <c r="V87" s="231"/>
      <c r="W87" s="232"/>
      <c r="X87" s="235" t="str">
        <f>IFERROR(INDEX(Table3923[],MATCH(R87,Table3923[Column1],),3),"")</f>
        <v/>
      </c>
      <c r="Y87" s="235"/>
      <c r="Z87" s="48" t="s">
        <v>85</v>
      </c>
      <c r="AA87" s="48" t="s">
        <v>85</v>
      </c>
      <c r="AB87" s="49"/>
      <c r="AC87" s="50"/>
      <c r="AD87" s="51">
        <f t="shared" si="44"/>
        <v>0</v>
      </c>
      <c r="AG87" s="52">
        <f t="shared" si="45"/>
        <v>0</v>
      </c>
      <c r="AH87" s="53"/>
      <c r="AM87" s="55">
        <f t="shared" si="46"/>
        <v>0</v>
      </c>
      <c r="AN87" s="55">
        <f t="shared" si="47"/>
        <v>0</v>
      </c>
      <c r="AO87" s="55">
        <f t="shared" si="48"/>
        <v>0</v>
      </c>
      <c r="AP87" s="56">
        <f t="shared" si="49"/>
        <v>0</v>
      </c>
      <c r="AQ87" s="55" t="str">
        <f t="shared" si="64"/>
        <v>0.00</v>
      </c>
      <c r="AR87" s="55" t="str">
        <f t="shared" si="50"/>
        <v>0</v>
      </c>
      <c r="AS87" s="57">
        <f t="shared" si="65"/>
        <v>0</v>
      </c>
      <c r="AT87" s="58">
        <f t="shared" si="51"/>
        <v>0</v>
      </c>
      <c r="AU87" s="57">
        <f t="shared" si="52"/>
        <v>0</v>
      </c>
      <c r="AV87" s="59">
        <f t="shared" si="66"/>
        <v>0</v>
      </c>
      <c r="AW87" s="59">
        <f t="shared" si="53"/>
        <v>0</v>
      </c>
      <c r="AX87" s="9"/>
      <c r="AY87" s="60">
        <f t="shared" si="54"/>
        <v>0</v>
      </c>
      <c r="AZ87" s="61">
        <f>_xlfn.IFNA(INDEX(Table3923[Column4],MATCH(R87,Table3923[Column1],0)),1.5)</f>
        <v>1.5</v>
      </c>
      <c r="BA87" s="62">
        <f>VLOOKUP(Z87,Table1331[#All],2,FALSE)</f>
        <v>1</v>
      </c>
      <c r="BB87" s="61">
        <f t="shared" si="25"/>
        <v>1.5</v>
      </c>
      <c r="BC87" s="55">
        <f t="shared" si="55"/>
        <v>0</v>
      </c>
      <c r="BD87" s="43">
        <f t="shared" si="56"/>
        <v>0</v>
      </c>
      <c r="BE87" s="63">
        <f t="shared" si="57"/>
        <v>0</v>
      </c>
      <c r="BF87" s="60">
        <f t="shared" si="58"/>
        <v>0</v>
      </c>
      <c r="BG87" s="60">
        <f t="shared" si="59"/>
        <v>0</v>
      </c>
      <c r="BH87" s="60">
        <f t="shared" si="60"/>
        <v>0</v>
      </c>
      <c r="BI87" s="55">
        <f>VLOOKUP(AA87,Table1533[#All],2,FALSE)</f>
        <v>1.25</v>
      </c>
      <c r="BJ87" s="55">
        <f t="shared" si="61"/>
        <v>0</v>
      </c>
      <c r="BK87" s="43" t="str">
        <f t="shared" si="62"/>
        <v>0</v>
      </c>
      <c r="BL87" s="62">
        <f t="shared" si="67"/>
        <v>0</v>
      </c>
      <c r="CH87" s="148" t="s">
        <v>240</v>
      </c>
      <c r="CI87" s="151">
        <v>0.98</v>
      </c>
      <c r="CJ87" s="145">
        <f t="shared" si="30"/>
        <v>1.0780000000000001</v>
      </c>
      <c r="CK87" s="153">
        <v>1.5</v>
      </c>
      <c r="CL87" s="277">
        <f>(L89*H89)/12</f>
        <v>0</v>
      </c>
    </row>
    <row r="88" spans="1:90" ht="11.05" hidden="1" customHeight="1" x14ac:dyDescent="0.6">
      <c r="A88" s="42"/>
      <c r="B88" s="230"/>
      <c r="C88" s="231"/>
      <c r="D88" s="231"/>
      <c r="E88" s="232"/>
      <c r="F88" s="43"/>
      <c r="G88" s="43"/>
      <c r="H88" s="44"/>
      <c r="I88" s="45"/>
      <c r="J88" s="43"/>
      <c r="K88" s="46"/>
      <c r="L88" s="47">
        <f t="shared" si="0"/>
        <v>0</v>
      </c>
      <c r="M88" s="43"/>
      <c r="N88" s="43"/>
      <c r="O88" s="43"/>
      <c r="P88" s="46"/>
      <c r="Q88" s="47">
        <f t="shared" si="63"/>
        <v>0</v>
      </c>
      <c r="R88" s="233"/>
      <c r="S88" s="234"/>
      <c r="T88" s="230"/>
      <c r="U88" s="231"/>
      <c r="V88" s="231"/>
      <c r="W88" s="232"/>
      <c r="X88" s="235" t="str">
        <f>IFERROR(INDEX(Table3923[],MATCH(R88,Table3923[Column1],),3),"")</f>
        <v/>
      </c>
      <c r="Y88" s="235"/>
      <c r="Z88" s="48" t="s">
        <v>85</v>
      </c>
      <c r="AA88" s="48" t="s">
        <v>85</v>
      </c>
      <c r="AB88" s="49"/>
      <c r="AC88" s="50"/>
      <c r="AD88" s="51">
        <f t="shared" si="44"/>
        <v>0</v>
      </c>
      <c r="AG88" s="52">
        <f t="shared" si="45"/>
        <v>0</v>
      </c>
      <c r="AH88" s="53"/>
      <c r="AM88" s="55">
        <f t="shared" si="46"/>
        <v>0</v>
      </c>
      <c r="AN88" s="55">
        <f t="shared" si="47"/>
        <v>0</v>
      </c>
      <c r="AO88" s="55">
        <f t="shared" si="48"/>
        <v>0</v>
      </c>
      <c r="AP88" s="56">
        <f t="shared" si="49"/>
        <v>0</v>
      </c>
      <c r="AQ88" s="55" t="str">
        <f t="shared" si="64"/>
        <v>0.00</v>
      </c>
      <c r="AR88" s="55" t="str">
        <f t="shared" si="50"/>
        <v>0</v>
      </c>
      <c r="AS88" s="57">
        <f t="shared" si="65"/>
        <v>0</v>
      </c>
      <c r="AT88" s="58">
        <f t="shared" si="51"/>
        <v>0</v>
      </c>
      <c r="AU88" s="57">
        <f t="shared" si="52"/>
        <v>0</v>
      </c>
      <c r="AV88" s="59">
        <f t="shared" si="66"/>
        <v>0</v>
      </c>
      <c r="AW88" s="59">
        <f t="shared" si="53"/>
        <v>0</v>
      </c>
      <c r="AX88" s="9"/>
      <c r="AY88" s="60">
        <f t="shared" si="54"/>
        <v>0</v>
      </c>
      <c r="AZ88" s="61">
        <f>_xlfn.IFNA(INDEX(Table3923[Column4],MATCH(R88,Table3923[Column1],0)),1.5)</f>
        <v>1.5</v>
      </c>
      <c r="BA88" s="62">
        <f>VLOOKUP(Z88,Table1331[#All],2,FALSE)</f>
        <v>1</v>
      </c>
      <c r="BB88" s="61">
        <f t="shared" si="25"/>
        <v>1.5</v>
      </c>
      <c r="BC88" s="55">
        <f t="shared" si="55"/>
        <v>0</v>
      </c>
      <c r="BD88" s="43">
        <f t="shared" si="56"/>
        <v>0</v>
      </c>
      <c r="BE88" s="63">
        <f t="shared" si="57"/>
        <v>0</v>
      </c>
      <c r="BF88" s="60">
        <f t="shared" si="58"/>
        <v>0</v>
      </c>
      <c r="BG88" s="60">
        <f t="shared" si="59"/>
        <v>0</v>
      </c>
      <c r="BH88" s="60">
        <f t="shared" si="60"/>
        <v>0</v>
      </c>
      <c r="BI88" s="55">
        <f>VLOOKUP(AA88,Table1533[#All],2,FALSE)</f>
        <v>1.25</v>
      </c>
      <c r="BJ88" s="55">
        <f t="shared" si="61"/>
        <v>0</v>
      </c>
      <c r="BK88" s="43" t="str">
        <f t="shared" si="62"/>
        <v>0</v>
      </c>
      <c r="BL88" s="62">
        <f t="shared" si="67"/>
        <v>0</v>
      </c>
      <c r="CH88" s="148" t="s">
        <v>241</v>
      </c>
      <c r="CI88" s="149">
        <v>0.98</v>
      </c>
      <c r="CJ88" s="145">
        <f t="shared" si="30"/>
        <v>1.0780000000000001</v>
      </c>
      <c r="CK88" s="153">
        <v>1.5</v>
      </c>
      <c r="CL88" s="277">
        <f>(L90*H90)/12</f>
        <v>0</v>
      </c>
    </row>
    <row r="89" spans="1:90" ht="11.05" hidden="1" customHeight="1" x14ac:dyDescent="0.6">
      <c r="A89" s="42"/>
      <c r="B89" s="230"/>
      <c r="C89" s="231"/>
      <c r="D89" s="231"/>
      <c r="E89" s="232"/>
      <c r="F89" s="43"/>
      <c r="G89" s="43"/>
      <c r="H89" s="44"/>
      <c r="I89" s="45"/>
      <c r="J89" s="43"/>
      <c r="K89" s="46"/>
      <c r="L89" s="47">
        <f t="shared" si="0"/>
        <v>0</v>
      </c>
      <c r="M89" s="43"/>
      <c r="N89" s="43"/>
      <c r="O89" s="43"/>
      <c r="P89" s="46"/>
      <c r="Q89" s="47">
        <f t="shared" si="63"/>
        <v>0</v>
      </c>
      <c r="R89" s="233"/>
      <c r="S89" s="234"/>
      <c r="T89" s="230"/>
      <c r="U89" s="231"/>
      <c r="V89" s="231"/>
      <c r="W89" s="232"/>
      <c r="X89" s="235" t="str">
        <f>IFERROR(INDEX(Table3923[],MATCH(R89,Table3923[Column1],),3),"")</f>
        <v/>
      </c>
      <c r="Y89" s="235"/>
      <c r="Z89" s="48" t="s">
        <v>85</v>
      </c>
      <c r="AA89" s="48" t="s">
        <v>85</v>
      </c>
      <c r="AB89" s="49"/>
      <c r="AC89" s="50"/>
      <c r="AD89" s="51">
        <f t="shared" si="44"/>
        <v>0</v>
      </c>
      <c r="AG89" s="52">
        <f t="shared" si="45"/>
        <v>0</v>
      </c>
      <c r="AH89" s="53"/>
      <c r="AM89" s="55">
        <f t="shared" si="46"/>
        <v>0</v>
      </c>
      <c r="AN89" s="55">
        <f t="shared" si="47"/>
        <v>0</v>
      </c>
      <c r="AO89" s="55">
        <f t="shared" si="48"/>
        <v>0</v>
      </c>
      <c r="AP89" s="56">
        <f t="shared" si="49"/>
        <v>0</v>
      </c>
      <c r="AQ89" s="55" t="str">
        <f t="shared" si="64"/>
        <v>0.00</v>
      </c>
      <c r="AR89" s="55" t="str">
        <f t="shared" si="50"/>
        <v>0</v>
      </c>
      <c r="AS89" s="57">
        <f t="shared" si="65"/>
        <v>0</v>
      </c>
      <c r="AT89" s="58">
        <f t="shared" si="51"/>
        <v>0</v>
      </c>
      <c r="AU89" s="57">
        <f t="shared" si="52"/>
        <v>0</v>
      </c>
      <c r="AV89" s="59">
        <f t="shared" si="66"/>
        <v>0</v>
      </c>
      <c r="AW89" s="59">
        <f t="shared" si="53"/>
        <v>0</v>
      </c>
      <c r="AX89" s="9"/>
      <c r="AY89" s="60">
        <f t="shared" si="54"/>
        <v>0</v>
      </c>
      <c r="AZ89" s="61">
        <f>_xlfn.IFNA(INDEX(Table3923[Column4],MATCH(R89,Table3923[Column1],0)),1.5)</f>
        <v>1.5</v>
      </c>
      <c r="BA89" s="62">
        <f>VLOOKUP(Z89,Table1331[#All],2,FALSE)</f>
        <v>1</v>
      </c>
      <c r="BB89" s="61">
        <f t="shared" si="25"/>
        <v>1.5</v>
      </c>
      <c r="BC89" s="55">
        <f t="shared" si="55"/>
        <v>0</v>
      </c>
      <c r="BD89" s="43">
        <f t="shared" si="56"/>
        <v>0</v>
      </c>
      <c r="BE89" s="63">
        <f t="shared" si="57"/>
        <v>0</v>
      </c>
      <c r="BF89" s="60">
        <f t="shared" si="58"/>
        <v>0</v>
      </c>
      <c r="BG89" s="60">
        <f t="shared" si="59"/>
        <v>0</v>
      </c>
      <c r="BH89" s="60">
        <f t="shared" si="60"/>
        <v>0</v>
      </c>
      <c r="BI89" s="55">
        <f>VLOOKUP(AA89,Table1533[#All],2,FALSE)</f>
        <v>1.25</v>
      </c>
      <c r="BJ89" s="55">
        <f t="shared" si="61"/>
        <v>0</v>
      </c>
      <c r="BK89" s="43" t="str">
        <f t="shared" si="62"/>
        <v>0</v>
      </c>
      <c r="BL89" s="62">
        <f t="shared" si="67"/>
        <v>0</v>
      </c>
      <c r="CH89" s="148" t="s">
        <v>242</v>
      </c>
      <c r="CI89" s="151">
        <v>1.41</v>
      </c>
      <c r="CJ89" s="145">
        <f t="shared" si="30"/>
        <v>1.5509999999999999</v>
      </c>
      <c r="CK89" s="153">
        <v>1.5</v>
      </c>
      <c r="CL89" s="277">
        <f>(L91*H91)/12</f>
        <v>0</v>
      </c>
    </row>
    <row r="90" spans="1:90" ht="11.05" hidden="1" customHeight="1" x14ac:dyDescent="0.6">
      <c r="A90" s="42"/>
      <c r="B90" s="230"/>
      <c r="C90" s="231"/>
      <c r="D90" s="231"/>
      <c r="E90" s="232"/>
      <c r="F90" s="43"/>
      <c r="G90" s="43"/>
      <c r="H90" s="44"/>
      <c r="I90" s="45"/>
      <c r="J90" s="43"/>
      <c r="K90" s="46"/>
      <c r="L90" s="47">
        <f t="shared" si="0"/>
        <v>0</v>
      </c>
      <c r="M90" s="43"/>
      <c r="N90" s="43"/>
      <c r="O90" s="43"/>
      <c r="P90" s="46"/>
      <c r="Q90" s="47">
        <f t="shared" si="63"/>
        <v>0</v>
      </c>
      <c r="R90" s="233"/>
      <c r="S90" s="234"/>
      <c r="T90" s="230"/>
      <c r="U90" s="231"/>
      <c r="V90" s="231"/>
      <c r="W90" s="232"/>
      <c r="X90" s="235" t="str">
        <f>IFERROR(INDEX(Table3923[],MATCH(R90,Table3923[Column1],),3),"")</f>
        <v/>
      </c>
      <c r="Y90" s="235"/>
      <c r="Z90" s="48" t="s">
        <v>85</v>
      </c>
      <c r="AA90" s="48" t="s">
        <v>85</v>
      </c>
      <c r="AB90" s="49"/>
      <c r="AC90" s="50"/>
      <c r="AD90" s="51">
        <f t="shared" si="44"/>
        <v>0</v>
      </c>
      <c r="AG90" s="52">
        <f t="shared" si="45"/>
        <v>0</v>
      </c>
      <c r="AH90" s="53"/>
      <c r="AM90" s="55">
        <f t="shared" si="46"/>
        <v>0</v>
      </c>
      <c r="AN90" s="55">
        <f t="shared" si="47"/>
        <v>0</v>
      </c>
      <c r="AO90" s="55">
        <f t="shared" si="48"/>
        <v>0</v>
      </c>
      <c r="AP90" s="56">
        <f t="shared" si="49"/>
        <v>0</v>
      </c>
      <c r="AQ90" s="55" t="str">
        <f t="shared" si="64"/>
        <v>0.00</v>
      </c>
      <c r="AR90" s="55" t="str">
        <f t="shared" si="50"/>
        <v>0</v>
      </c>
      <c r="AS90" s="57">
        <f t="shared" si="65"/>
        <v>0</v>
      </c>
      <c r="AT90" s="58">
        <f t="shared" si="51"/>
        <v>0</v>
      </c>
      <c r="AU90" s="57">
        <f t="shared" si="52"/>
        <v>0</v>
      </c>
      <c r="AV90" s="59">
        <f t="shared" si="66"/>
        <v>0</v>
      </c>
      <c r="AW90" s="59">
        <f t="shared" si="53"/>
        <v>0</v>
      </c>
      <c r="AX90" s="9"/>
      <c r="AY90" s="60">
        <f t="shared" si="54"/>
        <v>0</v>
      </c>
      <c r="AZ90" s="61">
        <f>_xlfn.IFNA(INDEX(Table3923[Column4],MATCH(R90,Table3923[Column1],0)),1.5)</f>
        <v>1.5</v>
      </c>
      <c r="BA90" s="62">
        <f>VLOOKUP(Z90,Table1331[#All],2,FALSE)</f>
        <v>1</v>
      </c>
      <c r="BB90" s="61">
        <f t="shared" si="25"/>
        <v>1.5</v>
      </c>
      <c r="BC90" s="55">
        <f t="shared" si="55"/>
        <v>0</v>
      </c>
      <c r="BD90" s="43">
        <f t="shared" si="56"/>
        <v>0</v>
      </c>
      <c r="BE90" s="63">
        <f t="shared" si="57"/>
        <v>0</v>
      </c>
      <c r="BF90" s="60">
        <f t="shared" si="58"/>
        <v>0</v>
      </c>
      <c r="BG90" s="60">
        <f t="shared" si="59"/>
        <v>0</v>
      </c>
      <c r="BH90" s="60">
        <f t="shared" si="60"/>
        <v>0</v>
      </c>
      <c r="BI90" s="55">
        <f>VLOOKUP(AA90,Table1533[#All],2,FALSE)</f>
        <v>1.25</v>
      </c>
      <c r="BJ90" s="55">
        <f t="shared" si="61"/>
        <v>0</v>
      </c>
      <c r="BK90" s="43" t="str">
        <f t="shared" si="62"/>
        <v>0</v>
      </c>
      <c r="BL90" s="62">
        <f t="shared" si="67"/>
        <v>0</v>
      </c>
      <c r="CH90" s="148" t="s">
        <v>243</v>
      </c>
      <c r="CI90" s="149">
        <v>1.41</v>
      </c>
      <c r="CJ90" s="145">
        <f t="shared" si="30"/>
        <v>1.5509999999999999</v>
      </c>
      <c r="CK90" s="153">
        <v>1.5</v>
      </c>
      <c r="CL90" s="277">
        <f>(L92*H92)/12</f>
        <v>0</v>
      </c>
    </row>
    <row r="91" spans="1:90" ht="11.05" hidden="1" customHeight="1" x14ac:dyDescent="0.6">
      <c r="A91" s="42"/>
      <c r="B91" s="230"/>
      <c r="C91" s="231"/>
      <c r="D91" s="231"/>
      <c r="E91" s="232"/>
      <c r="F91" s="43"/>
      <c r="G91" s="43"/>
      <c r="H91" s="44"/>
      <c r="I91" s="45"/>
      <c r="J91" s="43"/>
      <c r="K91" s="46"/>
      <c r="L91" s="47">
        <f t="shared" si="0"/>
        <v>0</v>
      </c>
      <c r="M91" s="43"/>
      <c r="N91" s="43"/>
      <c r="O91" s="43"/>
      <c r="P91" s="46"/>
      <c r="Q91" s="47">
        <f t="shared" si="63"/>
        <v>0</v>
      </c>
      <c r="R91" s="233"/>
      <c r="S91" s="234"/>
      <c r="T91" s="230"/>
      <c r="U91" s="231"/>
      <c r="V91" s="231"/>
      <c r="W91" s="232"/>
      <c r="X91" s="235" t="str">
        <f>IFERROR(INDEX(Table3923[],MATCH(R91,Table3923[Column1],),3),"")</f>
        <v/>
      </c>
      <c r="Y91" s="235"/>
      <c r="Z91" s="48" t="s">
        <v>85</v>
      </c>
      <c r="AA91" s="48" t="s">
        <v>85</v>
      </c>
      <c r="AB91" s="49"/>
      <c r="AC91" s="50"/>
      <c r="AD91" s="51">
        <f t="shared" si="44"/>
        <v>0</v>
      </c>
      <c r="AG91" s="52">
        <f t="shared" si="45"/>
        <v>0</v>
      </c>
      <c r="AH91" s="53"/>
      <c r="AM91" s="55">
        <f t="shared" si="46"/>
        <v>0</v>
      </c>
      <c r="AN91" s="55">
        <f t="shared" si="47"/>
        <v>0</v>
      </c>
      <c r="AO91" s="55">
        <f t="shared" si="48"/>
        <v>0</v>
      </c>
      <c r="AP91" s="56">
        <f t="shared" si="49"/>
        <v>0</v>
      </c>
      <c r="AQ91" s="55" t="str">
        <f t="shared" si="64"/>
        <v>0.00</v>
      </c>
      <c r="AR91" s="55" t="str">
        <f t="shared" si="50"/>
        <v>0</v>
      </c>
      <c r="AS91" s="57">
        <f t="shared" si="65"/>
        <v>0</v>
      </c>
      <c r="AT91" s="58">
        <f t="shared" si="51"/>
        <v>0</v>
      </c>
      <c r="AU91" s="57">
        <f t="shared" si="52"/>
        <v>0</v>
      </c>
      <c r="AV91" s="59">
        <f t="shared" si="66"/>
        <v>0</v>
      </c>
      <c r="AW91" s="59">
        <f t="shared" si="53"/>
        <v>0</v>
      </c>
      <c r="AX91" s="9"/>
      <c r="AY91" s="60">
        <f t="shared" si="54"/>
        <v>0</v>
      </c>
      <c r="AZ91" s="61">
        <f>_xlfn.IFNA(INDEX(Table3923[Column4],MATCH(R91,Table3923[Column1],0)),1.5)</f>
        <v>1.5</v>
      </c>
      <c r="BA91" s="62">
        <f>VLOOKUP(Z91,Table1331[#All],2,FALSE)</f>
        <v>1</v>
      </c>
      <c r="BB91" s="61">
        <f t="shared" si="25"/>
        <v>1.5</v>
      </c>
      <c r="BC91" s="55">
        <f t="shared" si="55"/>
        <v>0</v>
      </c>
      <c r="BD91" s="43">
        <f t="shared" si="56"/>
        <v>0</v>
      </c>
      <c r="BE91" s="63">
        <f t="shared" si="57"/>
        <v>0</v>
      </c>
      <c r="BF91" s="60">
        <f t="shared" si="58"/>
        <v>0</v>
      </c>
      <c r="BG91" s="60">
        <f t="shared" si="59"/>
        <v>0</v>
      </c>
      <c r="BH91" s="60">
        <f t="shared" si="60"/>
        <v>0</v>
      </c>
      <c r="BI91" s="55">
        <f>VLOOKUP(AA91,Table1533[#All],2,FALSE)</f>
        <v>1.25</v>
      </c>
      <c r="BJ91" s="55">
        <f t="shared" si="61"/>
        <v>0</v>
      </c>
      <c r="BK91" s="43" t="str">
        <f t="shared" si="62"/>
        <v>0</v>
      </c>
      <c r="BL91" s="62">
        <f t="shared" si="67"/>
        <v>0</v>
      </c>
      <c r="CH91" s="148" t="s">
        <v>244</v>
      </c>
      <c r="CI91" s="151">
        <v>1.41</v>
      </c>
      <c r="CJ91" s="145">
        <f t="shared" si="30"/>
        <v>1.5509999999999999</v>
      </c>
      <c r="CK91" s="153">
        <v>1.5</v>
      </c>
      <c r="CL91" s="277">
        <f>(L93*H93)/12</f>
        <v>0</v>
      </c>
    </row>
    <row r="92" spans="1:90" ht="11.05" hidden="1" customHeight="1" x14ac:dyDescent="0.6">
      <c r="A92" s="42"/>
      <c r="B92" s="230"/>
      <c r="C92" s="231"/>
      <c r="D92" s="231"/>
      <c r="E92" s="232"/>
      <c r="F92" s="43"/>
      <c r="G92" s="43"/>
      <c r="H92" s="44"/>
      <c r="I92" s="45"/>
      <c r="J92" s="43"/>
      <c r="K92" s="46"/>
      <c r="L92" s="47">
        <f t="shared" si="0"/>
        <v>0</v>
      </c>
      <c r="M92" s="43"/>
      <c r="N92" s="43"/>
      <c r="O92" s="43"/>
      <c r="P92" s="46"/>
      <c r="Q92" s="47">
        <f t="shared" si="63"/>
        <v>0</v>
      </c>
      <c r="R92" s="233"/>
      <c r="S92" s="234"/>
      <c r="T92" s="230"/>
      <c r="U92" s="231"/>
      <c r="V92" s="231"/>
      <c r="W92" s="232"/>
      <c r="X92" s="235" t="str">
        <f>IFERROR(INDEX(Table3923[],MATCH(R92,Table3923[Column1],),3),"")</f>
        <v/>
      </c>
      <c r="Y92" s="235"/>
      <c r="Z92" s="48" t="s">
        <v>85</v>
      </c>
      <c r="AA92" s="48" t="s">
        <v>85</v>
      </c>
      <c r="AB92" s="49"/>
      <c r="AC92" s="50"/>
      <c r="AD92" s="51">
        <f t="shared" si="44"/>
        <v>0</v>
      </c>
      <c r="AG92" s="52">
        <f t="shared" si="45"/>
        <v>0</v>
      </c>
      <c r="AH92" s="53"/>
      <c r="AM92" s="55">
        <f t="shared" si="46"/>
        <v>0</v>
      </c>
      <c r="AN92" s="55">
        <f t="shared" si="47"/>
        <v>0</v>
      </c>
      <c r="AO92" s="55">
        <f t="shared" si="48"/>
        <v>0</v>
      </c>
      <c r="AP92" s="56">
        <f t="shared" si="49"/>
        <v>0</v>
      </c>
      <c r="AQ92" s="55" t="str">
        <f t="shared" si="64"/>
        <v>0.00</v>
      </c>
      <c r="AR92" s="55" t="str">
        <f t="shared" si="50"/>
        <v>0</v>
      </c>
      <c r="AS92" s="57">
        <f t="shared" si="65"/>
        <v>0</v>
      </c>
      <c r="AT92" s="58">
        <f t="shared" si="51"/>
        <v>0</v>
      </c>
      <c r="AU92" s="57">
        <f t="shared" si="52"/>
        <v>0</v>
      </c>
      <c r="AV92" s="59">
        <f t="shared" si="66"/>
        <v>0</v>
      </c>
      <c r="AW92" s="59">
        <f t="shared" si="53"/>
        <v>0</v>
      </c>
      <c r="AX92" s="9"/>
      <c r="AY92" s="60">
        <f t="shared" si="54"/>
        <v>0</v>
      </c>
      <c r="AZ92" s="61">
        <f>_xlfn.IFNA(INDEX(Table3923[Column4],MATCH(R92,Table3923[Column1],0)),1.5)</f>
        <v>1.5</v>
      </c>
      <c r="BA92" s="62">
        <f>VLOOKUP(Z92,Table1331[#All],2,FALSE)</f>
        <v>1</v>
      </c>
      <c r="BB92" s="61">
        <f t="shared" si="25"/>
        <v>1.5</v>
      </c>
      <c r="BC92" s="55">
        <f t="shared" si="55"/>
        <v>0</v>
      </c>
      <c r="BD92" s="43">
        <f t="shared" si="56"/>
        <v>0</v>
      </c>
      <c r="BE92" s="63">
        <f t="shared" si="57"/>
        <v>0</v>
      </c>
      <c r="BF92" s="60">
        <f t="shared" si="58"/>
        <v>0</v>
      </c>
      <c r="BG92" s="60">
        <f t="shared" si="59"/>
        <v>0</v>
      </c>
      <c r="BH92" s="60">
        <f t="shared" si="60"/>
        <v>0</v>
      </c>
      <c r="BI92" s="55">
        <f>VLOOKUP(AA92,Table1533[#All],2,FALSE)</f>
        <v>1.25</v>
      </c>
      <c r="BJ92" s="55">
        <f t="shared" si="61"/>
        <v>0</v>
      </c>
      <c r="BK92" s="43" t="str">
        <f t="shared" si="62"/>
        <v>0</v>
      </c>
      <c r="BL92" s="62">
        <f t="shared" si="67"/>
        <v>0</v>
      </c>
      <c r="CH92" s="148" t="s">
        <v>245</v>
      </c>
      <c r="CI92" s="149">
        <v>3.8</v>
      </c>
      <c r="CJ92" s="145">
        <f t="shared" si="30"/>
        <v>4.18</v>
      </c>
      <c r="CK92" s="153">
        <v>1.5</v>
      </c>
      <c r="CL92" s="277">
        <f>(L94*H94)/12</f>
        <v>0</v>
      </c>
    </row>
    <row r="93" spans="1:90" ht="11.05" hidden="1" customHeight="1" x14ac:dyDescent="0.6">
      <c r="A93" s="42"/>
      <c r="B93" s="230"/>
      <c r="C93" s="231"/>
      <c r="D93" s="231"/>
      <c r="E93" s="232"/>
      <c r="F93" s="43"/>
      <c r="G93" s="43"/>
      <c r="H93" s="44"/>
      <c r="I93" s="45"/>
      <c r="J93" s="43"/>
      <c r="K93" s="46"/>
      <c r="L93" s="47">
        <f t="shared" si="0"/>
        <v>0</v>
      </c>
      <c r="M93" s="43"/>
      <c r="N93" s="43"/>
      <c r="O93" s="43"/>
      <c r="P93" s="46"/>
      <c r="Q93" s="47">
        <f t="shared" si="63"/>
        <v>0</v>
      </c>
      <c r="R93" s="233"/>
      <c r="S93" s="234"/>
      <c r="T93" s="230"/>
      <c r="U93" s="231"/>
      <c r="V93" s="231"/>
      <c r="W93" s="232"/>
      <c r="X93" s="235" t="str">
        <f>IFERROR(INDEX(Table3923[],MATCH(R93,Table3923[Column1],),3),"")</f>
        <v/>
      </c>
      <c r="Y93" s="235"/>
      <c r="Z93" s="48" t="s">
        <v>85</v>
      </c>
      <c r="AA93" s="48" t="s">
        <v>85</v>
      </c>
      <c r="AB93" s="49"/>
      <c r="AC93" s="50"/>
      <c r="AD93" s="51">
        <f t="shared" si="44"/>
        <v>0</v>
      </c>
      <c r="AG93" s="52">
        <f t="shared" si="45"/>
        <v>0</v>
      </c>
      <c r="AH93" s="53"/>
      <c r="AM93" s="55">
        <f t="shared" si="46"/>
        <v>0</v>
      </c>
      <c r="AN93" s="55">
        <f t="shared" si="47"/>
        <v>0</v>
      </c>
      <c r="AO93" s="55">
        <f t="shared" si="48"/>
        <v>0</v>
      </c>
      <c r="AP93" s="56">
        <f t="shared" si="49"/>
        <v>0</v>
      </c>
      <c r="AQ93" s="55" t="str">
        <f t="shared" si="64"/>
        <v>0.00</v>
      </c>
      <c r="AR93" s="55" t="str">
        <f t="shared" si="50"/>
        <v>0</v>
      </c>
      <c r="AS93" s="57">
        <f t="shared" si="65"/>
        <v>0</v>
      </c>
      <c r="AT93" s="58">
        <f t="shared" si="51"/>
        <v>0</v>
      </c>
      <c r="AU93" s="57">
        <f t="shared" si="52"/>
        <v>0</v>
      </c>
      <c r="AV93" s="59">
        <f t="shared" si="66"/>
        <v>0</v>
      </c>
      <c r="AW93" s="59">
        <f t="shared" si="53"/>
        <v>0</v>
      </c>
      <c r="AX93" s="9"/>
      <c r="AY93" s="60">
        <f t="shared" si="54"/>
        <v>0</v>
      </c>
      <c r="AZ93" s="61">
        <f>_xlfn.IFNA(INDEX(Table3923[Column4],MATCH(R93,Table3923[Column1],0)),1.5)</f>
        <v>1.5</v>
      </c>
      <c r="BA93" s="62">
        <f>VLOOKUP(Z93,Table1331[#All],2,FALSE)</f>
        <v>1</v>
      </c>
      <c r="BB93" s="61">
        <f t="shared" si="25"/>
        <v>1.5</v>
      </c>
      <c r="BC93" s="55">
        <f t="shared" si="55"/>
        <v>0</v>
      </c>
      <c r="BD93" s="43">
        <f t="shared" si="56"/>
        <v>0</v>
      </c>
      <c r="BE93" s="63">
        <f t="shared" si="57"/>
        <v>0</v>
      </c>
      <c r="BF93" s="60">
        <f t="shared" si="58"/>
        <v>0</v>
      </c>
      <c r="BG93" s="60">
        <f t="shared" si="59"/>
        <v>0</v>
      </c>
      <c r="BH93" s="60">
        <f t="shared" si="60"/>
        <v>0</v>
      </c>
      <c r="BI93" s="55">
        <f>VLOOKUP(AA93,Table1533[#All],2,FALSE)</f>
        <v>1.25</v>
      </c>
      <c r="BJ93" s="55">
        <f t="shared" si="61"/>
        <v>0</v>
      </c>
      <c r="BK93" s="43" t="str">
        <f t="shared" si="62"/>
        <v>0</v>
      </c>
      <c r="BL93" s="62">
        <f t="shared" si="67"/>
        <v>0</v>
      </c>
      <c r="CH93" s="148" t="s">
        <v>246</v>
      </c>
      <c r="CI93" s="151">
        <v>3.8</v>
      </c>
      <c r="CJ93" s="145">
        <f t="shared" si="30"/>
        <v>4.18</v>
      </c>
      <c r="CK93" s="153">
        <v>1.5</v>
      </c>
      <c r="CL93" s="277">
        <f>(L95*H95)/12</f>
        <v>0</v>
      </c>
    </row>
    <row r="94" spans="1:90" ht="11.05" hidden="1" customHeight="1" x14ac:dyDescent="0.6">
      <c r="A94" s="42"/>
      <c r="B94" s="230"/>
      <c r="C94" s="231"/>
      <c r="D94" s="231"/>
      <c r="E94" s="232"/>
      <c r="F94" s="43"/>
      <c r="G94" s="43"/>
      <c r="H94" s="44"/>
      <c r="I94" s="45"/>
      <c r="J94" s="43"/>
      <c r="K94" s="46"/>
      <c r="L94" s="47">
        <f t="shared" si="0"/>
        <v>0</v>
      </c>
      <c r="M94" s="43"/>
      <c r="N94" s="43"/>
      <c r="O94" s="43"/>
      <c r="P94" s="46"/>
      <c r="Q94" s="47">
        <f t="shared" si="63"/>
        <v>0</v>
      </c>
      <c r="R94" s="233"/>
      <c r="S94" s="234"/>
      <c r="T94" s="230"/>
      <c r="U94" s="231"/>
      <c r="V94" s="231"/>
      <c r="W94" s="232"/>
      <c r="X94" s="235" t="str">
        <f>IFERROR(INDEX(Table3923[],MATCH(R94,Table3923[Column1],),3),"")</f>
        <v/>
      </c>
      <c r="Y94" s="235"/>
      <c r="Z94" s="48" t="s">
        <v>85</v>
      </c>
      <c r="AA94" s="48" t="s">
        <v>85</v>
      </c>
      <c r="AB94" s="49"/>
      <c r="AC94" s="50"/>
      <c r="AD94" s="51">
        <f t="shared" si="44"/>
        <v>0</v>
      </c>
      <c r="AG94" s="52">
        <f t="shared" si="45"/>
        <v>0</v>
      </c>
      <c r="AH94" s="53"/>
      <c r="AM94" s="55">
        <f t="shared" si="46"/>
        <v>0</v>
      </c>
      <c r="AN94" s="55">
        <f t="shared" si="47"/>
        <v>0</v>
      </c>
      <c r="AO94" s="55">
        <f t="shared" si="48"/>
        <v>0</v>
      </c>
      <c r="AP94" s="56">
        <f t="shared" si="49"/>
        <v>0</v>
      </c>
      <c r="AQ94" s="55" t="str">
        <f t="shared" si="64"/>
        <v>0.00</v>
      </c>
      <c r="AR94" s="55" t="str">
        <f t="shared" si="50"/>
        <v>0</v>
      </c>
      <c r="AS94" s="57">
        <f t="shared" si="65"/>
        <v>0</v>
      </c>
      <c r="AT94" s="58">
        <f t="shared" si="51"/>
        <v>0</v>
      </c>
      <c r="AU94" s="57">
        <f t="shared" si="52"/>
        <v>0</v>
      </c>
      <c r="AV94" s="59">
        <f t="shared" si="66"/>
        <v>0</v>
      </c>
      <c r="AW94" s="59">
        <f t="shared" si="53"/>
        <v>0</v>
      </c>
      <c r="AX94" s="9"/>
      <c r="AY94" s="60">
        <f t="shared" si="54"/>
        <v>0</v>
      </c>
      <c r="AZ94" s="61">
        <f>_xlfn.IFNA(INDEX(Table3923[Column4],MATCH(R94,Table3923[Column1],0)),1.5)</f>
        <v>1.5</v>
      </c>
      <c r="BA94" s="62">
        <f>VLOOKUP(Z94,Table1331[#All],2,FALSE)</f>
        <v>1</v>
      </c>
      <c r="BB94" s="61">
        <f t="shared" si="25"/>
        <v>1.5</v>
      </c>
      <c r="BC94" s="55">
        <f t="shared" si="55"/>
        <v>0</v>
      </c>
      <c r="BD94" s="43">
        <f t="shared" si="56"/>
        <v>0</v>
      </c>
      <c r="BE94" s="63">
        <f t="shared" si="57"/>
        <v>0</v>
      </c>
      <c r="BF94" s="60">
        <f t="shared" si="58"/>
        <v>0</v>
      </c>
      <c r="BG94" s="60">
        <f t="shared" si="59"/>
        <v>0</v>
      </c>
      <c r="BH94" s="60">
        <f t="shared" si="60"/>
        <v>0</v>
      </c>
      <c r="BI94" s="55">
        <f>VLOOKUP(AA94,Table1533[#All],2,FALSE)</f>
        <v>1.25</v>
      </c>
      <c r="BJ94" s="55">
        <f t="shared" si="61"/>
        <v>0</v>
      </c>
      <c r="BK94" s="43" t="str">
        <f t="shared" si="62"/>
        <v>0</v>
      </c>
      <c r="BL94" s="62">
        <f t="shared" si="67"/>
        <v>0</v>
      </c>
      <c r="CH94" s="148" t="s">
        <v>247</v>
      </c>
      <c r="CI94" s="149">
        <v>1.98</v>
      </c>
      <c r="CJ94" s="145">
        <f t="shared" si="30"/>
        <v>2.1779999999999999</v>
      </c>
      <c r="CK94" s="153">
        <v>1.5</v>
      </c>
      <c r="CL94" s="277">
        <f>(L96*H96)/12</f>
        <v>0</v>
      </c>
    </row>
    <row r="95" spans="1:90" ht="11.05" hidden="1" customHeight="1" x14ac:dyDescent="0.6">
      <c r="A95" s="42"/>
      <c r="B95" s="230"/>
      <c r="C95" s="231"/>
      <c r="D95" s="231"/>
      <c r="E95" s="232"/>
      <c r="F95" s="43"/>
      <c r="G95" s="43"/>
      <c r="H95" s="44"/>
      <c r="I95" s="45"/>
      <c r="J95" s="43"/>
      <c r="K95" s="46"/>
      <c r="L95" s="47">
        <f t="shared" si="0"/>
        <v>0</v>
      </c>
      <c r="M95" s="43"/>
      <c r="N95" s="43"/>
      <c r="O95" s="43"/>
      <c r="P95" s="46"/>
      <c r="Q95" s="47">
        <f t="shared" si="63"/>
        <v>0</v>
      </c>
      <c r="R95" s="233"/>
      <c r="S95" s="234"/>
      <c r="T95" s="230"/>
      <c r="U95" s="231"/>
      <c r="V95" s="231"/>
      <c r="W95" s="232"/>
      <c r="X95" s="235" t="str">
        <f>IFERROR(INDEX(Table3923[],MATCH(R95,Table3923[Column1],),3),"")</f>
        <v/>
      </c>
      <c r="Y95" s="235"/>
      <c r="Z95" s="48" t="s">
        <v>85</v>
      </c>
      <c r="AA95" s="48" t="s">
        <v>85</v>
      </c>
      <c r="AB95" s="49"/>
      <c r="AC95" s="50"/>
      <c r="AD95" s="51">
        <f t="shared" si="44"/>
        <v>0</v>
      </c>
      <c r="AG95" s="52">
        <f t="shared" si="45"/>
        <v>0</v>
      </c>
      <c r="AH95" s="53"/>
      <c r="AM95" s="55">
        <f t="shared" si="46"/>
        <v>0</v>
      </c>
      <c r="AN95" s="55">
        <f t="shared" si="47"/>
        <v>0</v>
      </c>
      <c r="AO95" s="55">
        <f t="shared" si="48"/>
        <v>0</v>
      </c>
      <c r="AP95" s="56">
        <f t="shared" si="49"/>
        <v>0</v>
      </c>
      <c r="AQ95" s="55" t="str">
        <f t="shared" si="64"/>
        <v>0.00</v>
      </c>
      <c r="AR95" s="55" t="str">
        <f t="shared" si="50"/>
        <v>0</v>
      </c>
      <c r="AS95" s="57">
        <f t="shared" si="65"/>
        <v>0</v>
      </c>
      <c r="AT95" s="58">
        <f t="shared" si="51"/>
        <v>0</v>
      </c>
      <c r="AU95" s="57">
        <f t="shared" si="52"/>
        <v>0</v>
      </c>
      <c r="AV95" s="59">
        <f t="shared" si="66"/>
        <v>0</v>
      </c>
      <c r="AW95" s="59">
        <f t="shared" si="53"/>
        <v>0</v>
      </c>
      <c r="AX95" s="9"/>
      <c r="AY95" s="60">
        <f t="shared" si="54"/>
        <v>0</v>
      </c>
      <c r="AZ95" s="61">
        <f>_xlfn.IFNA(INDEX(Table3923[Column4],MATCH(R95,Table3923[Column1],0)),1.5)</f>
        <v>1.5</v>
      </c>
      <c r="BA95" s="62">
        <f>VLOOKUP(Z95,Table1331[#All],2,FALSE)</f>
        <v>1</v>
      </c>
      <c r="BB95" s="61">
        <f t="shared" si="25"/>
        <v>1.5</v>
      </c>
      <c r="BC95" s="55">
        <f t="shared" si="55"/>
        <v>0</v>
      </c>
      <c r="BD95" s="43">
        <f t="shared" si="56"/>
        <v>0</v>
      </c>
      <c r="BE95" s="63">
        <f t="shared" si="57"/>
        <v>0</v>
      </c>
      <c r="BF95" s="60">
        <f t="shared" si="58"/>
        <v>0</v>
      </c>
      <c r="BG95" s="60">
        <f t="shared" si="59"/>
        <v>0</v>
      </c>
      <c r="BH95" s="60">
        <f t="shared" si="60"/>
        <v>0</v>
      </c>
      <c r="BI95" s="55">
        <f>VLOOKUP(AA95,Table1533[#All],2,FALSE)</f>
        <v>1.25</v>
      </c>
      <c r="BJ95" s="55">
        <f t="shared" si="61"/>
        <v>0</v>
      </c>
      <c r="BK95" s="43" t="str">
        <f t="shared" si="62"/>
        <v>0</v>
      </c>
      <c r="BL95" s="62">
        <f t="shared" si="67"/>
        <v>0</v>
      </c>
      <c r="CH95" s="148" t="s">
        <v>248</v>
      </c>
      <c r="CI95" s="151">
        <v>1.98</v>
      </c>
      <c r="CJ95" s="145">
        <f t="shared" si="30"/>
        <v>2.1779999999999999</v>
      </c>
      <c r="CK95" s="153">
        <v>1.5</v>
      </c>
      <c r="CL95" s="277">
        <f>(L97*H97)/12</f>
        <v>0</v>
      </c>
    </row>
    <row r="96" spans="1:90" ht="11.05" hidden="1" customHeight="1" x14ac:dyDescent="0.6">
      <c r="A96" s="42"/>
      <c r="B96" s="230"/>
      <c r="C96" s="231"/>
      <c r="D96" s="231"/>
      <c r="E96" s="232"/>
      <c r="F96" s="43"/>
      <c r="G96" s="43"/>
      <c r="H96" s="44"/>
      <c r="I96" s="45"/>
      <c r="J96" s="43"/>
      <c r="K96" s="46"/>
      <c r="L96" s="47">
        <f t="shared" si="0"/>
        <v>0</v>
      </c>
      <c r="M96" s="43"/>
      <c r="N96" s="43"/>
      <c r="O96" s="43"/>
      <c r="P96" s="46"/>
      <c r="Q96" s="47">
        <f t="shared" si="63"/>
        <v>0</v>
      </c>
      <c r="R96" s="233"/>
      <c r="S96" s="234"/>
      <c r="T96" s="230"/>
      <c r="U96" s="231"/>
      <c r="V96" s="231"/>
      <c r="W96" s="232"/>
      <c r="X96" s="235" t="str">
        <f>IFERROR(INDEX(Table3923[],MATCH(R96,Table3923[Column1],),3),"")</f>
        <v/>
      </c>
      <c r="Y96" s="235"/>
      <c r="Z96" s="48" t="s">
        <v>85</v>
      </c>
      <c r="AA96" s="48" t="s">
        <v>85</v>
      </c>
      <c r="AB96" s="49"/>
      <c r="AC96" s="50"/>
      <c r="AD96" s="51">
        <f t="shared" si="44"/>
        <v>0</v>
      </c>
      <c r="AG96" s="52">
        <f t="shared" si="45"/>
        <v>0</v>
      </c>
      <c r="AH96" s="53"/>
      <c r="AM96" s="55">
        <f t="shared" si="46"/>
        <v>0</v>
      </c>
      <c r="AN96" s="55">
        <f t="shared" si="47"/>
        <v>0</v>
      </c>
      <c r="AO96" s="55">
        <f t="shared" si="48"/>
        <v>0</v>
      </c>
      <c r="AP96" s="56">
        <f t="shared" si="49"/>
        <v>0</v>
      </c>
      <c r="AQ96" s="55" t="str">
        <f t="shared" si="64"/>
        <v>0.00</v>
      </c>
      <c r="AR96" s="55" t="str">
        <f t="shared" si="50"/>
        <v>0</v>
      </c>
      <c r="AS96" s="57">
        <f t="shared" si="65"/>
        <v>0</v>
      </c>
      <c r="AT96" s="58">
        <f t="shared" si="51"/>
        <v>0</v>
      </c>
      <c r="AU96" s="57">
        <f t="shared" si="52"/>
        <v>0</v>
      </c>
      <c r="AV96" s="59">
        <f t="shared" si="66"/>
        <v>0</v>
      </c>
      <c r="AW96" s="59">
        <f t="shared" si="53"/>
        <v>0</v>
      </c>
      <c r="AX96" s="9"/>
      <c r="AY96" s="60">
        <f t="shared" si="54"/>
        <v>0</v>
      </c>
      <c r="AZ96" s="61">
        <f>_xlfn.IFNA(INDEX(Table3923[Column4],MATCH(R96,Table3923[Column1],0)),1.5)</f>
        <v>1.5</v>
      </c>
      <c r="BA96" s="62">
        <f>VLOOKUP(Z96,Table1331[#All],2,FALSE)</f>
        <v>1</v>
      </c>
      <c r="BB96" s="61">
        <f t="shared" si="25"/>
        <v>1.5</v>
      </c>
      <c r="BC96" s="55">
        <f t="shared" si="55"/>
        <v>0</v>
      </c>
      <c r="BD96" s="43">
        <f t="shared" si="56"/>
        <v>0</v>
      </c>
      <c r="BE96" s="63">
        <f t="shared" si="57"/>
        <v>0</v>
      </c>
      <c r="BF96" s="60">
        <f t="shared" si="58"/>
        <v>0</v>
      </c>
      <c r="BG96" s="60">
        <f t="shared" si="59"/>
        <v>0</v>
      </c>
      <c r="BH96" s="60">
        <f t="shared" si="60"/>
        <v>0</v>
      </c>
      <c r="BI96" s="55">
        <f>VLOOKUP(AA96,Table1533[#All],2,FALSE)</f>
        <v>1.25</v>
      </c>
      <c r="BJ96" s="55">
        <f t="shared" si="61"/>
        <v>0</v>
      </c>
      <c r="BK96" s="43" t="str">
        <f t="shared" si="62"/>
        <v>0</v>
      </c>
      <c r="BL96" s="62">
        <f t="shared" si="67"/>
        <v>0</v>
      </c>
      <c r="CH96" s="148" t="s">
        <v>249</v>
      </c>
      <c r="CI96" s="149">
        <v>1.98</v>
      </c>
      <c r="CJ96" s="145">
        <f>CI96*1.1</f>
        <v>2.1779999999999999</v>
      </c>
      <c r="CK96" s="153">
        <v>1.5</v>
      </c>
      <c r="CL96" s="277">
        <f>(L98*H98)/12</f>
        <v>0</v>
      </c>
    </row>
    <row r="97" spans="1:90" ht="11.05" hidden="1" customHeight="1" x14ac:dyDescent="0.6">
      <c r="A97" s="42"/>
      <c r="B97" s="230"/>
      <c r="C97" s="231"/>
      <c r="D97" s="231"/>
      <c r="E97" s="232"/>
      <c r="F97" s="43"/>
      <c r="G97" s="43"/>
      <c r="H97" s="44"/>
      <c r="I97" s="45"/>
      <c r="J97" s="43"/>
      <c r="K97" s="46"/>
      <c r="L97" s="47">
        <f t="shared" si="0"/>
        <v>0</v>
      </c>
      <c r="M97" s="43"/>
      <c r="N97" s="43"/>
      <c r="O97" s="43"/>
      <c r="P97" s="46"/>
      <c r="Q97" s="47">
        <f t="shared" si="63"/>
        <v>0</v>
      </c>
      <c r="R97" s="233"/>
      <c r="S97" s="234"/>
      <c r="T97" s="230"/>
      <c r="U97" s="231"/>
      <c r="V97" s="231"/>
      <c r="W97" s="232"/>
      <c r="X97" s="235" t="str">
        <f>IFERROR(INDEX(Table3923[],MATCH(R97,Table3923[Column1],),3),"")</f>
        <v/>
      </c>
      <c r="Y97" s="235"/>
      <c r="Z97" s="48" t="s">
        <v>85</v>
      </c>
      <c r="AA97" s="48" t="s">
        <v>85</v>
      </c>
      <c r="AB97" s="49"/>
      <c r="AC97" s="50"/>
      <c r="AD97" s="51">
        <f t="shared" si="44"/>
        <v>0</v>
      </c>
      <c r="AG97" s="52">
        <f t="shared" si="45"/>
        <v>0</v>
      </c>
      <c r="AH97" s="53"/>
      <c r="AM97" s="55">
        <f t="shared" si="46"/>
        <v>0</v>
      </c>
      <c r="AN97" s="55">
        <f t="shared" si="47"/>
        <v>0</v>
      </c>
      <c r="AO97" s="55">
        <f t="shared" si="48"/>
        <v>0</v>
      </c>
      <c r="AP97" s="56">
        <f t="shared" si="49"/>
        <v>0</v>
      </c>
      <c r="AQ97" s="55" t="str">
        <f t="shared" si="64"/>
        <v>0.00</v>
      </c>
      <c r="AR97" s="55" t="str">
        <f t="shared" si="50"/>
        <v>0</v>
      </c>
      <c r="AS97" s="57">
        <f t="shared" si="65"/>
        <v>0</v>
      </c>
      <c r="AT97" s="58">
        <f t="shared" si="51"/>
        <v>0</v>
      </c>
      <c r="AU97" s="57">
        <f t="shared" si="52"/>
        <v>0</v>
      </c>
      <c r="AV97" s="59">
        <f t="shared" si="66"/>
        <v>0</v>
      </c>
      <c r="AW97" s="59">
        <f t="shared" si="53"/>
        <v>0</v>
      </c>
      <c r="AX97" s="9"/>
      <c r="AY97" s="60">
        <f t="shared" si="54"/>
        <v>0</v>
      </c>
      <c r="AZ97" s="61">
        <f>_xlfn.IFNA(INDEX(Table3923[Column4],MATCH(R97,Table3923[Column1],0)),1.5)</f>
        <v>1.5</v>
      </c>
      <c r="BA97" s="62">
        <f>VLOOKUP(Z97,Table1331[#All],2,FALSE)</f>
        <v>1</v>
      </c>
      <c r="BB97" s="61">
        <f t="shared" si="25"/>
        <v>1.5</v>
      </c>
      <c r="BC97" s="55">
        <f t="shared" si="55"/>
        <v>0</v>
      </c>
      <c r="BD97" s="43">
        <f t="shared" si="56"/>
        <v>0</v>
      </c>
      <c r="BE97" s="63">
        <f t="shared" si="57"/>
        <v>0</v>
      </c>
      <c r="BF97" s="60">
        <f t="shared" si="58"/>
        <v>0</v>
      </c>
      <c r="BG97" s="60">
        <f t="shared" si="59"/>
        <v>0</v>
      </c>
      <c r="BH97" s="60">
        <f t="shared" si="60"/>
        <v>0</v>
      </c>
      <c r="BI97" s="55">
        <f>VLOOKUP(AA97,Table1533[#All],2,FALSE)</f>
        <v>1.25</v>
      </c>
      <c r="BJ97" s="55">
        <f t="shared" si="61"/>
        <v>0</v>
      </c>
      <c r="BK97" s="43" t="str">
        <f t="shared" si="62"/>
        <v>0</v>
      </c>
      <c r="BL97" s="62">
        <f t="shared" si="67"/>
        <v>0</v>
      </c>
      <c r="CH97" s="148" t="s">
        <v>250</v>
      </c>
      <c r="CI97" s="151">
        <v>2.63</v>
      </c>
      <c r="CJ97" s="145">
        <f>CI97*1.1</f>
        <v>2.8930000000000002</v>
      </c>
      <c r="CK97" s="153">
        <v>1.5</v>
      </c>
      <c r="CL97" s="277">
        <f>(L99*H99)/12</f>
        <v>0</v>
      </c>
    </row>
    <row r="98" spans="1:90" ht="11.05" hidden="1" customHeight="1" x14ac:dyDescent="0.6">
      <c r="A98" s="42"/>
      <c r="B98" s="230"/>
      <c r="C98" s="231"/>
      <c r="D98" s="231"/>
      <c r="E98" s="232"/>
      <c r="F98" s="43"/>
      <c r="G98" s="43"/>
      <c r="H98" s="44"/>
      <c r="I98" s="45"/>
      <c r="J98" s="43"/>
      <c r="K98" s="46"/>
      <c r="L98" s="47">
        <f t="shared" si="0"/>
        <v>0</v>
      </c>
      <c r="M98" s="43"/>
      <c r="N98" s="43"/>
      <c r="O98" s="43"/>
      <c r="P98" s="46"/>
      <c r="Q98" s="47">
        <f t="shared" si="63"/>
        <v>0</v>
      </c>
      <c r="R98" s="233"/>
      <c r="S98" s="234"/>
      <c r="T98" s="230"/>
      <c r="U98" s="231"/>
      <c r="V98" s="231"/>
      <c r="W98" s="232"/>
      <c r="X98" s="235" t="str">
        <f>IFERROR(INDEX(Table3923[],MATCH(R98,Table3923[Column1],),3),"")</f>
        <v/>
      </c>
      <c r="Y98" s="235"/>
      <c r="Z98" s="48" t="s">
        <v>85</v>
      </c>
      <c r="AA98" s="48" t="s">
        <v>85</v>
      </c>
      <c r="AB98" s="49"/>
      <c r="AC98" s="50"/>
      <c r="AD98" s="51">
        <f t="shared" si="44"/>
        <v>0</v>
      </c>
      <c r="AG98" s="52">
        <f t="shared" si="45"/>
        <v>0</v>
      </c>
      <c r="AH98" s="53"/>
      <c r="AM98" s="55">
        <f t="shared" si="46"/>
        <v>0</v>
      </c>
      <c r="AN98" s="55">
        <f t="shared" si="47"/>
        <v>0</v>
      </c>
      <c r="AO98" s="55">
        <f t="shared" si="48"/>
        <v>0</v>
      </c>
      <c r="AP98" s="56">
        <f t="shared" si="49"/>
        <v>0</v>
      </c>
      <c r="AQ98" s="55" t="str">
        <f t="shared" si="64"/>
        <v>0.00</v>
      </c>
      <c r="AR98" s="55" t="str">
        <f t="shared" si="50"/>
        <v>0</v>
      </c>
      <c r="AS98" s="57">
        <f t="shared" si="65"/>
        <v>0</v>
      </c>
      <c r="AT98" s="58">
        <f t="shared" si="51"/>
        <v>0</v>
      </c>
      <c r="AU98" s="57">
        <f t="shared" si="52"/>
        <v>0</v>
      </c>
      <c r="AV98" s="59">
        <f t="shared" si="66"/>
        <v>0</v>
      </c>
      <c r="AW98" s="59">
        <f t="shared" si="53"/>
        <v>0</v>
      </c>
      <c r="AX98" s="9"/>
      <c r="AY98" s="60">
        <f t="shared" si="54"/>
        <v>0</v>
      </c>
      <c r="AZ98" s="61">
        <f>_xlfn.IFNA(INDEX(Table3923[Column4],MATCH(R98,Table3923[Column1],0)),1.5)</f>
        <v>1.5</v>
      </c>
      <c r="BA98" s="62">
        <f>VLOOKUP(Z98,Table1331[#All],2,FALSE)</f>
        <v>1</v>
      </c>
      <c r="BB98" s="61">
        <f t="shared" si="25"/>
        <v>1.5</v>
      </c>
      <c r="BC98" s="55">
        <f t="shared" si="55"/>
        <v>0</v>
      </c>
      <c r="BD98" s="43">
        <f t="shared" si="56"/>
        <v>0</v>
      </c>
      <c r="BE98" s="63">
        <f t="shared" si="57"/>
        <v>0</v>
      </c>
      <c r="BF98" s="60">
        <f t="shared" si="58"/>
        <v>0</v>
      </c>
      <c r="BG98" s="60">
        <f t="shared" si="59"/>
        <v>0</v>
      </c>
      <c r="BH98" s="60">
        <f t="shared" si="60"/>
        <v>0</v>
      </c>
      <c r="BI98" s="55">
        <f>VLOOKUP(AA98,Table1533[#All],2,FALSE)</f>
        <v>1.25</v>
      </c>
      <c r="BJ98" s="55">
        <f t="shared" si="61"/>
        <v>0</v>
      </c>
      <c r="BK98" s="43" t="str">
        <f t="shared" si="62"/>
        <v>0</v>
      </c>
      <c r="BL98" s="62">
        <f t="shared" si="67"/>
        <v>0</v>
      </c>
      <c r="CH98" s="148" t="s">
        <v>251</v>
      </c>
      <c r="CI98" s="149">
        <v>0.91</v>
      </c>
      <c r="CJ98" s="145">
        <f>CI98*1.1</f>
        <v>1.0010000000000001</v>
      </c>
      <c r="CK98" s="153">
        <v>1.5</v>
      </c>
      <c r="CL98" s="277">
        <f>(L100*H100)/12</f>
        <v>0</v>
      </c>
    </row>
    <row r="99" spans="1:90" ht="11.05" hidden="1" customHeight="1" x14ac:dyDescent="0.6">
      <c r="A99" s="42"/>
      <c r="B99" s="230"/>
      <c r="C99" s="231"/>
      <c r="D99" s="231"/>
      <c r="E99" s="232"/>
      <c r="F99" s="43"/>
      <c r="G99" s="43"/>
      <c r="H99" s="44"/>
      <c r="I99" s="45"/>
      <c r="J99" s="43"/>
      <c r="K99" s="46"/>
      <c r="L99" s="47">
        <f t="shared" si="0"/>
        <v>0</v>
      </c>
      <c r="M99" s="43"/>
      <c r="N99" s="43"/>
      <c r="O99" s="43"/>
      <c r="P99" s="46"/>
      <c r="Q99" s="47">
        <f t="shared" si="63"/>
        <v>0</v>
      </c>
      <c r="R99" s="233"/>
      <c r="S99" s="234"/>
      <c r="T99" s="230"/>
      <c r="U99" s="231"/>
      <c r="V99" s="231"/>
      <c r="W99" s="232"/>
      <c r="X99" s="235" t="str">
        <f>IFERROR(INDEX(Table3923[],MATCH(R99,Table3923[Column1],),3),"")</f>
        <v/>
      </c>
      <c r="Y99" s="235"/>
      <c r="Z99" s="48" t="s">
        <v>85</v>
      </c>
      <c r="AA99" s="48" t="s">
        <v>85</v>
      </c>
      <c r="AB99" s="49"/>
      <c r="AC99" s="50"/>
      <c r="AD99" s="51">
        <f t="shared" si="44"/>
        <v>0</v>
      </c>
      <c r="AG99" s="52">
        <f t="shared" si="45"/>
        <v>0</v>
      </c>
      <c r="AH99" s="53"/>
      <c r="AM99" s="55">
        <f t="shared" si="46"/>
        <v>0</v>
      </c>
      <c r="AN99" s="55">
        <f t="shared" si="47"/>
        <v>0</v>
      </c>
      <c r="AO99" s="55">
        <f t="shared" si="48"/>
        <v>0</v>
      </c>
      <c r="AP99" s="56">
        <f t="shared" si="49"/>
        <v>0</v>
      </c>
      <c r="AQ99" s="55" t="str">
        <f t="shared" si="64"/>
        <v>0.00</v>
      </c>
      <c r="AR99" s="55" t="str">
        <f t="shared" si="50"/>
        <v>0</v>
      </c>
      <c r="AS99" s="57">
        <f t="shared" si="65"/>
        <v>0</v>
      </c>
      <c r="AT99" s="58">
        <f t="shared" si="51"/>
        <v>0</v>
      </c>
      <c r="AU99" s="57">
        <f t="shared" si="52"/>
        <v>0</v>
      </c>
      <c r="AV99" s="59">
        <f t="shared" si="66"/>
        <v>0</v>
      </c>
      <c r="AW99" s="59">
        <f t="shared" si="53"/>
        <v>0</v>
      </c>
      <c r="AX99" s="9"/>
      <c r="AY99" s="60">
        <f t="shared" si="54"/>
        <v>0</v>
      </c>
      <c r="AZ99" s="61">
        <f>_xlfn.IFNA(INDEX(Table3923[Column4],MATCH(R99,Table3923[Column1],0)),1.5)</f>
        <v>1.5</v>
      </c>
      <c r="BA99" s="62">
        <f>VLOOKUP(Z99,Table1331[#All],2,FALSE)</f>
        <v>1</v>
      </c>
      <c r="BB99" s="61">
        <f t="shared" si="25"/>
        <v>1.5</v>
      </c>
      <c r="BC99" s="55">
        <f t="shared" si="55"/>
        <v>0</v>
      </c>
      <c r="BD99" s="43">
        <f t="shared" si="56"/>
        <v>0</v>
      </c>
      <c r="BE99" s="63">
        <f t="shared" si="57"/>
        <v>0</v>
      </c>
      <c r="BF99" s="60">
        <f t="shared" si="58"/>
        <v>0</v>
      </c>
      <c r="BG99" s="60">
        <f t="shared" si="59"/>
        <v>0</v>
      </c>
      <c r="BH99" s="60">
        <f t="shared" si="60"/>
        <v>0</v>
      </c>
      <c r="BI99" s="55">
        <f>VLOOKUP(AA99,Table1533[#All],2,FALSE)</f>
        <v>1.25</v>
      </c>
      <c r="BJ99" s="55">
        <f t="shared" si="61"/>
        <v>0</v>
      </c>
      <c r="BK99" s="43" t="str">
        <f t="shared" si="62"/>
        <v>0</v>
      </c>
      <c r="BL99" s="62">
        <f t="shared" si="67"/>
        <v>0</v>
      </c>
      <c r="CH99" s="148" t="s">
        <v>252</v>
      </c>
      <c r="CI99" s="151">
        <v>1.1000000000000001</v>
      </c>
      <c r="CJ99" s="145">
        <f>CI99*1.1</f>
        <v>1.2100000000000002</v>
      </c>
      <c r="CK99" s="150">
        <v>1.25</v>
      </c>
      <c r="CL99" s="277">
        <f>(L101*H101)/12</f>
        <v>0</v>
      </c>
    </row>
    <row r="100" spans="1:90" ht="11.05" hidden="1" customHeight="1" x14ac:dyDescent="0.6">
      <c r="A100" s="42"/>
      <c r="B100" s="230"/>
      <c r="C100" s="231"/>
      <c r="D100" s="231"/>
      <c r="E100" s="232"/>
      <c r="F100" s="43"/>
      <c r="G100" s="43"/>
      <c r="H100" s="44"/>
      <c r="I100" s="45"/>
      <c r="J100" s="43"/>
      <c r="K100" s="46"/>
      <c r="L100" s="47">
        <f t="shared" si="0"/>
        <v>0</v>
      </c>
      <c r="M100" s="43"/>
      <c r="N100" s="43"/>
      <c r="O100" s="43"/>
      <c r="P100" s="46"/>
      <c r="Q100" s="47">
        <f t="shared" si="63"/>
        <v>0</v>
      </c>
      <c r="R100" s="233"/>
      <c r="S100" s="234"/>
      <c r="T100" s="230"/>
      <c r="U100" s="231"/>
      <c r="V100" s="231"/>
      <c r="W100" s="232"/>
      <c r="X100" s="235" t="str">
        <f>IFERROR(INDEX(Table3923[],MATCH(R100,Table3923[Column1],),3),"")</f>
        <v/>
      </c>
      <c r="Y100" s="235"/>
      <c r="Z100" s="48" t="s">
        <v>85</v>
      </c>
      <c r="AA100" s="48" t="s">
        <v>85</v>
      </c>
      <c r="AB100" s="49"/>
      <c r="AC100" s="50"/>
      <c r="AD100" s="51">
        <f t="shared" si="44"/>
        <v>0</v>
      </c>
      <c r="AG100" s="52">
        <f t="shared" si="45"/>
        <v>0</v>
      </c>
      <c r="AH100" s="53"/>
      <c r="AM100" s="55">
        <f t="shared" si="46"/>
        <v>0</v>
      </c>
      <c r="AN100" s="55">
        <f t="shared" si="47"/>
        <v>0</v>
      </c>
      <c r="AO100" s="55">
        <f t="shared" si="48"/>
        <v>0</v>
      </c>
      <c r="AP100" s="56">
        <f t="shared" si="49"/>
        <v>0</v>
      </c>
      <c r="AQ100" s="55" t="str">
        <f t="shared" si="64"/>
        <v>0.00</v>
      </c>
      <c r="AR100" s="55" t="str">
        <f t="shared" si="50"/>
        <v>0</v>
      </c>
      <c r="AS100" s="57">
        <f t="shared" si="65"/>
        <v>0</v>
      </c>
      <c r="AT100" s="58">
        <f t="shared" si="51"/>
        <v>0</v>
      </c>
      <c r="AU100" s="57">
        <f t="shared" si="52"/>
        <v>0</v>
      </c>
      <c r="AV100" s="59">
        <f t="shared" si="66"/>
        <v>0</v>
      </c>
      <c r="AW100" s="59">
        <f t="shared" si="53"/>
        <v>0</v>
      </c>
      <c r="AX100" s="9"/>
      <c r="AY100" s="60">
        <f t="shared" si="54"/>
        <v>0</v>
      </c>
      <c r="AZ100" s="61">
        <f>_xlfn.IFNA(INDEX(Table3923[Column4],MATCH(R100,Table3923[Column1],0)),1.5)</f>
        <v>1.5</v>
      </c>
      <c r="BA100" s="62">
        <f>VLOOKUP(Z100,Table1331[#All],2,FALSE)</f>
        <v>1</v>
      </c>
      <c r="BB100" s="61">
        <f t="shared" si="25"/>
        <v>1.5</v>
      </c>
      <c r="BC100" s="55">
        <f t="shared" si="55"/>
        <v>0</v>
      </c>
      <c r="BD100" s="43">
        <f t="shared" si="56"/>
        <v>0</v>
      </c>
      <c r="BE100" s="63">
        <f t="shared" si="57"/>
        <v>0</v>
      </c>
      <c r="BF100" s="60">
        <f t="shared" si="58"/>
        <v>0</v>
      </c>
      <c r="BG100" s="60">
        <f t="shared" si="59"/>
        <v>0</v>
      </c>
      <c r="BH100" s="60">
        <f t="shared" si="60"/>
        <v>0</v>
      </c>
      <c r="BI100" s="55">
        <f>VLOOKUP(AA100,Table1533[#All],2,FALSE)</f>
        <v>1.25</v>
      </c>
      <c r="BJ100" s="55">
        <f t="shared" si="61"/>
        <v>0</v>
      </c>
      <c r="BK100" s="43" t="str">
        <f t="shared" si="62"/>
        <v>0</v>
      </c>
      <c r="BL100" s="62">
        <f t="shared" si="67"/>
        <v>0</v>
      </c>
      <c r="CH100" s="148" t="s">
        <v>253</v>
      </c>
      <c r="CI100" s="149">
        <v>0.77</v>
      </c>
      <c r="CJ100" s="145">
        <f t="shared" si="30"/>
        <v>0.84700000000000009</v>
      </c>
      <c r="CK100" s="153">
        <v>1.25</v>
      </c>
      <c r="CL100" s="277">
        <f>(L102*H102)/12</f>
        <v>0</v>
      </c>
    </row>
    <row r="101" spans="1:90" ht="11.05" hidden="1" customHeight="1" x14ac:dyDescent="0.6">
      <c r="A101" s="42"/>
      <c r="B101" s="230"/>
      <c r="C101" s="231"/>
      <c r="D101" s="231"/>
      <c r="E101" s="232"/>
      <c r="F101" s="43"/>
      <c r="G101" s="43"/>
      <c r="H101" s="44"/>
      <c r="I101" s="45"/>
      <c r="J101" s="43"/>
      <c r="K101" s="46"/>
      <c r="L101" s="47">
        <f t="shared" ref="L101:L157" si="68">(I101*J101*K101)/144</f>
        <v>0</v>
      </c>
      <c r="M101" s="43"/>
      <c r="N101" s="43"/>
      <c r="O101" s="43"/>
      <c r="P101" s="46"/>
      <c r="Q101" s="47">
        <f t="shared" si="63"/>
        <v>0</v>
      </c>
      <c r="R101" s="233"/>
      <c r="S101" s="234"/>
      <c r="T101" s="230"/>
      <c r="U101" s="231"/>
      <c r="V101" s="231"/>
      <c r="W101" s="232"/>
      <c r="X101" s="235" t="str">
        <f>IFERROR(INDEX(Table3923[],MATCH(R101,Table3923[Column1],),3),"")</f>
        <v/>
      </c>
      <c r="Y101" s="235"/>
      <c r="Z101" s="48" t="s">
        <v>85</v>
      </c>
      <c r="AA101" s="48" t="s">
        <v>85</v>
      </c>
      <c r="AB101" s="49"/>
      <c r="AC101" s="50"/>
      <c r="AD101" s="51">
        <f t="shared" si="44"/>
        <v>0</v>
      </c>
      <c r="AG101" s="52">
        <f t="shared" si="45"/>
        <v>0</v>
      </c>
      <c r="AH101" s="53"/>
      <c r="AM101" s="55">
        <f t="shared" si="46"/>
        <v>0</v>
      </c>
      <c r="AN101" s="55">
        <f t="shared" si="47"/>
        <v>0</v>
      </c>
      <c r="AO101" s="55">
        <f t="shared" si="48"/>
        <v>0</v>
      </c>
      <c r="AP101" s="56">
        <f t="shared" si="49"/>
        <v>0</v>
      </c>
      <c r="AQ101" s="55" t="str">
        <f t="shared" si="64"/>
        <v>0.00</v>
      </c>
      <c r="AR101" s="55" t="str">
        <f t="shared" si="50"/>
        <v>0</v>
      </c>
      <c r="AS101" s="57">
        <f t="shared" si="65"/>
        <v>0</v>
      </c>
      <c r="AT101" s="58">
        <f t="shared" si="51"/>
        <v>0</v>
      </c>
      <c r="AU101" s="57">
        <f t="shared" si="52"/>
        <v>0</v>
      </c>
      <c r="AV101" s="59">
        <f t="shared" si="66"/>
        <v>0</v>
      </c>
      <c r="AW101" s="59">
        <f t="shared" si="53"/>
        <v>0</v>
      </c>
      <c r="AX101" s="9"/>
      <c r="AY101" s="60">
        <f t="shared" si="54"/>
        <v>0</v>
      </c>
      <c r="AZ101" s="61">
        <f>_xlfn.IFNA(INDEX(Table3923[Column4],MATCH(R101,Table3923[Column1],0)),1.5)</f>
        <v>1.5</v>
      </c>
      <c r="BA101" s="62">
        <f>VLOOKUP(Z101,Table1331[#All],2,FALSE)</f>
        <v>1</v>
      </c>
      <c r="BB101" s="61">
        <f t="shared" ref="BB101:BB157" si="69">AZ101*BA101</f>
        <v>1.5</v>
      </c>
      <c r="BC101" s="55">
        <f t="shared" si="55"/>
        <v>0</v>
      </c>
      <c r="BD101" s="43">
        <f t="shared" si="56"/>
        <v>0</v>
      </c>
      <c r="BE101" s="63">
        <f t="shared" si="57"/>
        <v>0</v>
      </c>
      <c r="BF101" s="60">
        <f t="shared" si="58"/>
        <v>0</v>
      </c>
      <c r="BG101" s="60">
        <f t="shared" si="59"/>
        <v>0</v>
      </c>
      <c r="BH101" s="60">
        <f t="shared" si="60"/>
        <v>0</v>
      </c>
      <c r="BI101" s="55">
        <f>VLOOKUP(AA101,Table1533[#All],2,FALSE)</f>
        <v>1.25</v>
      </c>
      <c r="BJ101" s="55">
        <f t="shared" si="61"/>
        <v>0</v>
      </c>
      <c r="BK101" s="43" t="str">
        <f t="shared" si="62"/>
        <v>0</v>
      </c>
      <c r="BL101" s="62">
        <f t="shared" si="67"/>
        <v>0</v>
      </c>
      <c r="CH101" s="148" t="s">
        <v>254</v>
      </c>
      <c r="CI101" s="151">
        <v>1.84</v>
      </c>
      <c r="CJ101" s="145">
        <f t="shared" si="30"/>
        <v>2.0240000000000005</v>
      </c>
      <c r="CK101" s="153">
        <v>2</v>
      </c>
      <c r="CL101" s="277">
        <f>(L103*H103)/12</f>
        <v>0</v>
      </c>
    </row>
    <row r="102" spans="1:90" ht="11.05" hidden="1" customHeight="1" x14ac:dyDescent="0.6">
      <c r="A102" s="42"/>
      <c r="B102" s="230"/>
      <c r="C102" s="231"/>
      <c r="D102" s="231"/>
      <c r="E102" s="232"/>
      <c r="F102" s="43"/>
      <c r="G102" s="43"/>
      <c r="H102" s="44"/>
      <c r="I102" s="45"/>
      <c r="J102" s="43"/>
      <c r="K102" s="46"/>
      <c r="L102" s="47">
        <f t="shared" si="68"/>
        <v>0</v>
      </c>
      <c r="M102" s="43"/>
      <c r="N102" s="43"/>
      <c r="O102" s="43"/>
      <c r="P102" s="46"/>
      <c r="Q102" s="47">
        <f t="shared" si="63"/>
        <v>0</v>
      </c>
      <c r="R102" s="233"/>
      <c r="S102" s="234"/>
      <c r="T102" s="230"/>
      <c r="U102" s="231"/>
      <c r="V102" s="231"/>
      <c r="W102" s="232"/>
      <c r="X102" s="235" t="str">
        <f>IFERROR(INDEX(Table3923[],MATCH(R102,Table3923[Column1],),3),"")</f>
        <v/>
      </c>
      <c r="Y102" s="235"/>
      <c r="Z102" s="48" t="s">
        <v>85</v>
      </c>
      <c r="AA102" s="48" t="s">
        <v>85</v>
      </c>
      <c r="AB102" s="49"/>
      <c r="AC102" s="50"/>
      <c r="AD102" s="51">
        <f t="shared" si="44"/>
        <v>0</v>
      </c>
      <c r="AG102" s="52">
        <f t="shared" si="45"/>
        <v>0</v>
      </c>
      <c r="AH102" s="53"/>
      <c r="AM102" s="55">
        <f t="shared" si="46"/>
        <v>0</v>
      </c>
      <c r="AN102" s="55">
        <f t="shared" si="47"/>
        <v>0</v>
      </c>
      <c r="AO102" s="55">
        <f t="shared" si="48"/>
        <v>0</v>
      </c>
      <c r="AP102" s="56">
        <f t="shared" si="49"/>
        <v>0</v>
      </c>
      <c r="AQ102" s="55" t="str">
        <f t="shared" si="64"/>
        <v>0.00</v>
      </c>
      <c r="AR102" s="55" t="str">
        <f t="shared" si="50"/>
        <v>0</v>
      </c>
      <c r="AS102" s="57">
        <f t="shared" si="65"/>
        <v>0</v>
      </c>
      <c r="AT102" s="58">
        <f t="shared" si="51"/>
        <v>0</v>
      </c>
      <c r="AU102" s="57">
        <f t="shared" si="52"/>
        <v>0</v>
      </c>
      <c r="AV102" s="59">
        <f t="shared" si="66"/>
        <v>0</v>
      </c>
      <c r="AW102" s="59">
        <f t="shared" si="53"/>
        <v>0</v>
      </c>
      <c r="AX102" s="9"/>
      <c r="AY102" s="60">
        <f t="shared" si="54"/>
        <v>0</v>
      </c>
      <c r="AZ102" s="61">
        <f>_xlfn.IFNA(INDEX(Table3923[Column4],MATCH(R102,Table3923[Column1],0)),1.5)</f>
        <v>1.5</v>
      </c>
      <c r="BA102" s="62">
        <f>VLOOKUP(Z102,Table1331[#All],2,FALSE)</f>
        <v>1</v>
      </c>
      <c r="BB102" s="61">
        <f t="shared" si="69"/>
        <v>1.5</v>
      </c>
      <c r="BC102" s="55">
        <f t="shared" si="55"/>
        <v>0</v>
      </c>
      <c r="BD102" s="43">
        <f t="shared" si="56"/>
        <v>0</v>
      </c>
      <c r="BE102" s="63">
        <f t="shared" si="57"/>
        <v>0</v>
      </c>
      <c r="BF102" s="60">
        <f t="shared" si="58"/>
        <v>0</v>
      </c>
      <c r="BG102" s="60">
        <f t="shared" si="59"/>
        <v>0</v>
      </c>
      <c r="BH102" s="60">
        <f t="shared" si="60"/>
        <v>0</v>
      </c>
      <c r="BI102" s="55">
        <f>VLOOKUP(AA102,Table1533[#All],2,FALSE)</f>
        <v>1.25</v>
      </c>
      <c r="BJ102" s="55">
        <f t="shared" si="61"/>
        <v>0</v>
      </c>
      <c r="BK102" s="43" t="str">
        <f t="shared" si="62"/>
        <v>0</v>
      </c>
      <c r="BL102" s="62">
        <f t="shared" si="67"/>
        <v>0</v>
      </c>
      <c r="CH102" s="148" t="s">
        <v>255</v>
      </c>
      <c r="CI102" s="149">
        <v>1.1299999999999999</v>
      </c>
      <c r="CJ102" s="145">
        <f t="shared" ref="CJ102:CJ167" si="70">CI102*1.1</f>
        <v>1.2429999999999999</v>
      </c>
      <c r="CK102" s="153">
        <v>1.5</v>
      </c>
      <c r="CL102" s="277">
        <f>(L104*H104)/12</f>
        <v>0</v>
      </c>
    </row>
    <row r="103" spans="1:90" ht="11.05" hidden="1" customHeight="1" x14ac:dyDescent="0.6">
      <c r="A103" s="42"/>
      <c r="B103" s="230"/>
      <c r="C103" s="231"/>
      <c r="D103" s="231"/>
      <c r="E103" s="232"/>
      <c r="F103" s="43"/>
      <c r="G103" s="43"/>
      <c r="H103" s="44"/>
      <c r="I103" s="45"/>
      <c r="J103" s="43"/>
      <c r="K103" s="46"/>
      <c r="L103" s="47">
        <f t="shared" si="68"/>
        <v>0</v>
      </c>
      <c r="M103" s="43"/>
      <c r="N103" s="43"/>
      <c r="O103" s="43"/>
      <c r="P103" s="46"/>
      <c r="Q103" s="47">
        <f t="shared" si="63"/>
        <v>0</v>
      </c>
      <c r="R103" s="233"/>
      <c r="S103" s="234"/>
      <c r="T103" s="230"/>
      <c r="U103" s="231"/>
      <c r="V103" s="231"/>
      <c r="W103" s="232"/>
      <c r="X103" s="235" t="str">
        <f>IFERROR(INDEX(Table3923[],MATCH(R103,Table3923[Column1],),3),"")</f>
        <v/>
      </c>
      <c r="Y103" s="235"/>
      <c r="Z103" s="48" t="s">
        <v>85</v>
      </c>
      <c r="AA103" s="48" t="s">
        <v>85</v>
      </c>
      <c r="AB103" s="49"/>
      <c r="AC103" s="50"/>
      <c r="AD103" s="51">
        <f t="shared" ref="AD103:AD134" si="71">SUM(AV103+AW103)</f>
        <v>0</v>
      </c>
      <c r="AG103" s="52">
        <f t="shared" si="45"/>
        <v>0</v>
      </c>
      <c r="AH103" s="53"/>
      <c r="AM103" s="55">
        <f t="shared" si="46"/>
        <v>0</v>
      </c>
      <c r="AN103" s="55">
        <f t="shared" si="47"/>
        <v>0</v>
      </c>
      <c r="AO103" s="55">
        <f t="shared" ref="AO103:AO134" si="72">BC103+BJ103+BE103</f>
        <v>0</v>
      </c>
      <c r="AP103" s="56">
        <f t="shared" ref="AP103:AP134" si="73">(($AB$4*$AJ$7)+($AC$2*$AJ$7))*BL103</f>
        <v>0</v>
      </c>
      <c r="AQ103" s="55" t="str">
        <f t="shared" si="64"/>
        <v>0.00</v>
      </c>
      <c r="AR103" s="55" t="str">
        <f t="shared" ref="AR103:AR134" si="74">IF($Z$2="No","0",(((AP103/$AJ$7)+BF103+BH103)*$AJ$13)-(AP103+BC103+BE103+BJ103))</f>
        <v>0</v>
      </c>
      <c r="AS103" s="57">
        <f t="shared" si="65"/>
        <v>0</v>
      </c>
      <c r="AT103" s="58">
        <f t="shared" si="51"/>
        <v>0</v>
      </c>
      <c r="AU103" s="57">
        <f t="shared" si="52"/>
        <v>0</v>
      </c>
      <c r="AV103" s="59">
        <f t="shared" si="66"/>
        <v>0</v>
      </c>
      <c r="AW103" s="59">
        <f t="shared" si="53"/>
        <v>0</v>
      </c>
      <c r="AX103" s="9"/>
      <c r="AY103" s="60">
        <f t="shared" ref="AY103:AY134" si="75">IF(R103="removal only",0,((I103*J103*K103)/144))</f>
        <v>0</v>
      </c>
      <c r="AZ103" s="61">
        <f>_xlfn.IFNA(INDEX(Table3923[Column4],MATCH(R103,Table3923[Column1],0)),1.5)</f>
        <v>1.5</v>
      </c>
      <c r="BA103" s="62">
        <f>VLOOKUP(Z103,Table1331[#All],2,FALSE)</f>
        <v>1</v>
      </c>
      <c r="BB103" s="61">
        <f t="shared" si="69"/>
        <v>1.5</v>
      </c>
      <c r="BC103" s="55">
        <f t="shared" ref="BC103:BC134" si="76">IF(R103="removal only",0,(AY103*BB103))</f>
        <v>0</v>
      </c>
      <c r="BD103" s="43">
        <f t="shared" ref="BD103:BD134" si="77">IF(R103="removal only",0,K103)</f>
        <v>0</v>
      </c>
      <c r="BE103" s="63">
        <f t="shared" ref="BE103:BE134" si="78">(AB103/60)*$AJ$7</f>
        <v>0</v>
      </c>
      <c r="BF103" s="60">
        <f t="shared" ref="BF103:BF134" si="79">IF(R103="removal only",0,(BC103+BE103)/$AJ$7)</f>
        <v>0</v>
      </c>
      <c r="BG103" s="60">
        <f t="shared" ref="BG103:BG134" si="80">IF(H103="Yes",((I103*J103*K103)/144),0)</f>
        <v>0</v>
      </c>
      <c r="BH103" s="60">
        <f t="shared" ref="BH103:BH134" si="81">IF(BG103="0",0,BJ103/$AJ$7)</f>
        <v>0</v>
      </c>
      <c r="BI103" s="55">
        <f>VLOOKUP(AA103,Table1533[#All],2,FALSE)</f>
        <v>1.25</v>
      </c>
      <c r="BJ103" s="55">
        <f t="shared" ref="BJ103:BJ134" si="82">IF(H103="Yes",BG103*BI103,0)</f>
        <v>0</v>
      </c>
      <c r="BK103" s="43" t="str">
        <f t="shared" ref="BK103:BK134" si="83">IF(H103="Yes",K103,"0")</f>
        <v>0</v>
      </c>
      <c r="BL103" s="62">
        <f t="shared" si="67"/>
        <v>0</v>
      </c>
      <c r="CH103" s="148" t="s">
        <v>256</v>
      </c>
      <c r="CI103" s="151">
        <v>1.1499999999999999</v>
      </c>
      <c r="CJ103" s="145">
        <f t="shared" si="70"/>
        <v>1.2649999999999999</v>
      </c>
      <c r="CK103" s="153">
        <v>1.5</v>
      </c>
      <c r="CL103" s="277">
        <f>(L105*H105)/12</f>
        <v>0</v>
      </c>
    </row>
    <row r="104" spans="1:90" ht="11.05" hidden="1" customHeight="1" x14ac:dyDescent="0.6">
      <c r="A104" s="42"/>
      <c r="B104" s="230"/>
      <c r="C104" s="231"/>
      <c r="D104" s="231"/>
      <c r="E104" s="232"/>
      <c r="F104" s="43"/>
      <c r="G104" s="43"/>
      <c r="H104" s="44"/>
      <c r="I104" s="45"/>
      <c r="J104" s="43"/>
      <c r="K104" s="46"/>
      <c r="L104" s="47">
        <f t="shared" si="68"/>
        <v>0</v>
      </c>
      <c r="M104" s="43"/>
      <c r="N104" s="43"/>
      <c r="O104" s="43"/>
      <c r="P104" s="46"/>
      <c r="Q104" s="47">
        <f t="shared" si="63"/>
        <v>0</v>
      </c>
      <c r="R104" s="233"/>
      <c r="S104" s="234"/>
      <c r="T104" s="230"/>
      <c r="U104" s="231"/>
      <c r="V104" s="231"/>
      <c r="W104" s="232"/>
      <c r="X104" s="235" t="str">
        <f>IFERROR(INDEX(Table3923[],MATCH(R104,Table3923[Column1],),3),"")</f>
        <v/>
      </c>
      <c r="Y104" s="235"/>
      <c r="Z104" s="48" t="s">
        <v>85</v>
      </c>
      <c r="AA104" s="48" t="s">
        <v>85</v>
      </c>
      <c r="AB104" s="49"/>
      <c r="AC104" s="50"/>
      <c r="AD104" s="51">
        <f t="shared" si="71"/>
        <v>0</v>
      </c>
      <c r="AG104" s="52">
        <f t="shared" si="45"/>
        <v>0</v>
      </c>
      <c r="AH104" s="53"/>
      <c r="AM104" s="55">
        <f t="shared" si="46"/>
        <v>0</v>
      </c>
      <c r="AN104" s="55">
        <f t="shared" si="47"/>
        <v>0</v>
      </c>
      <c r="AO104" s="55">
        <f t="shared" si="72"/>
        <v>0</v>
      </c>
      <c r="AP104" s="56">
        <f t="shared" si="73"/>
        <v>0</v>
      </c>
      <c r="AQ104" s="55" t="str">
        <f t="shared" si="64"/>
        <v>0.00</v>
      </c>
      <c r="AR104" s="55" t="str">
        <f t="shared" si="74"/>
        <v>0</v>
      </c>
      <c r="AS104" s="57">
        <f t="shared" si="65"/>
        <v>0</v>
      </c>
      <c r="AT104" s="58">
        <f t="shared" si="51"/>
        <v>0</v>
      </c>
      <c r="AU104" s="57">
        <f t="shared" si="52"/>
        <v>0</v>
      </c>
      <c r="AV104" s="59">
        <f t="shared" si="66"/>
        <v>0</v>
      </c>
      <c r="AW104" s="59">
        <f t="shared" si="53"/>
        <v>0</v>
      </c>
      <c r="AX104" s="9"/>
      <c r="AY104" s="60">
        <f t="shared" si="75"/>
        <v>0</v>
      </c>
      <c r="AZ104" s="61">
        <f>_xlfn.IFNA(INDEX(Table3923[Column4],MATCH(R104,Table3923[Column1],0)),1.5)</f>
        <v>1.5</v>
      </c>
      <c r="BA104" s="62">
        <f>VLOOKUP(Z104,Table1331[#All],2,FALSE)</f>
        <v>1</v>
      </c>
      <c r="BB104" s="61">
        <f t="shared" si="69"/>
        <v>1.5</v>
      </c>
      <c r="BC104" s="55">
        <f t="shared" si="76"/>
        <v>0</v>
      </c>
      <c r="BD104" s="43">
        <f t="shared" si="77"/>
        <v>0</v>
      </c>
      <c r="BE104" s="63">
        <f t="shared" si="78"/>
        <v>0</v>
      </c>
      <c r="BF104" s="60">
        <f t="shared" si="79"/>
        <v>0</v>
      </c>
      <c r="BG104" s="60">
        <f t="shared" si="80"/>
        <v>0</v>
      </c>
      <c r="BH104" s="60">
        <f t="shared" si="81"/>
        <v>0</v>
      </c>
      <c r="BI104" s="55">
        <f>VLOOKUP(AA104,Table1533[#All],2,FALSE)</f>
        <v>1.25</v>
      </c>
      <c r="BJ104" s="55">
        <f t="shared" si="82"/>
        <v>0</v>
      </c>
      <c r="BK104" s="43" t="str">
        <f t="shared" si="83"/>
        <v>0</v>
      </c>
      <c r="BL104" s="62">
        <f t="shared" si="67"/>
        <v>0</v>
      </c>
      <c r="CH104" s="148" t="s">
        <v>257</v>
      </c>
      <c r="CI104" s="149">
        <v>1.36</v>
      </c>
      <c r="CJ104" s="145">
        <f t="shared" si="70"/>
        <v>1.4960000000000002</v>
      </c>
      <c r="CK104" s="153">
        <v>1.75</v>
      </c>
      <c r="CL104" s="277">
        <f>(L106*H106)/12</f>
        <v>0</v>
      </c>
    </row>
    <row r="105" spans="1:90" ht="11.05" hidden="1" customHeight="1" x14ac:dyDescent="0.6">
      <c r="A105" s="42"/>
      <c r="B105" s="230"/>
      <c r="C105" s="231"/>
      <c r="D105" s="231"/>
      <c r="E105" s="232"/>
      <c r="F105" s="43"/>
      <c r="G105" s="43"/>
      <c r="H105" s="44"/>
      <c r="I105" s="45"/>
      <c r="J105" s="43"/>
      <c r="K105" s="46"/>
      <c r="L105" s="47">
        <f t="shared" si="68"/>
        <v>0</v>
      </c>
      <c r="M105" s="43"/>
      <c r="N105" s="43"/>
      <c r="O105" s="43"/>
      <c r="P105" s="46"/>
      <c r="Q105" s="47">
        <f t="shared" si="63"/>
        <v>0</v>
      </c>
      <c r="R105" s="233"/>
      <c r="S105" s="234"/>
      <c r="T105" s="230"/>
      <c r="U105" s="231"/>
      <c r="V105" s="231"/>
      <c r="W105" s="232"/>
      <c r="X105" s="235" t="str">
        <f>IFERROR(INDEX(Table3923[],MATCH(R105,Table3923[Column1],),3),"")</f>
        <v/>
      </c>
      <c r="Y105" s="235"/>
      <c r="Z105" s="48" t="s">
        <v>85</v>
      </c>
      <c r="AA105" s="48" t="s">
        <v>85</v>
      </c>
      <c r="AB105" s="49"/>
      <c r="AC105" s="50"/>
      <c r="AD105" s="51">
        <f t="shared" si="71"/>
        <v>0</v>
      </c>
      <c r="AG105" s="52">
        <f t="shared" si="45"/>
        <v>0</v>
      </c>
      <c r="AH105" s="53"/>
      <c r="AM105" s="55">
        <f t="shared" si="46"/>
        <v>0</v>
      </c>
      <c r="AN105" s="55">
        <f t="shared" si="47"/>
        <v>0</v>
      </c>
      <c r="AO105" s="55">
        <f t="shared" si="72"/>
        <v>0</v>
      </c>
      <c r="AP105" s="56">
        <f t="shared" si="73"/>
        <v>0</v>
      </c>
      <c r="AQ105" s="55" t="str">
        <f t="shared" si="64"/>
        <v>0.00</v>
      </c>
      <c r="AR105" s="55" t="str">
        <f t="shared" si="74"/>
        <v>0</v>
      </c>
      <c r="AS105" s="57">
        <f t="shared" si="65"/>
        <v>0</v>
      </c>
      <c r="AT105" s="58">
        <f t="shared" si="51"/>
        <v>0</v>
      </c>
      <c r="AU105" s="57">
        <f t="shared" si="52"/>
        <v>0</v>
      </c>
      <c r="AV105" s="59">
        <f t="shared" si="66"/>
        <v>0</v>
      </c>
      <c r="AW105" s="59">
        <f t="shared" si="53"/>
        <v>0</v>
      </c>
      <c r="AX105" s="9"/>
      <c r="AY105" s="60">
        <f t="shared" si="75"/>
        <v>0</v>
      </c>
      <c r="AZ105" s="61">
        <f>_xlfn.IFNA(INDEX(Table3923[Column4],MATCH(R105,Table3923[Column1],0)),1.5)</f>
        <v>1.5</v>
      </c>
      <c r="BA105" s="62">
        <f>VLOOKUP(Z105,Table1331[#All],2,FALSE)</f>
        <v>1</v>
      </c>
      <c r="BB105" s="61">
        <f t="shared" si="69"/>
        <v>1.5</v>
      </c>
      <c r="BC105" s="55">
        <f t="shared" si="76"/>
        <v>0</v>
      </c>
      <c r="BD105" s="43">
        <f t="shared" si="77"/>
        <v>0</v>
      </c>
      <c r="BE105" s="63">
        <f t="shared" si="78"/>
        <v>0</v>
      </c>
      <c r="BF105" s="60">
        <f t="shared" si="79"/>
        <v>0</v>
      </c>
      <c r="BG105" s="60">
        <f t="shared" si="80"/>
        <v>0</v>
      </c>
      <c r="BH105" s="60">
        <f t="shared" si="81"/>
        <v>0</v>
      </c>
      <c r="BI105" s="55">
        <f>VLOOKUP(AA105,Table1533[#All],2,FALSE)</f>
        <v>1.25</v>
      </c>
      <c r="BJ105" s="55">
        <f t="shared" si="82"/>
        <v>0</v>
      </c>
      <c r="BK105" s="43" t="str">
        <f t="shared" si="83"/>
        <v>0</v>
      </c>
      <c r="BL105" s="62">
        <f t="shared" si="67"/>
        <v>0</v>
      </c>
      <c r="CH105" s="148" t="s">
        <v>258</v>
      </c>
      <c r="CI105" s="151">
        <v>1.72</v>
      </c>
      <c r="CJ105" s="145">
        <f t="shared" si="70"/>
        <v>1.8920000000000001</v>
      </c>
      <c r="CK105" s="153">
        <v>1.75</v>
      </c>
      <c r="CL105" s="277">
        <f>(L107*H107)/12</f>
        <v>0</v>
      </c>
    </row>
    <row r="106" spans="1:90" ht="11.05" hidden="1" customHeight="1" x14ac:dyDescent="0.6">
      <c r="A106" s="42"/>
      <c r="B106" s="230"/>
      <c r="C106" s="231"/>
      <c r="D106" s="231"/>
      <c r="E106" s="232"/>
      <c r="F106" s="43"/>
      <c r="G106" s="43"/>
      <c r="H106" s="44"/>
      <c r="I106" s="45"/>
      <c r="J106" s="43"/>
      <c r="K106" s="46"/>
      <c r="L106" s="47">
        <f t="shared" si="68"/>
        <v>0</v>
      </c>
      <c r="M106" s="43"/>
      <c r="N106" s="43"/>
      <c r="O106" s="43"/>
      <c r="P106" s="46"/>
      <c r="Q106" s="47">
        <f t="shared" si="63"/>
        <v>0</v>
      </c>
      <c r="R106" s="233"/>
      <c r="S106" s="234"/>
      <c r="T106" s="230"/>
      <c r="U106" s="231"/>
      <c r="V106" s="231"/>
      <c r="W106" s="232"/>
      <c r="X106" s="235" t="str">
        <f>IFERROR(INDEX(Table3923[],MATCH(R106,Table3923[Column1],),3),"")</f>
        <v/>
      </c>
      <c r="Y106" s="235"/>
      <c r="Z106" s="48" t="s">
        <v>85</v>
      </c>
      <c r="AA106" s="48" t="s">
        <v>85</v>
      </c>
      <c r="AB106" s="49"/>
      <c r="AC106" s="50"/>
      <c r="AD106" s="51">
        <f t="shared" si="71"/>
        <v>0</v>
      </c>
      <c r="AG106" s="52">
        <f t="shared" si="45"/>
        <v>0</v>
      </c>
      <c r="AH106" s="53"/>
      <c r="AM106" s="55">
        <f t="shared" si="46"/>
        <v>0</v>
      </c>
      <c r="AN106" s="55">
        <f t="shared" si="47"/>
        <v>0</v>
      </c>
      <c r="AO106" s="55">
        <f t="shared" si="72"/>
        <v>0</v>
      </c>
      <c r="AP106" s="56">
        <f t="shared" si="73"/>
        <v>0</v>
      </c>
      <c r="AQ106" s="55" t="str">
        <f t="shared" si="64"/>
        <v>0.00</v>
      </c>
      <c r="AR106" s="55" t="str">
        <f t="shared" si="74"/>
        <v>0</v>
      </c>
      <c r="AS106" s="57">
        <f t="shared" si="65"/>
        <v>0</v>
      </c>
      <c r="AT106" s="58">
        <f t="shared" si="51"/>
        <v>0</v>
      </c>
      <c r="AU106" s="57">
        <f t="shared" si="52"/>
        <v>0</v>
      </c>
      <c r="AV106" s="59">
        <f t="shared" si="66"/>
        <v>0</v>
      </c>
      <c r="AW106" s="59">
        <f t="shared" si="53"/>
        <v>0</v>
      </c>
      <c r="AX106" s="9"/>
      <c r="AY106" s="60">
        <f t="shared" si="75"/>
        <v>0</v>
      </c>
      <c r="AZ106" s="61">
        <f>_xlfn.IFNA(INDEX(Table3923[Column4],MATCH(R106,Table3923[Column1],0)),1.5)</f>
        <v>1.5</v>
      </c>
      <c r="BA106" s="62">
        <f>VLOOKUP(Z106,Table1331[#All],2,FALSE)</f>
        <v>1</v>
      </c>
      <c r="BB106" s="61">
        <f t="shared" si="69"/>
        <v>1.5</v>
      </c>
      <c r="BC106" s="55">
        <f t="shared" si="76"/>
        <v>0</v>
      </c>
      <c r="BD106" s="43">
        <f t="shared" si="77"/>
        <v>0</v>
      </c>
      <c r="BE106" s="63">
        <f t="shared" si="78"/>
        <v>0</v>
      </c>
      <c r="BF106" s="60">
        <f t="shared" si="79"/>
        <v>0</v>
      </c>
      <c r="BG106" s="60">
        <f t="shared" si="80"/>
        <v>0</v>
      </c>
      <c r="BH106" s="60">
        <f t="shared" si="81"/>
        <v>0</v>
      </c>
      <c r="BI106" s="55">
        <f>VLOOKUP(AA106,Table1533[#All],2,FALSE)</f>
        <v>1.25</v>
      </c>
      <c r="BJ106" s="55">
        <f t="shared" si="82"/>
        <v>0</v>
      </c>
      <c r="BK106" s="43" t="str">
        <f t="shared" si="83"/>
        <v>0</v>
      </c>
      <c r="BL106" s="62">
        <f t="shared" si="67"/>
        <v>0</v>
      </c>
      <c r="CH106" s="148" t="s">
        <v>259</v>
      </c>
      <c r="CI106" s="149">
        <v>1.44</v>
      </c>
      <c r="CJ106" s="145">
        <f t="shared" si="70"/>
        <v>1.5840000000000001</v>
      </c>
      <c r="CK106" s="153">
        <v>1.75</v>
      </c>
      <c r="CL106" s="277">
        <f>(L108*H108)/12</f>
        <v>0</v>
      </c>
    </row>
    <row r="107" spans="1:90" ht="11.05" hidden="1" customHeight="1" x14ac:dyDescent="0.6">
      <c r="A107" s="42"/>
      <c r="B107" s="230"/>
      <c r="C107" s="231"/>
      <c r="D107" s="231"/>
      <c r="E107" s="232"/>
      <c r="F107" s="43"/>
      <c r="G107" s="43"/>
      <c r="H107" s="44"/>
      <c r="I107" s="45"/>
      <c r="J107" s="43"/>
      <c r="K107" s="46"/>
      <c r="L107" s="47">
        <f t="shared" si="68"/>
        <v>0</v>
      </c>
      <c r="M107" s="43"/>
      <c r="N107" s="43"/>
      <c r="O107" s="43"/>
      <c r="P107" s="46"/>
      <c r="Q107" s="47">
        <f t="shared" si="63"/>
        <v>0</v>
      </c>
      <c r="R107" s="233"/>
      <c r="S107" s="234"/>
      <c r="T107" s="230"/>
      <c r="U107" s="231"/>
      <c r="V107" s="231"/>
      <c r="W107" s="232"/>
      <c r="X107" s="235" t="str">
        <f>IFERROR(INDEX(Table3923[],MATCH(R107,Table3923[Column1],),3),"")</f>
        <v/>
      </c>
      <c r="Y107" s="235"/>
      <c r="Z107" s="48" t="s">
        <v>85</v>
      </c>
      <c r="AA107" s="48" t="s">
        <v>85</v>
      </c>
      <c r="AB107" s="49"/>
      <c r="AC107" s="50"/>
      <c r="AD107" s="51">
        <f t="shared" si="71"/>
        <v>0</v>
      </c>
      <c r="AG107" s="52">
        <f t="shared" si="45"/>
        <v>0</v>
      </c>
      <c r="AH107" s="53"/>
      <c r="AM107" s="55">
        <f t="shared" si="46"/>
        <v>0</v>
      </c>
      <c r="AN107" s="55">
        <f t="shared" si="47"/>
        <v>0</v>
      </c>
      <c r="AO107" s="55">
        <f t="shared" si="72"/>
        <v>0</v>
      </c>
      <c r="AP107" s="56">
        <f t="shared" si="73"/>
        <v>0</v>
      </c>
      <c r="AQ107" s="55" t="str">
        <f t="shared" si="64"/>
        <v>0.00</v>
      </c>
      <c r="AR107" s="55" t="str">
        <f t="shared" si="74"/>
        <v>0</v>
      </c>
      <c r="AS107" s="57">
        <f t="shared" si="65"/>
        <v>0</v>
      </c>
      <c r="AT107" s="58">
        <f t="shared" si="51"/>
        <v>0</v>
      </c>
      <c r="AU107" s="57">
        <f t="shared" si="52"/>
        <v>0</v>
      </c>
      <c r="AV107" s="59">
        <f t="shared" si="66"/>
        <v>0</v>
      </c>
      <c r="AW107" s="59">
        <f t="shared" si="53"/>
        <v>0</v>
      </c>
      <c r="AX107" s="9"/>
      <c r="AY107" s="60">
        <f t="shared" si="75"/>
        <v>0</v>
      </c>
      <c r="AZ107" s="61">
        <f>_xlfn.IFNA(INDEX(Table3923[Column4],MATCH(R107,Table3923[Column1],0)),1.5)</f>
        <v>1.5</v>
      </c>
      <c r="BA107" s="62">
        <f>VLOOKUP(Z107,Table1331[#All],2,FALSE)</f>
        <v>1</v>
      </c>
      <c r="BB107" s="61">
        <f t="shared" si="69"/>
        <v>1.5</v>
      </c>
      <c r="BC107" s="55">
        <f t="shared" si="76"/>
        <v>0</v>
      </c>
      <c r="BD107" s="43">
        <f t="shared" si="77"/>
        <v>0</v>
      </c>
      <c r="BE107" s="63">
        <f t="shared" si="78"/>
        <v>0</v>
      </c>
      <c r="BF107" s="60">
        <f t="shared" si="79"/>
        <v>0</v>
      </c>
      <c r="BG107" s="60">
        <f t="shared" si="80"/>
        <v>0</v>
      </c>
      <c r="BH107" s="60">
        <f t="shared" si="81"/>
        <v>0</v>
      </c>
      <c r="BI107" s="55">
        <f>VLOOKUP(AA107,Table1533[#All],2,FALSE)</f>
        <v>1.25</v>
      </c>
      <c r="BJ107" s="55">
        <f t="shared" si="82"/>
        <v>0</v>
      </c>
      <c r="BK107" s="43" t="str">
        <f t="shared" si="83"/>
        <v>0</v>
      </c>
      <c r="BL107" s="62">
        <f t="shared" si="67"/>
        <v>0</v>
      </c>
      <c r="CH107" s="148"/>
      <c r="CI107" s="151"/>
      <c r="CJ107" s="145">
        <f>CI107*1.1</f>
        <v>0</v>
      </c>
      <c r="CK107" s="153"/>
      <c r="CL107" s="277">
        <f>(L109*H109)/12</f>
        <v>0</v>
      </c>
    </row>
    <row r="108" spans="1:90" ht="11.05" hidden="1" customHeight="1" x14ac:dyDescent="0.6">
      <c r="A108" s="42"/>
      <c r="B108" s="230"/>
      <c r="C108" s="231"/>
      <c r="D108" s="231"/>
      <c r="E108" s="232"/>
      <c r="F108" s="43"/>
      <c r="G108" s="43"/>
      <c r="H108" s="44"/>
      <c r="I108" s="45"/>
      <c r="J108" s="43"/>
      <c r="K108" s="46"/>
      <c r="L108" s="47">
        <f t="shared" si="68"/>
        <v>0</v>
      </c>
      <c r="M108" s="43"/>
      <c r="N108" s="43"/>
      <c r="O108" s="43"/>
      <c r="P108" s="46"/>
      <c r="Q108" s="47">
        <f t="shared" si="63"/>
        <v>0</v>
      </c>
      <c r="R108" s="233"/>
      <c r="S108" s="234"/>
      <c r="T108" s="230"/>
      <c r="U108" s="231"/>
      <c r="V108" s="231"/>
      <c r="W108" s="232"/>
      <c r="X108" s="235" t="str">
        <f>IFERROR(INDEX(Table3923[],MATCH(R108,Table3923[Column1],),3),"")</f>
        <v/>
      </c>
      <c r="Y108" s="235"/>
      <c r="Z108" s="48" t="s">
        <v>85</v>
      </c>
      <c r="AA108" s="48" t="s">
        <v>85</v>
      </c>
      <c r="AB108" s="49"/>
      <c r="AC108" s="50"/>
      <c r="AD108" s="51">
        <f t="shared" si="71"/>
        <v>0</v>
      </c>
      <c r="AG108" s="52">
        <f t="shared" si="45"/>
        <v>0</v>
      </c>
      <c r="AH108" s="53"/>
      <c r="AM108" s="55">
        <f t="shared" si="46"/>
        <v>0</v>
      </c>
      <c r="AN108" s="55">
        <f t="shared" si="47"/>
        <v>0</v>
      </c>
      <c r="AO108" s="55">
        <f t="shared" si="72"/>
        <v>0</v>
      </c>
      <c r="AP108" s="56">
        <f t="shared" si="73"/>
        <v>0</v>
      </c>
      <c r="AQ108" s="55" t="str">
        <f t="shared" si="64"/>
        <v>0.00</v>
      </c>
      <c r="AR108" s="55" t="str">
        <f t="shared" si="74"/>
        <v>0</v>
      </c>
      <c r="AS108" s="57">
        <f t="shared" si="65"/>
        <v>0</v>
      </c>
      <c r="AT108" s="58">
        <f t="shared" si="51"/>
        <v>0</v>
      </c>
      <c r="AU108" s="57">
        <f t="shared" si="52"/>
        <v>0</v>
      </c>
      <c r="AV108" s="59">
        <f t="shared" si="66"/>
        <v>0</v>
      </c>
      <c r="AW108" s="59">
        <f t="shared" si="53"/>
        <v>0</v>
      </c>
      <c r="AX108" s="9"/>
      <c r="AY108" s="60">
        <f t="shared" si="75"/>
        <v>0</v>
      </c>
      <c r="AZ108" s="61">
        <f>_xlfn.IFNA(INDEX(Table3923[Column4],MATCH(R108,Table3923[Column1],0)),1.5)</f>
        <v>1.5</v>
      </c>
      <c r="BA108" s="62">
        <f>VLOOKUP(Z108,Table1331[#All],2,FALSE)</f>
        <v>1</v>
      </c>
      <c r="BB108" s="61">
        <f t="shared" si="69"/>
        <v>1.5</v>
      </c>
      <c r="BC108" s="55">
        <f t="shared" si="76"/>
        <v>0</v>
      </c>
      <c r="BD108" s="43">
        <f t="shared" si="77"/>
        <v>0</v>
      </c>
      <c r="BE108" s="63">
        <f t="shared" si="78"/>
        <v>0</v>
      </c>
      <c r="BF108" s="60">
        <f t="shared" si="79"/>
        <v>0</v>
      </c>
      <c r="BG108" s="60">
        <f t="shared" si="80"/>
        <v>0</v>
      </c>
      <c r="BH108" s="60">
        <f t="shared" si="81"/>
        <v>0</v>
      </c>
      <c r="BI108" s="55">
        <f>VLOOKUP(AA108,Table1533[#All],2,FALSE)</f>
        <v>1.25</v>
      </c>
      <c r="BJ108" s="55">
        <f t="shared" si="82"/>
        <v>0</v>
      </c>
      <c r="BK108" s="43" t="str">
        <f t="shared" si="83"/>
        <v>0</v>
      </c>
      <c r="BL108" s="62">
        <f t="shared" si="67"/>
        <v>0</v>
      </c>
      <c r="CH108" s="148" t="s">
        <v>260</v>
      </c>
      <c r="CI108" s="149">
        <v>1.68</v>
      </c>
      <c r="CJ108" s="145">
        <f t="shared" si="70"/>
        <v>1.8480000000000001</v>
      </c>
      <c r="CK108" s="153">
        <v>1.5</v>
      </c>
      <c r="CL108" s="277">
        <f>(L110*H110)/12</f>
        <v>0</v>
      </c>
    </row>
    <row r="109" spans="1:90" ht="11.05" hidden="1" customHeight="1" x14ac:dyDescent="0.6">
      <c r="A109" s="42"/>
      <c r="B109" s="230"/>
      <c r="C109" s="231"/>
      <c r="D109" s="231"/>
      <c r="E109" s="232"/>
      <c r="F109" s="43"/>
      <c r="G109" s="43"/>
      <c r="H109" s="44"/>
      <c r="I109" s="45"/>
      <c r="J109" s="43"/>
      <c r="K109" s="46"/>
      <c r="L109" s="47">
        <f t="shared" si="68"/>
        <v>0</v>
      </c>
      <c r="M109" s="43"/>
      <c r="N109" s="43"/>
      <c r="O109" s="43"/>
      <c r="P109" s="46"/>
      <c r="Q109" s="47">
        <f t="shared" si="63"/>
        <v>0</v>
      </c>
      <c r="R109" s="233"/>
      <c r="S109" s="234"/>
      <c r="T109" s="230"/>
      <c r="U109" s="231"/>
      <c r="V109" s="231"/>
      <c r="W109" s="232"/>
      <c r="X109" s="235" t="str">
        <f>IFERROR(INDEX(Table3923[],MATCH(R109,Table3923[Column1],),3),"")</f>
        <v/>
      </c>
      <c r="Y109" s="235"/>
      <c r="Z109" s="48" t="s">
        <v>85</v>
      </c>
      <c r="AA109" s="48" t="s">
        <v>85</v>
      </c>
      <c r="AB109" s="49"/>
      <c r="AC109" s="50"/>
      <c r="AD109" s="51">
        <f t="shared" si="71"/>
        <v>0</v>
      </c>
      <c r="AG109" s="52">
        <f t="shared" si="45"/>
        <v>0</v>
      </c>
      <c r="AH109" s="53"/>
      <c r="AM109" s="55">
        <f t="shared" si="46"/>
        <v>0</v>
      </c>
      <c r="AN109" s="55">
        <f t="shared" si="47"/>
        <v>0</v>
      </c>
      <c r="AO109" s="55">
        <f t="shared" si="72"/>
        <v>0</v>
      </c>
      <c r="AP109" s="56">
        <f t="shared" si="73"/>
        <v>0</v>
      </c>
      <c r="AQ109" s="55" t="str">
        <f t="shared" si="64"/>
        <v>0.00</v>
      </c>
      <c r="AR109" s="55" t="str">
        <f t="shared" si="74"/>
        <v>0</v>
      </c>
      <c r="AS109" s="57">
        <f t="shared" si="65"/>
        <v>0</v>
      </c>
      <c r="AT109" s="58">
        <f t="shared" si="51"/>
        <v>0</v>
      </c>
      <c r="AU109" s="57">
        <f t="shared" si="52"/>
        <v>0</v>
      </c>
      <c r="AV109" s="59">
        <f t="shared" si="66"/>
        <v>0</v>
      </c>
      <c r="AW109" s="59">
        <f t="shared" si="53"/>
        <v>0</v>
      </c>
      <c r="AX109" s="9"/>
      <c r="AY109" s="60">
        <f t="shared" si="75"/>
        <v>0</v>
      </c>
      <c r="AZ109" s="61">
        <f>_xlfn.IFNA(INDEX(Table3923[Column4],MATCH(R109,Table3923[Column1],0)),1.5)</f>
        <v>1.5</v>
      </c>
      <c r="BA109" s="62">
        <f>VLOOKUP(Z109,Table1331[#All],2,FALSE)</f>
        <v>1</v>
      </c>
      <c r="BB109" s="61">
        <f t="shared" si="69"/>
        <v>1.5</v>
      </c>
      <c r="BC109" s="55">
        <f t="shared" si="76"/>
        <v>0</v>
      </c>
      <c r="BD109" s="43">
        <f t="shared" si="77"/>
        <v>0</v>
      </c>
      <c r="BE109" s="63">
        <f t="shared" si="78"/>
        <v>0</v>
      </c>
      <c r="BF109" s="60">
        <f t="shared" si="79"/>
        <v>0</v>
      </c>
      <c r="BG109" s="60">
        <f t="shared" si="80"/>
        <v>0</v>
      </c>
      <c r="BH109" s="60">
        <f t="shared" si="81"/>
        <v>0</v>
      </c>
      <c r="BI109" s="55">
        <f>VLOOKUP(AA109,Table1533[#All],2,FALSE)</f>
        <v>1.25</v>
      </c>
      <c r="BJ109" s="55">
        <f t="shared" si="82"/>
        <v>0</v>
      </c>
      <c r="BK109" s="43" t="str">
        <f t="shared" si="83"/>
        <v>0</v>
      </c>
      <c r="BL109" s="62">
        <f t="shared" si="67"/>
        <v>0</v>
      </c>
      <c r="CH109" s="148" t="s">
        <v>261</v>
      </c>
      <c r="CI109" s="151">
        <v>1.68</v>
      </c>
      <c r="CJ109" s="145">
        <f t="shared" si="70"/>
        <v>1.8480000000000001</v>
      </c>
      <c r="CK109" s="153">
        <v>1.5</v>
      </c>
      <c r="CL109" s="277">
        <f>(L111*H111)/12</f>
        <v>0</v>
      </c>
    </row>
    <row r="110" spans="1:90" ht="11.05" hidden="1" customHeight="1" x14ac:dyDescent="0.6">
      <c r="A110" s="42"/>
      <c r="B110" s="230"/>
      <c r="C110" s="231"/>
      <c r="D110" s="231"/>
      <c r="E110" s="232"/>
      <c r="F110" s="43"/>
      <c r="G110" s="43"/>
      <c r="H110" s="44"/>
      <c r="I110" s="45"/>
      <c r="J110" s="43"/>
      <c r="K110" s="46"/>
      <c r="L110" s="47">
        <f t="shared" si="68"/>
        <v>0</v>
      </c>
      <c r="M110" s="43"/>
      <c r="N110" s="43"/>
      <c r="O110" s="43"/>
      <c r="P110" s="46"/>
      <c r="Q110" s="47">
        <f t="shared" si="63"/>
        <v>0</v>
      </c>
      <c r="R110" s="233"/>
      <c r="S110" s="234"/>
      <c r="T110" s="230"/>
      <c r="U110" s="231"/>
      <c r="V110" s="231"/>
      <c r="W110" s="232"/>
      <c r="X110" s="235" t="str">
        <f>IFERROR(INDEX(Table3923[],MATCH(R110,Table3923[Column1],),3),"")</f>
        <v/>
      </c>
      <c r="Y110" s="235"/>
      <c r="Z110" s="48" t="s">
        <v>85</v>
      </c>
      <c r="AA110" s="48" t="s">
        <v>85</v>
      </c>
      <c r="AB110" s="49"/>
      <c r="AC110" s="50"/>
      <c r="AD110" s="51">
        <f t="shared" si="71"/>
        <v>0</v>
      </c>
      <c r="AG110" s="52">
        <f t="shared" si="45"/>
        <v>0</v>
      </c>
      <c r="AH110" s="53"/>
      <c r="AM110" s="55">
        <f t="shared" si="46"/>
        <v>0</v>
      </c>
      <c r="AN110" s="55">
        <f t="shared" si="47"/>
        <v>0</v>
      </c>
      <c r="AO110" s="55">
        <f t="shared" si="72"/>
        <v>0</v>
      </c>
      <c r="AP110" s="56">
        <f t="shared" si="73"/>
        <v>0</v>
      </c>
      <c r="AQ110" s="55" t="str">
        <f t="shared" si="64"/>
        <v>0.00</v>
      </c>
      <c r="AR110" s="55" t="str">
        <f t="shared" si="74"/>
        <v>0</v>
      </c>
      <c r="AS110" s="57">
        <f t="shared" si="65"/>
        <v>0</v>
      </c>
      <c r="AT110" s="58">
        <f t="shared" si="51"/>
        <v>0</v>
      </c>
      <c r="AU110" s="57">
        <f t="shared" si="52"/>
        <v>0</v>
      </c>
      <c r="AV110" s="59">
        <f t="shared" si="66"/>
        <v>0</v>
      </c>
      <c r="AW110" s="59">
        <f t="shared" si="53"/>
        <v>0</v>
      </c>
      <c r="AX110" s="9"/>
      <c r="AY110" s="60">
        <f t="shared" si="75"/>
        <v>0</v>
      </c>
      <c r="AZ110" s="61">
        <f>_xlfn.IFNA(INDEX(Table3923[Column4],MATCH(R110,Table3923[Column1],0)),1.5)</f>
        <v>1.5</v>
      </c>
      <c r="BA110" s="62">
        <f>VLOOKUP(Z110,Table1331[#All],2,FALSE)</f>
        <v>1</v>
      </c>
      <c r="BB110" s="61">
        <f t="shared" si="69"/>
        <v>1.5</v>
      </c>
      <c r="BC110" s="55">
        <f t="shared" si="76"/>
        <v>0</v>
      </c>
      <c r="BD110" s="43">
        <f t="shared" si="77"/>
        <v>0</v>
      </c>
      <c r="BE110" s="63">
        <f t="shared" si="78"/>
        <v>0</v>
      </c>
      <c r="BF110" s="60">
        <f t="shared" si="79"/>
        <v>0</v>
      </c>
      <c r="BG110" s="60">
        <f t="shared" si="80"/>
        <v>0</v>
      </c>
      <c r="BH110" s="60">
        <f t="shared" si="81"/>
        <v>0</v>
      </c>
      <c r="BI110" s="55">
        <f>VLOOKUP(AA110,Table1533[#All],2,FALSE)</f>
        <v>1.25</v>
      </c>
      <c r="BJ110" s="55">
        <f t="shared" si="82"/>
        <v>0</v>
      </c>
      <c r="BK110" s="43" t="str">
        <f t="shared" si="83"/>
        <v>0</v>
      </c>
      <c r="BL110" s="62">
        <f t="shared" si="67"/>
        <v>0</v>
      </c>
      <c r="CH110" s="148" t="s">
        <v>262</v>
      </c>
      <c r="CI110" s="149">
        <v>1.94</v>
      </c>
      <c r="CJ110" s="145">
        <f t="shared" si="70"/>
        <v>2.1339999999999999</v>
      </c>
      <c r="CK110" s="153">
        <v>1.5</v>
      </c>
      <c r="CL110" s="277">
        <f>(L112*H112)/12</f>
        <v>0</v>
      </c>
    </row>
    <row r="111" spans="1:90" ht="11.05" hidden="1" customHeight="1" x14ac:dyDescent="0.6">
      <c r="A111" s="42"/>
      <c r="B111" s="230"/>
      <c r="C111" s="231"/>
      <c r="D111" s="231"/>
      <c r="E111" s="232"/>
      <c r="F111" s="43"/>
      <c r="G111" s="43"/>
      <c r="H111" s="44"/>
      <c r="I111" s="45"/>
      <c r="J111" s="43"/>
      <c r="K111" s="46"/>
      <c r="L111" s="47">
        <f t="shared" si="68"/>
        <v>0</v>
      </c>
      <c r="M111" s="43"/>
      <c r="N111" s="43"/>
      <c r="O111" s="43"/>
      <c r="P111" s="46"/>
      <c r="Q111" s="47">
        <f t="shared" si="63"/>
        <v>0</v>
      </c>
      <c r="R111" s="233"/>
      <c r="S111" s="234"/>
      <c r="T111" s="230"/>
      <c r="U111" s="231"/>
      <c r="V111" s="231"/>
      <c r="W111" s="232"/>
      <c r="X111" s="235" t="str">
        <f>IFERROR(INDEX(Table3923[],MATCH(R111,Table3923[Column1],),3),"")</f>
        <v/>
      </c>
      <c r="Y111" s="235"/>
      <c r="Z111" s="48" t="s">
        <v>85</v>
      </c>
      <c r="AA111" s="48" t="s">
        <v>85</v>
      </c>
      <c r="AB111" s="49"/>
      <c r="AC111" s="50"/>
      <c r="AD111" s="51">
        <f t="shared" si="71"/>
        <v>0</v>
      </c>
      <c r="AG111" s="52">
        <f t="shared" si="45"/>
        <v>0</v>
      </c>
      <c r="AH111" s="53"/>
      <c r="AM111" s="55">
        <f t="shared" si="46"/>
        <v>0</v>
      </c>
      <c r="AN111" s="55">
        <f t="shared" si="47"/>
        <v>0</v>
      </c>
      <c r="AO111" s="55">
        <f t="shared" si="72"/>
        <v>0</v>
      </c>
      <c r="AP111" s="56">
        <f t="shared" si="73"/>
        <v>0</v>
      </c>
      <c r="AQ111" s="55" t="str">
        <f t="shared" si="64"/>
        <v>0.00</v>
      </c>
      <c r="AR111" s="55" t="str">
        <f t="shared" si="74"/>
        <v>0</v>
      </c>
      <c r="AS111" s="57">
        <f t="shared" si="65"/>
        <v>0</v>
      </c>
      <c r="AT111" s="58">
        <f t="shared" si="51"/>
        <v>0</v>
      </c>
      <c r="AU111" s="57">
        <f t="shared" si="52"/>
        <v>0</v>
      </c>
      <c r="AV111" s="59">
        <f t="shared" si="66"/>
        <v>0</v>
      </c>
      <c r="AW111" s="59">
        <f t="shared" si="53"/>
        <v>0</v>
      </c>
      <c r="AX111" s="9"/>
      <c r="AY111" s="60">
        <f t="shared" si="75"/>
        <v>0</v>
      </c>
      <c r="AZ111" s="61">
        <f>_xlfn.IFNA(INDEX(Table3923[Column4],MATCH(R111,Table3923[Column1],0)),1.5)</f>
        <v>1.5</v>
      </c>
      <c r="BA111" s="62">
        <f>VLOOKUP(Z111,Table1331[#All],2,FALSE)</f>
        <v>1</v>
      </c>
      <c r="BB111" s="61">
        <f t="shared" si="69"/>
        <v>1.5</v>
      </c>
      <c r="BC111" s="55">
        <f t="shared" si="76"/>
        <v>0</v>
      </c>
      <c r="BD111" s="43">
        <f t="shared" si="77"/>
        <v>0</v>
      </c>
      <c r="BE111" s="63">
        <f t="shared" si="78"/>
        <v>0</v>
      </c>
      <c r="BF111" s="60">
        <f t="shared" si="79"/>
        <v>0</v>
      </c>
      <c r="BG111" s="60">
        <f t="shared" si="80"/>
        <v>0</v>
      </c>
      <c r="BH111" s="60">
        <f t="shared" si="81"/>
        <v>0</v>
      </c>
      <c r="BI111" s="55">
        <f>VLOOKUP(AA111,Table1533[#All],2,FALSE)</f>
        <v>1.25</v>
      </c>
      <c r="BJ111" s="55">
        <f t="shared" si="82"/>
        <v>0</v>
      </c>
      <c r="BK111" s="43" t="str">
        <f t="shared" si="83"/>
        <v>0</v>
      </c>
      <c r="BL111" s="62">
        <f t="shared" si="67"/>
        <v>0</v>
      </c>
      <c r="CH111" s="148" t="s">
        <v>263</v>
      </c>
      <c r="CI111" s="151">
        <v>1.25</v>
      </c>
      <c r="CJ111" s="145">
        <f t="shared" si="70"/>
        <v>1.375</v>
      </c>
      <c r="CK111" s="153">
        <v>1.5</v>
      </c>
      <c r="CL111" s="277">
        <f>(L113*H113)/12</f>
        <v>0</v>
      </c>
    </row>
    <row r="112" spans="1:90" ht="11.05" hidden="1" customHeight="1" x14ac:dyDescent="0.6">
      <c r="A112" s="42"/>
      <c r="B112" s="230"/>
      <c r="C112" s="231"/>
      <c r="D112" s="231"/>
      <c r="E112" s="232"/>
      <c r="F112" s="43"/>
      <c r="G112" s="43"/>
      <c r="H112" s="44"/>
      <c r="I112" s="45"/>
      <c r="J112" s="43"/>
      <c r="K112" s="46"/>
      <c r="L112" s="47">
        <f t="shared" si="68"/>
        <v>0</v>
      </c>
      <c r="M112" s="43"/>
      <c r="N112" s="43"/>
      <c r="O112" s="43"/>
      <c r="P112" s="46"/>
      <c r="Q112" s="47">
        <f t="shared" si="63"/>
        <v>0</v>
      </c>
      <c r="R112" s="233"/>
      <c r="S112" s="234"/>
      <c r="T112" s="230"/>
      <c r="U112" s="231"/>
      <c r="V112" s="231"/>
      <c r="W112" s="232"/>
      <c r="X112" s="235" t="str">
        <f>IFERROR(INDEX(Table3923[],MATCH(R112,Table3923[Column1],),3),"")</f>
        <v/>
      </c>
      <c r="Y112" s="235"/>
      <c r="Z112" s="48" t="s">
        <v>85</v>
      </c>
      <c r="AA112" s="48" t="s">
        <v>85</v>
      </c>
      <c r="AB112" s="49"/>
      <c r="AC112" s="50"/>
      <c r="AD112" s="51">
        <f t="shared" si="71"/>
        <v>0</v>
      </c>
      <c r="AG112" s="52">
        <f t="shared" si="45"/>
        <v>0</v>
      </c>
      <c r="AH112" s="53"/>
      <c r="AM112" s="55">
        <f t="shared" si="46"/>
        <v>0</v>
      </c>
      <c r="AN112" s="55">
        <f t="shared" si="47"/>
        <v>0</v>
      </c>
      <c r="AO112" s="55">
        <f t="shared" si="72"/>
        <v>0</v>
      </c>
      <c r="AP112" s="56">
        <f t="shared" si="73"/>
        <v>0</v>
      </c>
      <c r="AQ112" s="55" t="str">
        <f t="shared" si="64"/>
        <v>0.00</v>
      </c>
      <c r="AR112" s="55" t="str">
        <f t="shared" si="74"/>
        <v>0</v>
      </c>
      <c r="AS112" s="57">
        <f t="shared" si="65"/>
        <v>0</v>
      </c>
      <c r="AT112" s="58">
        <f t="shared" si="51"/>
        <v>0</v>
      </c>
      <c r="AU112" s="57">
        <f t="shared" si="52"/>
        <v>0</v>
      </c>
      <c r="AV112" s="59">
        <f t="shared" si="66"/>
        <v>0</v>
      </c>
      <c r="AW112" s="59">
        <f t="shared" si="53"/>
        <v>0</v>
      </c>
      <c r="AX112" s="9"/>
      <c r="AY112" s="60">
        <f t="shared" si="75"/>
        <v>0</v>
      </c>
      <c r="AZ112" s="61">
        <f>_xlfn.IFNA(INDEX(Table3923[Column4],MATCH(R112,Table3923[Column1],0)),1.5)</f>
        <v>1.5</v>
      </c>
      <c r="BA112" s="62">
        <f>VLOOKUP(Z112,Table1331[#All],2,FALSE)</f>
        <v>1</v>
      </c>
      <c r="BB112" s="61">
        <f t="shared" si="69"/>
        <v>1.5</v>
      </c>
      <c r="BC112" s="55">
        <f t="shared" si="76"/>
        <v>0</v>
      </c>
      <c r="BD112" s="43">
        <f t="shared" si="77"/>
        <v>0</v>
      </c>
      <c r="BE112" s="63">
        <f t="shared" si="78"/>
        <v>0</v>
      </c>
      <c r="BF112" s="60">
        <f t="shared" si="79"/>
        <v>0</v>
      </c>
      <c r="BG112" s="60">
        <f t="shared" si="80"/>
        <v>0</v>
      </c>
      <c r="BH112" s="60">
        <f t="shared" si="81"/>
        <v>0</v>
      </c>
      <c r="BI112" s="55">
        <f>VLOOKUP(AA112,Table1533[#All],2,FALSE)</f>
        <v>1.25</v>
      </c>
      <c r="BJ112" s="55">
        <f t="shared" si="82"/>
        <v>0</v>
      </c>
      <c r="BK112" s="43" t="str">
        <f t="shared" si="83"/>
        <v>0</v>
      </c>
      <c r="BL112" s="62">
        <f t="shared" si="67"/>
        <v>0</v>
      </c>
      <c r="CH112" s="148" t="s">
        <v>264</v>
      </c>
      <c r="CI112" s="149">
        <v>1.25</v>
      </c>
      <c r="CJ112" s="145">
        <f t="shared" si="70"/>
        <v>1.375</v>
      </c>
      <c r="CK112" s="153">
        <v>1.5</v>
      </c>
      <c r="CL112" s="277">
        <f>(L114*H114)/12</f>
        <v>0</v>
      </c>
    </row>
    <row r="113" spans="1:90" ht="11.05" hidden="1" customHeight="1" x14ac:dyDescent="0.6">
      <c r="A113" s="42"/>
      <c r="B113" s="230"/>
      <c r="C113" s="231"/>
      <c r="D113" s="231"/>
      <c r="E113" s="232"/>
      <c r="F113" s="43"/>
      <c r="G113" s="43"/>
      <c r="H113" s="44"/>
      <c r="I113" s="45"/>
      <c r="J113" s="43"/>
      <c r="K113" s="46"/>
      <c r="L113" s="47">
        <f t="shared" si="68"/>
        <v>0</v>
      </c>
      <c r="M113" s="43"/>
      <c r="N113" s="43"/>
      <c r="O113" s="43"/>
      <c r="P113" s="46"/>
      <c r="Q113" s="47">
        <f t="shared" si="63"/>
        <v>0</v>
      </c>
      <c r="R113" s="233"/>
      <c r="S113" s="234"/>
      <c r="T113" s="230"/>
      <c r="U113" s="231"/>
      <c r="V113" s="231"/>
      <c r="W113" s="232"/>
      <c r="X113" s="235" t="str">
        <f>IFERROR(INDEX(Table3923[],MATCH(R113,Table3923[Column1],),3),"")</f>
        <v/>
      </c>
      <c r="Y113" s="235"/>
      <c r="Z113" s="48" t="s">
        <v>85</v>
      </c>
      <c r="AA113" s="48" t="s">
        <v>85</v>
      </c>
      <c r="AB113" s="49"/>
      <c r="AC113" s="50"/>
      <c r="AD113" s="51">
        <f t="shared" si="71"/>
        <v>0</v>
      </c>
      <c r="AG113" s="52">
        <f t="shared" si="45"/>
        <v>0</v>
      </c>
      <c r="AH113" s="53"/>
      <c r="AM113" s="55">
        <f t="shared" si="46"/>
        <v>0</v>
      </c>
      <c r="AN113" s="55">
        <f t="shared" si="47"/>
        <v>0</v>
      </c>
      <c r="AO113" s="55">
        <f t="shared" si="72"/>
        <v>0</v>
      </c>
      <c r="AP113" s="56">
        <f t="shared" si="73"/>
        <v>0</v>
      </c>
      <c r="AQ113" s="55" t="str">
        <f t="shared" si="64"/>
        <v>0.00</v>
      </c>
      <c r="AR113" s="55" t="str">
        <f t="shared" si="74"/>
        <v>0</v>
      </c>
      <c r="AS113" s="57">
        <f t="shared" si="65"/>
        <v>0</v>
      </c>
      <c r="AT113" s="58">
        <f t="shared" si="51"/>
        <v>0</v>
      </c>
      <c r="AU113" s="57">
        <f t="shared" si="52"/>
        <v>0</v>
      </c>
      <c r="AV113" s="59">
        <f t="shared" si="66"/>
        <v>0</v>
      </c>
      <c r="AW113" s="59">
        <f t="shared" si="53"/>
        <v>0</v>
      </c>
      <c r="AX113" s="9"/>
      <c r="AY113" s="60">
        <f t="shared" si="75"/>
        <v>0</v>
      </c>
      <c r="AZ113" s="61">
        <f>_xlfn.IFNA(INDEX(Table3923[Column4],MATCH(R113,Table3923[Column1],0)),1.5)</f>
        <v>1.5</v>
      </c>
      <c r="BA113" s="62">
        <f>VLOOKUP(Z113,Table1331[#All],2,FALSE)</f>
        <v>1</v>
      </c>
      <c r="BB113" s="61">
        <f t="shared" si="69"/>
        <v>1.5</v>
      </c>
      <c r="BC113" s="55">
        <f t="shared" si="76"/>
        <v>0</v>
      </c>
      <c r="BD113" s="43">
        <f t="shared" si="77"/>
        <v>0</v>
      </c>
      <c r="BE113" s="63">
        <f t="shared" si="78"/>
        <v>0</v>
      </c>
      <c r="BF113" s="60">
        <f t="shared" si="79"/>
        <v>0</v>
      </c>
      <c r="BG113" s="60">
        <f t="shared" si="80"/>
        <v>0</v>
      </c>
      <c r="BH113" s="60">
        <f t="shared" si="81"/>
        <v>0</v>
      </c>
      <c r="BI113" s="55">
        <f>VLOOKUP(AA113,Table1533[#All],2,FALSE)</f>
        <v>1.25</v>
      </c>
      <c r="BJ113" s="55">
        <f t="shared" si="82"/>
        <v>0</v>
      </c>
      <c r="BK113" s="43" t="str">
        <f t="shared" si="83"/>
        <v>0</v>
      </c>
      <c r="BL113" s="62">
        <f t="shared" si="67"/>
        <v>0</v>
      </c>
      <c r="CH113" s="148" t="s">
        <v>265</v>
      </c>
      <c r="CI113" s="151">
        <v>1.25</v>
      </c>
      <c r="CJ113" s="145">
        <f t="shared" si="70"/>
        <v>1.375</v>
      </c>
      <c r="CK113" s="153">
        <v>1.5</v>
      </c>
      <c r="CL113" s="277">
        <f>(L115*H115)/12</f>
        <v>0</v>
      </c>
    </row>
    <row r="114" spans="1:90" ht="11.05" hidden="1" customHeight="1" x14ac:dyDescent="0.6">
      <c r="A114" s="42"/>
      <c r="B114" s="230"/>
      <c r="C114" s="231"/>
      <c r="D114" s="231"/>
      <c r="E114" s="232"/>
      <c r="F114" s="43"/>
      <c r="G114" s="43"/>
      <c r="H114" s="44"/>
      <c r="I114" s="45"/>
      <c r="J114" s="43"/>
      <c r="K114" s="46"/>
      <c r="L114" s="47">
        <f t="shared" si="68"/>
        <v>0</v>
      </c>
      <c r="M114" s="43"/>
      <c r="N114" s="43"/>
      <c r="O114" s="43"/>
      <c r="P114" s="46"/>
      <c r="Q114" s="47">
        <f t="shared" si="63"/>
        <v>0</v>
      </c>
      <c r="R114" s="233"/>
      <c r="S114" s="234"/>
      <c r="T114" s="230"/>
      <c r="U114" s="231"/>
      <c r="V114" s="231"/>
      <c r="W114" s="232"/>
      <c r="X114" s="235" t="str">
        <f>IFERROR(INDEX(Table3923[],MATCH(R114,Table3923[Column1],),3),"")</f>
        <v/>
      </c>
      <c r="Y114" s="235"/>
      <c r="Z114" s="48" t="s">
        <v>85</v>
      </c>
      <c r="AA114" s="48" t="s">
        <v>85</v>
      </c>
      <c r="AB114" s="49"/>
      <c r="AC114" s="50"/>
      <c r="AD114" s="51">
        <f t="shared" si="71"/>
        <v>0</v>
      </c>
      <c r="AG114" s="52">
        <f t="shared" si="45"/>
        <v>0</v>
      </c>
      <c r="AH114" s="53"/>
      <c r="AM114" s="55">
        <f t="shared" si="46"/>
        <v>0</v>
      </c>
      <c r="AN114" s="55">
        <f t="shared" si="47"/>
        <v>0</v>
      </c>
      <c r="AO114" s="55">
        <f t="shared" si="72"/>
        <v>0</v>
      </c>
      <c r="AP114" s="56">
        <f t="shared" si="73"/>
        <v>0</v>
      </c>
      <c r="AQ114" s="55" t="str">
        <f t="shared" si="64"/>
        <v>0.00</v>
      </c>
      <c r="AR114" s="55" t="str">
        <f t="shared" si="74"/>
        <v>0</v>
      </c>
      <c r="AS114" s="57">
        <f t="shared" si="65"/>
        <v>0</v>
      </c>
      <c r="AT114" s="58">
        <f t="shared" si="51"/>
        <v>0</v>
      </c>
      <c r="AU114" s="57">
        <f t="shared" si="52"/>
        <v>0</v>
      </c>
      <c r="AV114" s="59">
        <f t="shared" si="66"/>
        <v>0</v>
      </c>
      <c r="AW114" s="59">
        <f t="shared" si="53"/>
        <v>0</v>
      </c>
      <c r="AX114" s="9"/>
      <c r="AY114" s="60">
        <f t="shared" si="75"/>
        <v>0</v>
      </c>
      <c r="AZ114" s="61">
        <f>_xlfn.IFNA(INDEX(Table3923[Column4],MATCH(R114,Table3923[Column1],0)),1.5)</f>
        <v>1.5</v>
      </c>
      <c r="BA114" s="62">
        <f>VLOOKUP(Z114,Table1331[#All],2,FALSE)</f>
        <v>1</v>
      </c>
      <c r="BB114" s="61">
        <f t="shared" si="69"/>
        <v>1.5</v>
      </c>
      <c r="BC114" s="55">
        <f t="shared" si="76"/>
        <v>0</v>
      </c>
      <c r="BD114" s="43">
        <f t="shared" si="77"/>
        <v>0</v>
      </c>
      <c r="BE114" s="63">
        <f t="shared" si="78"/>
        <v>0</v>
      </c>
      <c r="BF114" s="60">
        <f t="shared" si="79"/>
        <v>0</v>
      </c>
      <c r="BG114" s="60">
        <f t="shared" si="80"/>
        <v>0</v>
      </c>
      <c r="BH114" s="60">
        <f t="shared" si="81"/>
        <v>0</v>
      </c>
      <c r="BI114" s="55">
        <f>VLOOKUP(AA114,Table1533[#All],2,FALSE)</f>
        <v>1.25</v>
      </c>
      <c r="BJ114" s="55">
        <f t="shared" si="82"/>
        <v>0</v>
      </c>
      <c r="BK114" s="43" t="str">
        <f t="shared" si="83"/>
        <v>0</v>
      </c>
      <c r="BL114" s="62">
        <f t="shared" si="67"/>
        <v>0</v>
      </c>
      <c r="CH114" s="148" t="s">
        <v>266</v>
      </c>
      <c r="CI114" s="149">
        <v>1.28</v>
      </c>
      <c r="CJ114" s="145">
        <f t="shared" si="70"/>
        <v>1.4080000000000001</v>
      </c>
      <c r="CK114" s="153">
        <v>1.5</v>
      </c>
      <c r="CL114" s="277">
        <f>(L116*H116)/12</f>
        <v>0</v>
      </c>
    </row>
    <row r="115" spans="1:90" ht="11.05" hidden="1" customHeight="1" x14ac:dyDescent="0.6">
      <c r="A115" s="42"/>
      <c r="B115" s="230"/>
      <c r="C115" s="231"/>
      <c r="D115" s="231"/>
      <c r="E115" s="232"/>
      <c r="F115" s="43"/>
      <c r="G115" s="43"/>
      <c r="H115" s="44"/>
      <c r="I115" s="45"/>
      <c r="J115" s="43"/>
      <c r="K115" s="46"/>
      <c r="L115" s="47">
        <f t="shared" si="68"/>
        <v>0</v>
      </c>
      <c r="M115" s="43"/>
      <c r="N115" s="43"/>
      <c r="O115" s="43"/>
      <c r="P115" s="46"/>
      <c r="Q115" s="47">
        <f t="shared" si="63"/>
        <v>0</v>
      </c>
      <c r="R115" s="233"/>
      <c r="S115" s="234"/>
      <c r="T115" s="230"/>
      <c r="U115" s="231"/>
      <c r="V115" s="231"/>
      <c r="W115" s="232"/>
      <c r="X115" s="235" t="str">
        <f>IFERROR(INDEX(Table3923[],MATCH(R115,Table3923[Column1],),3),"")</f>
        <v/>
      </c>
      <c r="Y115" s="235"/>
      <c r="Z115" s="48" t="s">
        <v>85</v>
      </c>
      <c r="AA115" s="48" t="s">
        <v>85</v>
      </c>
      <c r="AB115" s="49"/>
      <c r="AC115" s="50"/>
      <c r="AD115" s="51">
        <f t="shared" si="71"/>
        <v>0</v>
      </c>
      <c r="AG115" s="52">
        <f t="shared" si="45"/>
        <v>0</v>
      </c>
      <c r="AH115" s="53"/>
      <c r="AM115" s="55">
        <f t="shared" si="46"/>
        <v>0</v>
      </c>
      <c r="AN115" s="55">
        <f t="shared" si="47"/>
        <v>0</v>
      </c>
      <c r="AO115" s="55">
        <f t="shared" si="72"/>
        <v>0</v>
      </c>
      <c r="AP115" s="56">
        <f t="shared" si="73"/>
        <v>0</v>
      </c>
      <c r="AQ115" s="55" t="str">
        <f t="shared" si="64"/>
        <v>0.00</v>
      </c>
      <c r="AR115" s="55" t="str">
        <f t="shared" si="74"/>
        <v>0</v>
      </c>
      <c r="AS115" s="57">
        <f t="shared" si="65"/>
        <v>0</v>
      </c>
      <c r="AT115" s="58">
        <f t="shared" si="51"/>
        <v>0</v>
      </c>
      <c r="AU115" s="57">
        <f t="shared" si="52"/>
        <v>0</v>
      </c>
      <c r="AV115" s="59">
        <f t="shared" si="66"/>
        <v>0</v>
      </c>
      <c r="AW115" s="59">
        <f t="shared" si="53"/>
        <v>0</v>
      </c>
      <c r="AX115" s="9"/>
      <c r="AY115" s="60">
        <f t="shared" si="75"/>
        <v>0</v>
      </c>
      <c r="AZ115" s="61">
        <f>_xlfn.IFNA(INDEX(Table3923[Column4],MATCH(R115,Table3923[Column1],0)),1.5)</f>
        <v>1.5</v>
      </c>
      <c r="BA115" s="62">
        <f>VLOOKUP(Z115,Table1331[#All],2,FALSE)</f>
        <v>1</v>
      </c>
      <c r="BB115" s="61">
        <f t="shared" si="69"/>
        <v>1.5</v>
      </c>
      <c r="BC115" s="55">
        <f t="shared" si="76"/>
        <v>0</v>
      </c>
      <c r="BD115" s="43">
        <f t="shared" si="77"/>
        <v>0</v>
      </c>
      <c r="BE115" s="63">
        <f t="shared" si="78"/>
        <v>0</v>
      </c>
      <c r="BF115" s="60">
        <f t="shared" si="79"/>
        <v>0</v>
      </c>
      <c r="BG115" s="60">
        <f t="shared" si="80"/>
        <v>0</v>
      </c>
      <c r="BH115" s="60">
        <f t="shared" si="81"/>
        <v>0</v>
      </c>
      <c r="BI115" s="55">
        <f>VLOOKUP(AA115,Table1533[#All],2,FALSE)</f>
        <v>1.25</v>
      </c>
      <c r="BJ115" s="55">
        <f t="shared" si="82"/>
        <v>0</v>
      </c>
      <c r="BK115" s="43" t="str">
        <f t="shared" si="83"/>
        <v>0</v>
      </c>
      <c r="BL115" s="62">
        <f t="shared" si="67"/>
        <v>0</v>
      </c>
      <c r="CH115" s="148" t="s">
        <v>267</v>
      </c>
      <c r="CI115" s="151">
        <v>1.25</v>
      </c>
      <c r="CJ115" s="145">
        <f t="shared" si="70"/>
        <v>1.375</v>
      </c>
      <c r="CK115" s="153">
        <v>1.5</v>
      </c>
      <c r="CL115" s="277">
        <f>(L117*H117)/12</f>
        <v>0</v>
      </c>
    </row>
    <row r="116" spans="1:90" ht="11.05" hidden="1" customHeight="1" x14ac:dyDescent="0.6">
      <c r="A116" s="42"/>
      <c r="B116" s="230"/>
      <c r="C116" s="231"/>
      <c r="D116" s="231"/>
      <c r="E116" s="232"/>
      <c r="F116" s="43"/>
      <c r="G116" s="43"/>
      <c r="H116" s="44"/>
      <c r="I116" s="45"/>
      <c r="J116" s="43"/>
      <c r="K116" s="46"/>
      <c r="L116" s="47">
        <f t="shared" si="68"/>
        <v>0</v>
      </c>
      <c r="M116" s="43"/>
      <c r="N116" s="43"/>
      <c r="O116" s="43"/>
      <c r="P116" s="46"/>
      <c r="Q116" s="47">
        <f t="shared" si="63"/>
        <v>0</v>
      </c>
      <c r="R116" s="233"/>
      <c r="S116" s="234"/>
      <c r="T116" s="230"/>
      <c r="U116" s="231"/>
      <c r="V116" s="231"/>
      <c r="W116" s="232"/>
      <c r="X116" s="235" t="str">
        <f>IFERROR(INDEX(Table3923[],MATCH(R116,Table3923[Column1],),3),"")</f>
        <v/>
      </c>
      <c r="Y116" s="235"/>
      <c r="Z116" s="48" t="s">
        <v>85</v>
      </c>
      <c r="AA116" s="48" t="s">
        <v>85</v>
      </c>
      <c r="AB116" s="49"/>
      <c r="AC116" s="50"/>
      <c r="AD116" s="51">
        <f t="shared" si="71"/>
        <v>0</v>
      </c>
      <c r="AG116" s="52">
        <f t="shared" si="45"/>
        <v>0</v>
      </c>
      <c r="AH116" s="53"/>
      <c r="AM116" s="55">
        <f t="shared" si="46"/>
        <v>0</v>
      </c>
      <c r="AN116" s="55">
        <f t="shared" si="47"/>
        <v>0</v>
      </c>
      <c r="AO116" s="55">
        <f t="shared" si="72"/>
        <v>0</v>
      </c>
      <c r="AP116" s="56">
        <f t="shared" si="73"/>
        <v>0</v>
      </c>
      <c r="AQ116" s="55" t="str">
        <f t="shared" si="64"/>
        <v>0.00</v>
      </c>
      <c r="AR116" s="55" t="str">
        <f t="shared" si="74"/>
        <v>0</v>
      </c>
      <c r="AS116" s="57">
        <f t="shared" si="65"/>
        <v>0</v>
      </c>
      <c r="AT116" s="58">
        <f t="shared" si="51"/>
        <v>0</v>
      </c>
      <c r="AU116" s="57">
        <f t="shared" si="52"/>
        <v>0</v>
      </c>
      <c r="AV116" s="59">
        <f t="shared" si="66"/>
        <v>0</v>
      </c>
      <c r="AW116" s="59">
        <f t="shared" si="53"/>
        <v>0</v>
      </c>
      <c r="AX116" s="9"/>
      <c r="AY116" s="60">
        <f t="shared" si="75"/>
        <v>0</v>
      </c>
      <c r="AZ116" s="61">
        <f>_xlfn.IFNA(INDEX(Table3923[Column4],MATCH(R116,Table3923[Column1],0)),1.5)</f>
        <v>1.5</v>
      </c>
      <c r="BA116" s="62">
        <f>VLOOKUP(Z116,Table1331[#All],2,FALSE)</f>
        <v>1</v>
      </c>
      <c r="BB116" s="61">
        <f t="shared" si="69"/>
        <v>1.5</v>
      </c>
      <c r="BC116" s="55">
        <f t="shared" si="76"/>
        <v>0</v>
      </c>
      <c r="BD116" s="43">
        <f t="shared" si="77"/>
        <v>0</v>
      </c>
      <c r="BE116" s="63">
        <f t="shared" si="78"/>
        <v>0</v>
      </c>
      <c r="BF116" s="60">
        <f t="shared" si="79"/>
        <v>0</v>
      </c>
      <c r="BG116" s="60">
        <f t="shared" si="80"/>
        <v>0</v>
      </c>
      <c r="BH116" s="60">
        <f t="shared" si="81"/>
        <v>0</v>
      </c>
      <c r="BI116" s="55">
        <f>VLOOKUP(AA116,Table1533[#All],2,FALSE)</f>
        <v>1.25</v>
      </c>
      <c r="BJ116" s="55">
        <f t="shared" si="82"/>
        <v>0</v>
      </c>
      <c r="BK116" s="43" t="str">
        <f t="shared" si="83"/>
        <v>0</v>
      </c>
      <c r="BL116" s="62">
        <f t="shared" si="67"/>
        <v>0</v>
      </c>
      <c r="CH116" s="148" t="s">
        <v>268</v>
      </c>
      <c r="CI116" s="149">
        <v>1.25</v>
      </c>
      <c r="CJ116" s="145">
        <f t="shared" si="70"/>
        <v>1.375</v>
      </c>
      <c r="CK116" s="153">
        <v>1.5</v>
      </c>
      <c r="CL116" s="277">
        <f>(L118*H118)/12</f>
        <v>0</v>
      </c>
    </row>
    <row r="117" spans="1:90" ht="11.05" hidden="1" customHeight="1" x14ac:dyDescent="0.6">
      <c r="A117" s="42"/>
      <c r="B117" s="230"/>
      <c r="C117" s="231"/>
      <c r="D117" s="231"/>
      <c r="E117" s="232"/>
      <c r="F117" s="43"/>
      <c r="G117" s="43"/>
      <c r="H117" s="44"/>
      <c r="I117" s="45"/>
      <c r="J117" s="43"/>
      <c r="K117" s="46"/>
      <c r="L117" s="47">
        <f t="shared" si="68"/>
        <v>0</v>
      </c>
      <c r="M117" s="43"/>
      <c r="N117" s="43"/>
      <c r="O117" s="43"/>
      <c r="P117" s="46"/>
      <c r="Q117" s="47">
        <f t="shared" si="63"/>
        <v>0</v>
      </c>
      <c r="R117" s="233"/>
      <c r="S117" s="234"/>
      <c r="T117" s="230"/>
      <c r="U117" s="231"/>
      <c r="V117" s="231"/>
      <c r="W117" s="232"/>
      <c r="X117" s="235" t="str">
        <f>IFERROR(INDEX(Table3923[],MATCH(R117,Table3923[Column1],),3),"")</f>
        <v/>
      </c>
      <c r="Y117" s="235"/>
      <c r="Z117" s="48" t="s">
        <v>85</v>
      </c>
      <c r="AA117" s="48" t="s">
        <v>85</v>
      </c>
      <c r="AB117" s="49"/>
      <c r="AC117" s="50"/>
      <c r="AD117" s="51">
        <f t="shared" si="71"/>
        <v>0</v>
      </c>
      <c r="AG117" s="52">
        <f t="shared" si="45"/>
        <v>0</v>
      </c>
      <c r="AH117" s="53"/>
      <c r="AM117" s="55">
        <f t="shared" si="46"/>
        <v>0</v>
      </c>
      <c r="AN117" s="55">
        <f t="shared" si="47"/>
        <v>0</v>
      </c>
      <c r="AO117" s="55">
        <f t="shared" si="72"/>
        <v>0</v>
      </c>
      <c r="AP117" s="56">
        <f t="shared" si="73"/>
        <v>0</v>
      </c>
      <c r="AQ117" s="55" t="str">
        <f t="shared" si="64"/>
        <v>0.00</v>
      </c>
      <c r="AR117" s="55" t="str">
        <f t="shared" si="74"/>
        <v>0</v>
      </c>
      <c r="AS117" s="57">
        <f t="shared" si="65"/>
        <v>0</v>
      </c>
      <c r="AT117" s="58">
        <f t="shared" si="51"/>
        <v>0</v>
      </c>
      <c r="AU117" s="57">
        <f t="shared" si="52"/>
        <v>0</v>
      </c>
      <c r="AV117" s="59">
        <f t="shared" si="66"/>
        <v>0</v>
      </c>
      <c r="AW117" s="59">
        <f t="shared" si="53"/>
        <v>0</v>
      </c>
      <c r="AX117" s="9"/>
      <c r="AY117" s="60">
        <f t="shared" si="75"/>
        <v>0</v>
      </c>
      <c r="AZ117" s="61">
        <f>_xlfn.IFNA(INDEX(Table3923[Column4],MATCH(R117,Table3923[Column1],0)),1.5)</f>
        <v>1.5</v>
      </c>
      <c r="BA117" s="62">
        <f>VLOOKUP(Z117,Table1331[#All],2,FALSE)</f>
        <v>1</v>
      </c>
      <c r="BB117" s="61">
        <f t="shared" si="69"/>
        <v>1.5</v>
      </c>
      <c r="BC117" s="55">
        <f t="shared" si="76"/>
        <v>0</v>
      </c>
      <c r="BD117" s="43">
        <f t="shared" si="77"/>
        <v>0</v>
      </c>
      <c r="BE117" s="63">
        <f t="shared" si="78"/>
        <v>0</v>
      </c>
      <c r="BF117" s="60">
        <f t="shared" si="79"/>
        <v>0</v>
      </c>
      <c r="BG117" s="60">
        <f t="shared" si="80"/>
        <v>0</v>
      </c>
      <c r="BH117" s="60">
        <f t="shared" si="81"/>
        <v>0</v>
      </c>
      <c r="BI117" s="55">
        <f>VLOOKUP(AA117,Table1533[#All],2,FALSE)</f>
        <v>1.25</v>
      </c>
      <c r="BJ117" s="55">
        <f t="shared" si="82"/>
        <v>0</v>
      </c>
      <c r="BK117" s="43" t="str">
        <f t="shared" si="83"/>
        <v>0</v>
      </c>
      <c r="BL117" s="62">
        <f t="shared" si="67"/>
        <v>0</v>
      </c>
      <c r="CH117" s="148" t="s">
        <v>269</v>
      </c>
      <c r="CI117" s="151">
        <v>1.28</v>
      </c>
      <c r="CJ117" s="145">
        <f t="shared" si="70"/>
        <v>1.4080000000000001</v>
      </c>
      <c r="CK117" s="153">
        <v>1.5</v>
      </c>
      <c r="CL117" s="277">
        <f>(L119*H119)/12</f>
        <v>0</v>
      </c>
    </row>
    <row r="118" spans="1:90" ht="11.05" hidden="1" customHeight="1" x14ac:dyDescent="0.6">
      <c r="A118" s="42"/>
      <c r="B118" s="230"/>
      <c r="C118" s="231"/>
      <c r="D118" s="231"/>
      <c r="E118" s="232"/>
      <c r="F118" s="43"/>
      <c r="G118" s="43"/>
      <c r="H118" s="44"/>
      <c r="I118" s="45"/>
      <c r="J118" s="43"/>
      <c r="K118" s="46"/>
      <c r="L118" s="47">
        <f t="shared" si="68"/>
        <v>0</v>
      </c>
      <c r="M118" s="43"/>
      <c r="N118" s="43"/>
      <c r="O118" s="43"/>
      <c r="P118" s="46"/>
      <c r="Q118" s="47">
        <f t="shared" si="63"/>
        <v>0</v>
      </c>
      <c r="R118" s="233"/>
      <c r="S118" s="234"/>
      <c r="T118" s="230"/>
      <c r="U118" s="231"/>
      <c r="V118" s="231"/>
      <c r="W118" s="232"/>
      <c r="X118" s="235" t="str">
        <f>IFERROR(INDEX(Table3923[],MATCH(R118,Table3923[Column1],),3),"")</f>
        <v/>
      </c>
      <c r="Y118" s="235"/>
      <c r="Z118" s="48" t="s">
        <v>85</v>
      </c>
      <c r="AA118" s="48" t="s">
        <v>85</v>
      </c>
      <c r="AB118" s="49"/>
      <c r="AC118" s="50"/>
      <c r="AD118" s="51">
        <f t="shared" si="71"/>
        <v>0</v>
      </c>
      <c r="AG118" s="52">
        <f t="shared" si="45"/>
        <v>0</v>
      </c>
      <c r="AH118" s="53"/>
      <c r="AM118" s="55">
        <f t="shared" si="46"/>
        <v>0</v>
      </c>
      <c r="AN118" s="55">
        <f t="shared" si="47"/>
        <v>0</v>
      </c>
      <c r="AO118" s="55">
        <f t="shared" si="72"/>
        <v>0</v>
      </c>
      <c r="AP118" s="56">
        <f t="shared" si="73"/>
        <v>0</v>
      </c>
      <c r="AQ118" s="55" t="str">
        <f t="shared" si="64"/>
        <v>0.00</v>
      </c>
      <c r="AR118" s="55" t="str">
        <f t="shared" si="74"/>
        <v>0</v>
      </c>
      <c r="AS118" s="57">
        <f t="shared" si="65"/>
        <v>0</v>
      </c>
      <c r="AT118" s="58">
        <f t="shared" si="51"/>
        <v>0</v>
      </c>
      <c r="AU118" s="57">
        <f t="shared" si="52"/>
        <v>0</v>
      </c>
      <c r="AV118" s="59">
        <f t="shared" si="66"/>
        <v>0</v>
      </c>
      <c r="AW118" s="59">
        <f t="shared" si="53"/>
        <v>0</v>
      </c>
      <c r="AX118" s="9"/>
      <c r="AY118" s="60">
        <f t="shared" si="75"/>
        <v>0</v>
      </c>
      <c r="AZ118" s="61">
        <f>_xlfn.IFNA(INDEX(Table3923[Column4],MATCH(R118,Table3923[Column1],0)),1.5)</f>
        <v>1.5</v>
      </c>
      <c r="BA118" s="62">
        <f>VLOOKUP(Z118,Table1331[#All],2,FALSE)</f>
        <v>1</v>
      </c>
      <c r="BB118" s="61">
        <f t="shared" si="69"/>
        <v>1.5</v>
      </c>
      <c r="BC118" s="55">
        <f t="shared" si="76"/>
        <v>0</v>
      </c>
      <c r="BD118" s="43">
        <f t="shared" si="77"/>
        <v>0</v>
      </c>
      <c r="BE118" s="63">
        <f t="shared" si="78"/>
        <v>0</v>
      </c>
      <c r="BF118" s="60">
        <f t="shared" si="79"/>
        <v>0</v>
      </c>
      <c r="BG118" s="60">
        <f t="shared" si="80"/>
        <v>0</v>
      </c>
      <c r="BH118" s="60">
        <f t="shared" si="81"/>
        <v>0</v>
      </c>
      <c r="BI118" s="55">
        <f>VLOOKUP(AA118,Table1533[#All],2,FALSE)</f>
        <v>1.25</v>
      </c>
      <c r="BJ118" s="55">
        <f t="shared" si="82"/>
        <v>0</v>
      </c>
      <c r="BK118" s="43" t="str">
        <f t="shared" si="83"/>
        <v>0</v>
      </c>
      <c r="BL118" s="62">
        <f t="shared" si="67"/>
        <v>0</v>
      </c>
      <c r="CH118" s="148" t="s">
        <v>270</v>
      </c>
      <c r="CI118" s="149">
        <v>88</v>
      </c>
      <c r="CJ118" s="145">
        <f t="shared" si="70"/>
        <v>96.800000000000011</v>
      </c>
      <c r="CK118" s="153">
        <v>1.5</v>
      </c>
      <c r="CL118" s="277">
        <f>(L120*H120)/12</f>
        <v>0</v>
      </c>
    </row>
    <row r="119" spans="1:90" ht="11.05" hidden="1" customHeight="1" x14ac:dyDescent="0.6">
      <c r="A119" s="42"/>
      <c r="B119" s="230"/>
      <c r="C119" s="231"/>
      <c r="D119" s="231"/>
      <c r="E119" s="232"/>
      <c r="F119" s="43"/>
      <c r="G119" s="43"/>
      <c r="H119" s="44"/>
      <c r="I119" s="45"/>
      <c r="J119" s="43"/>
      <c r="K119" s="46"/>
      <c r="L119" s="47">
        <f t="shared" si="68"/>
        <v>0</v>
      </c>
      <c r="M119" s="43"/>
      <c r="N119" s="43"/>
      <c r="O119" s="43"/>
      <c r="P119" s="46"/>
      <c r="Q119" s="47">
        <f t="shared" si="63"/>
        <v>0</v>
      </c>
      <c r="R119" s="233"/>
      <c r="S119" s="234"/>
      <c r="T119" s="230"/>
      <c r="U119" s="231"/>
      <c r="V119" s="231"/>
      <c r="W119" s="232"/>
      <c r="X119" s="235" t="str">
        <f>IFERROR(INDEX(Table3923[],MATCH(R119,Table3923[Column1],),3),"")</f>
        <v/>
      </c>
      <c r="Y119" s="235"/>
      <c r="Z119" s="48" t="s">
        <v>85</v>
      </c>
      <c r="AA119" s="48" t="s">
        <v>85</v>
      </c>
      <c r="AB119" s="49"/>
      <c r="AC119" s="50"/>
      <c r="AD119" s="51">
        <f t="shared" si="71"/>
        <v>0</v>
      </c>
      <c r="AG119" s="52">
        <f t="shared" si="45"/>
        <v>0</v>
      </c>
      <c r="AH119" s="53"/>
      <c r="AM119" s="55">
        <f t="shared" si="46"/>
        <v>0</v>
      </c>
      <c r="AN119" s="55">
        <f t="shared" si="47"/>
        <v>0</v>
      </c>
      <c r="AO119" s="55">
        <f t="shared" si="72"/>
        <v>0</v>
      </c>
      <c r="AP119" s="56">
        <f t="shared" si="73"/>
        <v>0</v>
      </c>
      <c r="AQ119" s="55" t="str">
        <f t="shared" si="64"/>
        <v>0.00</v>
      </c>
      <c r="AR119" s="55" t="str">
        <f t="shared" si="74"/>
        <v>0</v>
      </c>
      <c r="AS119" s="57">
        <f t="shared" si="65"/>
        <v>0</v>
      </c>
      <c r="AT119" s="58">
        <f t="shared" si="51"/>
        <v>0</v>
      </c>
      <c r="AU119" s="57">
        <f t="shared" si="52"/>
        <v>0</v>
      </c>
      <c r="AV119" s="59">
        <f t="shared" si="66"/>
        <v>0</v>
      </c>
      <c r="AW119" s="59">
        <f t="shared" si="53"/>
        <v>0</v>
      </c>
      <c r="AX119" s="9"/>
      <c r="AY119" s="60">
        <f t="shared" si="75"/>
        <v>0</v>
      </c>
      <c r="AZ119" s="61">
        <f>_xlfn.IFNA(INDEX(Table3923[Column4],MATCH(R119,Table3923[Column1],0)),1.5)</f>
        <v>1.5</v>
      </c>
      <c r="BA119" s="62">
        <f>VLOOKUP(Z119,Table1331[#All],2,FALSE)</f>
        <v>1</v>
      </c>
      <c r="BB119" s="61">
        <f t="shared" si="69"/>
        <v>1.5</v>
      </c>
      <c r="BC119" s="55">
        <f t="shared" si="76"/>
        <v>0</v>
      </c>
      <c r="BD119" s="43">
        <f t="shared" si="77"/>
        <v>0</v>
      </c>
      <c r="BE119" s="63">
        <f t="shared" si="78"/>
        <v>0</v>
      </c>
      <c r="BF119" s="60">
        <f t="shared" si="79"/>
        <v>0</v>
      </c>
      <c r="BG119" s="60">
        <f t="shared" si="80"/>
        <v>0</v>
      </c>
      <c r="BH119" s="60">
        <f t="shared" si="81"/>
        <v>0</v>
      </c>
      <c r="BI119" s="55">
        <f>VLOOKUP(AA119,Table1533[#All],2,FALSE)</f>
        <v>1.25</v>
      </c>
      <c r="BJ119" s="55">
        <f t="shared" si="82"/>
        <v>0</v>
      </c>
      <c r="BK119" s="43" t="str">
        <f t="shared" si="83"/>
        <v>0</v>
      </c>
      <c r="BL119" s="62">
        <f t="shared" si="67"/>
        <v>0</v>
      </c>
      <c r="CH119" s="148" t="s">
        <v>271</v>
      </c>
      <c r="CI119" s="151">
        <v>88</v>
      </c>
      <c r="CJ119" s="145">
        <f t="shared" si="70"/>
        <v>96.800000000000011</v>
      </c>
      <c r="CK119" s="153">
        <v>1.5</v>
      </c>
      <c r="CL119" s="277">
        <f>(L121*H121)/12</f>
        <v>0</v>
      </c>
    </row>
    <row r="120" spans="1:90" ht="11.05" hidden="1" customHeight="1" x14ac:dyDescent="0.6">
      <c r="A120" s="42"/>
      <c r="B120" s="230"/>
      <c r="C120" s="231"/>
      <c r="D120" s="231"/>
      <c r="E120" s="232"/>
      <c r="F120" s="43"/>
      <c r="G120" s="43"/>
      <c r="H120" s="44"/>
      <c r="I120" s="45"/>
      <c r="J120" s="43"/>
      <c r="K120" s="46"/>
      <c r="L120" s="47">
        <f t="shared" si="68"/>
        <v>0</v>
      </c>
      <c r="M120" s="43"/>
      <c r="N120" s="43"/>
      <c r="O120" s="43"/>
      <c r="P120" s="46"/>
      <c r="Q120" s="47">
        <f t="shared" si="63"/>
        <v>0</v>
      </c>
      <c r="R120" s="233"/>
      <c r="S120" s="234"/>
      <c r="T120" s="230"/>
      <c r="U120" s="231"/>
      <c r="V120" s="231"/>
      <c r="W120" s="232"/>
      <c r="X120" s="235" t="str">
        <f>IFERROR(INDEX(Table3923[],MATCH(R120,Table3923[Column1],),3),"")</f>
        <v/>
      </c>
      <c r="Y120" s="235"/>
      <c r="Z120" s="48" t="s">
        <v>85</v>
      </c>
      <c r="AA120" s="48" t="s">
        <v>85</v>
      </c>
      <c r="AB120" s="49"/>
      <c r="AC120" s="50"/>
      <c r="AD120" s="51">
        <f t="shared" si="71"/>
        <v>0</v>
      </c>
      <c r="AG120" s="52">
        <f t="shared" si="45"/>
        <v>0</v>
      </c>
      <c r="AH120" s="53"/>
      <c r="AM120" s="55">
        <f t="shared" si="46"/>
        <v>0</v>
      </c>
      <c r="AN120" s="55">
        <f t="shared" si="47"/>
        <v>0</v>
      </c>
      <c r="AO120" s="55">
        <f t="shared" si="72"/>
        <v>0</v>
      </c>
      <c r="AP120" s="56">
        <f t="shared" si="73"/>
        <v>0</v>
      </c>
      <c r="AQ120" s="55" t="str">
        <f t="shared" si="64"/>
        <v>0.00</v>
      </c>
      <c r="AR120" s="55" t="str">
        <f t="shared" si="74"/>
        <v>0</v>
      </c>
      <c r="AS120" s="57">
        <f t="shared" si="65"/>
        <v>0</v>
      </c>
      <c r="AT120" s="58">
        <f t="shared" si="51"/>
        <v>0</v>
      </c>
      <c r="AU120" s="57">
        <f t="shared" si="52"/>
        <v>0</v>
      </c>
      <c r="AV120" s="59">
        <f t="shared" si="66"/>
        <v>0</v>
      </c>
      <c r="AW120" s="59">
        <f t="shared" si="53"/>
        <v>0</v>
      </c>
      <c r="AX120" s="9"/>
      <c r="AY120" s="60">
        <f t="shared" si="75"/>
        <v>0</v>
      </c>
      <c r="AZ120" s="61">
        <f>_xlfn.IFNA(INDEX(Table3923[Column4],MATCH(R120,Table3923[Column1],0)),1.5)</f>
        <v>1.5</v>
      </c>
      <c r="BA120" s="62">
        <f>VLOOKUP(Z120,Table1331[#All],2,FALSE)</f>
        <v>1</v>
      </c>
      <c r="BB120" s="61">
        <f t="shared" si="69"/>
        <v>1.5</v>
      </c>
      <c r="BC120" s="55">
        <f t="shared" si="76"/>
        <v>0</v>
      </c>
      <c r="BD120" s="43">
        <f t="shared" si="77"/>
        <v>0</v>
      </c>
      <c r="BE120" s="63">
        <f t="shared" si="78"/>
        <v>0</v>
      </c>
      <c r="BF120" s="60">
        <f t="shared" si="79"/>
        <v>0</v>
      </c>
      <c r="BG120" s="60">
        <f t="shared" si="80"/>
        <v>0</v>
      </c>
      <c r="BH120" s="60">
        <f t="shared" si="81"/>
        <v>0</v>
      </c>
      <c r="BI120" s="55">
        <f>VLOOKUP(AA120,Table1533[#All],2,FALSE)</f>
        <v>1.25</v>
      </c>
      <c r="BJ120" s="55">
        <f t="shared" si="82"/>
        <v>0</v>
      </c>
      <c r="BK120" s="43" t="str">
        <f t="shared" si="83"/>
        <v>0</v>
      </c>
      <c r="BL120" s="62">
        <f t="shared" si="67"/>
        <v>0</v>
      </c>
      <c r="CH120" s="148" t="s">
        <v>272</v>
      </c>
      <c r="CI120" s="149">
        <v>1.04</v>
      </c>
      <c r="CJ120" s="145">
        <f t="shared" si="70"/>
        <v>1.1440000000000001</v>
      </c>
      <c r="CK120" s="153">
        <v>1.5</v>
      </c>
      <c r="CL120" s="277">
        <f>(L122*H122)/12</f>
        <v>0</v>
      </c>
    </row>
    <row r="121" spans="1:90" ht="11.05" hidden="1" customHeight="1" x14ac:dyDescent="0.6">
      <c r="A121" s="42"/>
      <c r="B121" s="230"/>
      <c r="C121" s="231"/>
      <c r="D121" s="231"/>
      <c r="E121" s="232"/>
      <c r="F121" s="43"/>
      <c r="G121" s="43"/>
      <c r="H121" s="44"/>
      <c r="I121" s="45"/>
      <c r="J121" s="43"/>
      <c r="K121" s="46"/>
      <c r="L121" s="47">
        <f t="shared" si="68"/>
        <v>0</v>
      </c>
      <c r="M121" s="43"/>
      <c r="N121" s="43"/>
      <c r="O121" s="43"/>
      <c r="P121" s="46"/>
      <c r="Q121" s="47">
        <f t="shared" si="63"/>
        <v>0</v>
      </c>
      <c r="R121" s="233"/>
      <c r="S121" s="234"/>
      <c r="T121" s="230"/>
      <c r="U121" s="231"/>
      <c r="V121" s="231"/>
      <c r="W121" s="232"/>
      <c r="X121" s="235" t="str">
        <f>IFERROR(INDEX(Table3923[],MATCH(R121,Table3923[Column1],),3),"")</f>
        <v/>
      </c>
      <c r="Y121" s="235"/>
      <c r="Z121" s="48" t="s">
        <v>85</v>
      </c>
      <c r="AA121" s="48" t="s">
        <v>85</v>
      </c>
      <c r="AB121" s="49"/>
      <c r="AC121" s="50"/>
      <c r="AD121" s="51">
        <f t="shared" si="71"/>
        <v>0</v>
      </c>
      <c r="AG121" s="52">
        <f t="shared" si="45"/>
        <v>0</v>
      </c>
      <c r="AH121" s="53"/>
      <c r="AM121" s="55">
        <f t="shared" si="46"/>
        <v>0</v>
      </c>
      <c r="AN121" s="55">
        <f t="shared" si="47"/>
        <v>0</v>
      </c>
      <c r="AO121" s="55">
        <f t="shared" si="72"/>
        <v>0</v>
      </c>
      <c r="AP121" s="56">
        <f t="shared" si="73"/>
        <v>0</v>
      </c>
      <c r="AQ121" s="55" t="str">
        <f t="shared" si="64"/>
        <v>0.00</v>
      </c>
      <c r="AR121" s="55" t="str">
        <f t="shared" si="74"/>
        <v>0</v>
      </c>
      <c r="AS121" s="57">
        <f t="shared" si="65"/>
        <v>0</v>
      </c>
      <c r="AT121" s="58">
        <f t="shared" si="51"/>
        <v>0</v>
      </c>
      <c r="AU121" s="57">
        <f t="shared" si="52"/>
        <v>0</v>
      </c>
      <c r="AV121" s="59">
        <f t="shared" si="66"/>
        <v>0</v>
      </c>
      <c r="AW121" s="59">
        <f t="shared" si="53"/>
        <v>0</v>
      </c>
      <c r="AX121" s="9"/>
      <c r="AY121" s="60">
        <f t="shared" si="75"/>
        <v>0</v>
      </c>
      <c r="AZ121" s="61">
        <f>_xlfn.IFNA(INDEX(Table3923[Column4],MATCH(R121,Table3923[Column1],0)),1.5)</f>
        <v>1.5</v>
      </c>
      <c r="BA121" s="62">
        <f>VLOOKUP(Z121,Table1331[#All],2,FALSE)</f>
        <v>1</v>
      </c>
      <c r="BB121" s="61">
        <f t="shared" si="69"/>
        <v>1.5</v>
      </c>
      <c r="BC121" s="55">
        <f t="shared" si="76"/>
        <v>0</v>
      </c>
      <c r="BD121" s="43">
        <f t="shared" si="77"/>
        <v>0</v>
      </c>
      <c r="BE121" s="63">
        <f t="shared" si="78"/>
        <v>0</v>
      </c>
      <c r="BF121" s="60">
        <f t="shared" si="79"/>
        <v>0</v>
      </c>
      <c r="BG121" s="60">
        <f t="shared" si="80"/>
        <v>0</v>
      </c>
      <c r="BH121" s="60">
        <f t="shared" si="81"/>
        <v>0</v>
      </c>
      <c r="BI121" s="55">
        <f>VLOOKUP(AA121,Table1533[#All],2,FALSE)</f>
        <v>1.25</v>
      </c>
      <c r="BJ121" s="55">
        <f t="shared" si="82"/>
        <v>0</v>
      </c>
      <c r="BK121" s="43" t="str">
        <f t="shared" si="83"/>
        <v>0</v>
      </c>
      <c r="BL121" s="62">
        <f t="shared" si="67"/>
        <v>0</v>
      </c>
      <c r="CH121" s="148" t="s">
        <v>273</v>
      </c>
      <c r="CI121" s="151">
        <v>1.1100000000000001</v>
      </c>
      <c r="CJ121" s="145">
        <f t="shared" si="70"/>
        <v>1.2210000000000003</v>
      </c>
      <c r="CK121" s="153">
        <v>1.5</v>
      </c>
      <c r="CL121" s="277">
        <f>(L123*H123)/12</f>
        <v>0</v>
      </c>
    </row>
    <row r="122" spans="1:90" ht="11.05" hidden="1" customHeight="1" x14ac:dyDescent="0.6">
      <c r="A122" s="42"/>
      <c r="B122" s="230"/>
      <c r="C122" s="231"/>
      <c r="D122" s="231"/>
      <c r="E122" s="232"/>
      <c r="F122" s="43"/>
      <c r="G122" s="43"/>
      <c r="H122" s="44"/>
      <c r="I122" s="45"/>
      <c r="J122" s="43"/>
      <c r="K122" s="46"/>
      <c r="L122" s="47">
        <f t="shared" si="68"/>
        <v>0</v>
      </c>
      <c r="M122" s="43"/>
      <c r="N122" s="43"/>
      <c r="O122" s="43"/>
      <c r="P122" s="46"/>
      <c r="Q122" s="47">
        <f t="shared" si="63"/>
        <v>0</v>
      </c>
      <c r="R122" s="233"/>
      <c r="S122" s="234"/>
      <c r="T122" s="230"/>
      <c r="U122" s="231"/>
      <c r="V122" s="231"/>
      <c r="W122" s="232"/>
      <c r="X122" s="235" t="str">
        <f>IFERROR(INDEX(Table3923[],MATCH(R122,Table3923[Column1],),3),"")</f>
        <v/>
      </c>
      <c r="Y122" s="235"/>
      <c r="Z122" s="48" t="s">
        <v>85</v>
      </c>
      <c r="AA122" s="48" t="s">
        <v>85</v>
      </c>
      <c r="AB122" s="49"/>
      <c r="AC122" s="50"/>
      <c r="AD122" s="51">
        <f t="shared" si="71"/>
        <v>0</v>
      </c>
      <c r="AG122" s="52">
        <f t="shared" si="45"/>
        <v>0</v>
      </c>
      <c r="AH122" s="53"/>
      <c r="AM122" s="55">
        <f t="shared" si="46"/>
        <v>0</v>
      </c>
      <c r="AN122" s="55">
        <f t="shared" si="47"/>
        <v>0</v>
      </c>
      <c r="AO122" s="55">
        <f t="shared" si="72"/>
        <v>0</v>
      </c>
      <c r="AP122" s="56">
        <f t="shared" si="73"/>
        <v>0</v>
      </c>
      <c r="AQ122" s="55" t="str">
        <f t="shared" si="64"/>
        <v>0.00</v>
      </c>
      <c r="AR122" s="55" t="str">
        <f t="shared" si="74"/>
        <v>0</v>
      </c>
      <c r="AS122" s="57">
        <f t="shared" si="65"/>
        <v>0</v>
      </c>
      <c r="AT122" s="58">
        <f t="shared" si="51"/>
        <v>0</v>
      </c>
      <c r="AU122" s="57">
        <f t="shared" si="52"/>
        <v>0</v>
      </c>
      <c r="AV122" s="59">
        <f t="shared" si="66"/>
        <v>0</v>
      </c>
      <c r="AW122" s="59">
        <f t="shared" si="53"/>
        <v>0</v>
      </c>
      <c r="AX122" s="9"/>
      <c r="AY122" s="60">
        <f t="shared" si="75"/>
        <v>0</v>
      </c>
      <c r="AZ122" s="61">
        <f>_xlfn.IFNA(INDEX(Table3923[Column4],MATCH(R122,Table3923[Column1],0)),1.5)</f>
        <v>1.5</v>
      </c>
      <c r="BA122" s="62">
        <f>VLOOKUP(Z122,Table1331[#All],2,FALSE)</f>
        <v>1</v>
      </c>
      <c r="BB122" s="61">
        <f t="shared" si="69"/>
        <v>1.5</v>
      </c>
      <c r="BC122" s="55">
        <f t="shared" si="76"/>
        <v>0</v>
      </c>
      <c r="BD122" s="43">
        <f t="shared" si="77"/>
        <v>0</v>
      </c>
      <c r="BE122" s="63">
        <f t="shared" si="78"/>
        <v>0</v>
      </c>
      <c r="BF122" s="60">
        <f t="shared" si="79"/>
        <v>0</v>
      </c>
      <c r="BG122" s="60">
        <f t="shared" si="80"/>
        <v>0</v>
      </c>
      <c r="BH122" s="60">
        <f t="shared" si="81"/>
        <v>0</v>
      </c>
      <c r="BI122" s="55">
        <f>VLOOKUP(AA122,Table1533[#All],2,FALSE)</f>
        <v>1.25</v>
      </c>
      <c r="BJ122" s="55">
        <f t="shared" si="82"/>
        <v>0</v>
      </c>
      <c r="BK122" s="43" t="str">
        <f t="shared" si="83"/>
        <v>0</v>
      </c>
      <c r="BL122" s="62">
        <f t="shared" si="67"/>
        <v>0</v>
      </c>
      <c r="CH122" s="148" t="s">
        <v>274</v>
      </c>
      <c r="CI122" s="149">
        <v>0.89</v>
      </c>
      <c r="CJ122" s="145">
        <f t="shared" si="70"/>
        <v>0.97900000000000009</v>
      </c>
      <c r="CK122" s="153">
        <v>1.5</v>
      </c>
      <c r="CL122" s="277">
        <f>(L124*H124)/12</f>
        <v>0</v>
      </c>
    </row>
    <row r="123" spans="1:90" ht="11.05" hidden="1" customHeight="1" x14ac:dyDescent="0.6">
      <c r="A123" s="42"/>
      <c r="B123" s="230"/>
      <c r="C123" s="231"/>
      <c r="D123" s="231"/>
      <c r="E123" s="232"/>
      <c r="F123" s="43"/>
      <c r="G123" s="43"/>
      <c r="H123" s="44"/>
      <c r="I123" s="45"/>
      <c r="J123" s="43"/>
      <c r="K123" s="46"/>
      <c r="L123" s="47">
        <f t="shared" si="68"/>
        <v>0</v>
      </c>
      <c r="M123" s="43"/>
      <c r="N123" s="43"/>
      <c r="O123" s="43"/>
      <c r="P123" s="46"/>
      <c r="Q123" s="47">
        <f t="shared" si="63"/>
        <v>0</v>
      </c>
      <c r="R123" s="233"/>
      <c r="S123" s="234"/>
      <c r="T123" s="230"/>
      <c r="U123" s="231"/>
      <c r="V123" s="231"/>
      <c r="W123" s="232"/>
      <c r="X123" s="235" t="str">
        <f>IFERROR(INDEX(Table3923[],MATCH(R123,Table3923[Column1],),3),"")</f>
        <v/>
      </c>
      <c r="Y123" s="235"/>
      <c r="Z123" s="48" t="s">
        <v>85</v>
      </c>
      <c r="AA123" s="48" t="s">
        <v>85</v>
      </c>
      <c r="AB123" s="49"/>
      <c r="AC123" s="50"/>
      <c r="AD123" s="51">
        <f t="shared" si="71"/>
        <v>0</v>
      </c>
      <c r="AG123" s="52">
        <f t="shared" si="45"/>
        <v>0</v>
      </c>
      <c r="AH123" s="53"/>
      <c r="AM123" s="55">
        <f t="shared" si="46"/>
        <v>0</v>
      </c>
      <c r="AN123" s="55">
        <f t="shared" si="47"/>
        <v>0</v>
      </c>
      <c r="AO123" s="55">
        <f t="shared" si="72"/>
        <v>0</v>
      </c>
      <c r="AP123" s="56">
        <f t="shared" si="73"/>
        <v>0</v>
      </c>
      <c r="AQ123" s="55" t="str">
        <f t="shared" si="64"/>
        <v>0.00</v>
      </c>
      <c r="AR123" s="55" t="str">
        <f t="shared" si="74"/>
        <v>0</v>
      </c>
      <c r="AS123" s="57">
        <f t="shared" si="65"/>
        <v>0</v>
      </c>
      <c r="AT123" s="58">
        <f t="shared" si="51"/>
        <v>0</v>
      </c>
      <c r="AU123" s="57">
        <f t="shared" si="52"/>
        <v>0</v>
      </c>
      <c r="AV123" s="59">
        <f t="shared" si="66"/>
        <v>0</v>
      </c>
      <c r="AW123" s="59">
        <f t="shared" si="53"/>
        <v>0</v>
      </c>
      <c r="AX123" s="9"/>
      <c r="AY123" s="60">
        <f t="shared" si="75"/>
        <v>0</v>
      </c>
      <c r="AZ123" s="61">
        <f>_xlfn.IFNA(INDEX(Table3923[Column4],MATCH(R123,Table3923[Column1],0)),1.5)</f>
        <v>1.5</v>
      </c>
      <c r="BA123" s="62">
        <f>VLOOKUP(Z123,Table1331[#All],2,FALSE)</f>
        <v>1</v>
      </c>
      <c r="BB123" s="61">
        <f t="shared" si="69"/>
        <v>1.5</v>
      </c>
      <c r="BC123" s="55">
        <f t="shared" si="76"/>
        <v>0</v>
      </c>
      <c r="BD123" s="43">
        <f t="shared" si="77"/>
        <v>0</v>
      </c>
      <c r="BE123" s="63">
        <f t="shared" si="78"/>
        <v>0</v>
      </c>
      <c r="BF123" s="60">
        <f t="shared" si="79"/>
        <v>0</v>
      </c>
      <c r="BG123" s="60">
        <f t="shared" si="80"/>
        <v>0</v>
      </c>
      <c r="BH123" s="60">
        <f t="shared" si="81"/>
        <v>0</v>
      </c>
      <c r="BI123" s="55">
        <f>VLOOKUP(AA123,Table1533[#All],2,FALSE)</f>
        <v>1.25</v>
      </c>
      <c r="BJ123" s="55">
        <f t="shared" si="82"/>
        <v>0</v>
      </c>
      <c r="BK123" s="43" t="str">
        <f t="shared" si="83"/>
        <v>0</v>
      </c>
      <c r="BL123" s="62">
        <f t="shared" si="67"/>
        <v>0</v>
      </c>
      <c r="CH123" s="148" t="s">
        <v>275</v>
      </c>
      <c r="CI123" s="151">
        <v>1.33</v>
      </c>
      <c r="CJ123" s="145">
        <f t="shared" si="70"/>
        <v>1.4630000000000003</v>
      </c>
      <c r="CK123" s="153">
        <v>1.5</v>
      </c>
      <c r="CL123" s="277">
        <f>(L125*H125)/12</f>
        <v>0</v>
      </c>
    </row>
    <row r="124" spans="1:90" ht="11.05" hidden="1" customHeight="1" x14ac:dyDescent="0.6">
      <c r="A124" s="42"/>
      <c r="B124" s="230"/>
      <c r="C124" s="231"/>
      <c r="D124" s="231"/>
      <c r="E124" s="232"/>
      <c r="F124" s="43"/>
      <c r="G124" s="43"/>
      <c r="H124" s="44"/>
      <c r="I124" s="45"/>
      <c r="J124" s="43"/>
      <c r="K124" s="46"/>
      <c r="L124" s="47">
        <f t="shared" si="68"/>
        <v>0</v>
      </c>
      <c r="M124" s="43"/>
      <c r="N124" s="43"/>
      <c r="O124" s="43"/>
      <c r="P124" s="46"/>
      <c r="Q124" s="47">
        <f t="shared" si="63"/>
        <v>0</v>
      </c>
      <c r="R124" s="233"/>
      <c r="S124" s="234"/>
      <c r="T124" s="230"/>
      <c r="U124" s="231"/>
      <c r="V124" s="231"/>
      <c r="W124" s="232"/>
      <c r="X124" s="235" t="str">
        <f>IFERROR(INDEX(Table3923[],MATCH(R124,Table3923[Column1],),3),"")</f>
        <v/>
      </c>
      <c r="Y124" s="235"/>
      <c r="Z124" s="48" t="s">
        <v>85</v>
      </c>
      <c r="AA124" s="48" t="s">
        <v>85</v>
      </c>
      <c r="AB124" s="49"/>
      <c r="AC124" s="50"/>
      <c r="AD124" s="51">
        <f t="shared" si="71"/>
        <v>0</v>
      </c>
      <c r="AG124" s="52">
        <f t="shared" si="45"/>
        <v>0</v>
      </c>
      <c r="AH124" s="53"/>
      <c r="AM124" s="55">
        <f t="shared" si="46"/>
        <v>0</v>
      </c>
      <c r="AN124" s="55">
        <f t="shared" si="47"/>
        <v>0</v>
      </c>
      <c r="AO124" s="55">
        <f t="shared" si="72"/>
        <v>0</v>
      </c>
      <c r="AP124" s="56">
        <f t="shared" si="73"/>
        <v>0</v>
      </c>
      <c r="AQ124" s="55" t="str">
        <f t="shared" si="64"/>
        <v>0.00</v>
      </c>
      <c r="AR124" s="55" t="str">
        <f t="shared" si="74"/>
        <v>0</v>
      </c>
      <c r="AS124" s="57">
        <f t="shared" si="65"/>
        <v>0</v>
      </c>
      <c r="AT124" s="58">
        <f t="shared" si="51"/>
        <v>0</v>
      </c>
      <c r="AU124" s="57">
        <f t="shared" si="52"/>
        <v>0</v>
      </c>
      <c r="AV124" s="59">
        <f t="shared" si="66"/>
        <v>0</v>
      </c>
      <c r="AW124" s="59">
        <f t="shared" si="53"/>
        <v>0</v>
      </c>
      <c r="AX124" s="9"/>
      <c r="AY124" s="60">
        <f t="shared" si="75"/>
        <v>0</v>
      </c>
      <c r="AZ124" s="61">
        <f>_xlfn.IFNA(INDEX(Table3923[Column4],MATCH(R124,Table3923[Column1],0)),1.5)</f>
        <v>1.5</v>
      </c>
      <c r="BA124" s="62">
        <f>VLOOKUP(Z124,Table1331[#All],2,FALSE)</f>
        <v>1</v>
      </c>
      <c r="BB124" s="61">
        <f t="shared" si="69"/>
        <v>1.5</v>
      </c>
      <c r="BC124" s="55">
        <f t="shared" si="76"/>
        <v>0</v>
      </c>
      <c r="BD124" s="43">
        <f t="shared" si="77"/>
        <v>0</v>
      </c>
      <c r="BE124" s="63">
        <f t="shared" si="78"/>
        <v>0</v>
      </c>
      <c r="BF124" s="60">
        <f t="shared" si="79"/>
        <v>0</v>
      </c>
      <c r="BG124" s="60">
        <f t="shared" si="80"/>
        <v>0</v>
      </c>
      <c r="BH124" s="60">
        <f t="shared" si="81"/>
        <v>0</v>
      </c>
      <c r="BI124" s="55">
        <f>VLOOKUP(AA124,Table1533[#All],2,FALSE)</f>
        <v>1.25</v>
      </c>
      <c r="BJ124" s="55">
        <f t="shared" si="82"/>
        <v>0</v>
      </c>
      <c r="BK124" s="43" t="str">
        <f t="shared" si="83"/>
        <v>0</v>
      </c>
      <c r="BL124" s="62">
        <f t="shared" si="67"/>
        <v>0</v>
      </c>
      <c r="CH124" s="148" t="s">
        <v>276</v>
      </c>
      <c r="CI124" s="149">
        <v>1.49</v>
      </c>
      <c r="CJ124" s="145">
        <f t="shared" si="70"/>
        <v>1.639</v>
      </c>
      <c r="CK124" s="153">
        <v>1.75</v>
      </c>
      <c r="CL124" s="277">
        <f>(L126*H126)/12</f>
        <v>0</v>
      </c>
    </row>
    <row r="125" spans="1:90" ht="11.05" hidden="1" customHeight="1" x14ac:dyDescent="0.6">
      <c r="A125" s="42"/>
      <c r="B125" s="230"/>
      <c r="C125" s="231"/>
      <c r="D125" s="231"/>
      <c r="E125" s="232"/>
      <c r="F125" s="43"/>
      <c r="G125" s="43"/>
      <c r="H125" s="44"/>
      <c r="I125" s="45"/>
      <c r="J125" s="43"/>
      <c r="K125" s="46"/>
      <c r="L125" s="47">
        <f t="shared" si="68"/>
        <v>0</v>
      </c>
      <c r="M125" s="43"/>
      <c r="N125" s="43"/>
      <c r="O125" s="43"/>
      <c r="P125" s="46"/>
      <c r="Q125" s="47">
        <f t="shared" si="63"/>
        <v>0</v>
      </c>
      <c r="R125" s="233"/>
      <c r="S125" s="234"/>
      <c r="T125" s="230"/>
      <c r="U125" s="231"/>
      <c r="V125" s="231"/>
      <c r="W125" s="232"/>
      <c r="X125" s="235" t="str">
        <f>IFERROR(INDEX(Table3923[],MATCH(R125,Table3923[Column1],),3),"")</f>
        <v/>
      </c>
      <c r="Y125" s="235"/>
      <c r="Z125" s="48" t="s">
        <v>85</v>
      </c>
      <c r="AA125" s="48" t="s">
        <v>85</v>
      </c>
      <c r="AB125" s="49"/>
      <c r="AC125" s="50"/>
      <c r="AD125" s="51">
        <f t="shared" si="71"/>
        <v>0</v>
      </c>
      <c r="AG125" s="52">
        <f t="shared" si="45"/>
        <v>0</v>
      </c>
      <c r="AH125" s="53"/>
      <c r="AM125" s="55">
        <f t="shared" si="46"/>
        <v>0</v>
      </c>
      <c r="AN125" s="55">
        <f t="shared" si="47"/>
        <v>0</v>
      </c>
      <c r="AO125" s="55">
        <f t="shared" si="72"/>
        <v>0</v>
      </c>
      <c r="AP125" s="56">
        <f t="shared" si="73"/>
        <v>0</v>
      </c>
      <c r="AQ125" s="55" t="str">
        <f t="shared" si="64"/>
        <v>0.00</v>
      </c>
      <c r="AR125" s="55" t="str">
        <f t="shared" si="74"/>
        <v>0</v>
      </c>
      <c r="AS125" s="57">
        <f t="shared" si="65"/>
        <v>0</v>
      </c>
      <c r="AT125" s="58">
        <f t="shared" si="51"/>
        <v>0</v>
      </c>
      <c r="AU125" s="57">
        <f t="shared" si="52"/>
        <v>0</v>
      </c>
      <c r="AV125" s="59">
        <f t="shared" si="66"/>
        <v>0</v>
      </c>
      <c r="AW125" s="59">
        <f t="shared" si="53"/>
        <v>0</v>
      </c>
      <c r="AX125" s="9"/>
      <c r="AY125" s="60">
        <f t="shared" si="75"/>
        <v>0</v>
      </c>
      <c r="AZ125" s="61">
        <f>_xlfn.IFNA(INDEX(Table3923[Column4],MATCH(R125,Table3923[Column1],0)),1.5)</f>
        <v>1.5</v>
      </c>
      <c r="BA125" s="62">
        <f>VLOOKUP(Z125,Table1331[#All],2,FALSE)</f>
        <v>1</v>
      </c>
      <c r="BB125" s="61">
        <f t="shared" si="69"/>
        <v>1.5</v>
      </c>
      <c r="BC125" s="55">
        <f t="shared" si="76"/>
        <v>0</v>
      </c>
      <c r="BD125" s="43">
        <f t="shared" si="77"/>
        <v>0</v>
      </c>
      <c r="BE125" s="63">
        <f t="shared" si="78"/>
        <v>0</v>
      </c>
      <c r="BF125" s="60">
        <f t="shared" si="79"/>
        <v>0</v>
      </c>
      <c r="BG125" s="60">
        <f t="shared" si="80"/>
        <v>0</v>
      </c>
      <c r="BH125" s="60">
        <f t="shared" si="81"/>
        <v>0</v>
      </c>
      <c r="BI125" s="55">
        <f>VLOOKUP(AA125,Table1533[#All],2,FALSE)</f>
        <v>1.25</v>
      </c>
      <c r="BJ125" s="55">
        <f t="shared" si="82"/>
        <v>0</v>
      </c>
      <c r="BK125" s="43" t="str">
        <f t="shared" si="83"/>
        <v>0</v>
      </c>
      <c r="BL125" s="62">
        <f t="shared" si="67"/>
        <v>0</v>
      </c>
      <c r="CH125" s="148" t="s">
        <v>277</v>
      </c>
      <c r="CI125" s="151">
        <v>1.1599999999999999</v>
      </c>
      <c r="CJ125" s="145">
        <f t="shared" si="70"/>
        <v>1.276</v>
      </c>
      <c r="CK125" s="153">
        <v>1.75</v>
      </c>
      <c r="CL125" s="277">
        <f>(L127*H127)/12</f>
        <v>0</v>
      </c>
    </row>
    <row r="126" spans="1:90" ht="11.05" hidden="1" customHeight="1" x14ac:dyDescent="0.6">
      <c r="A126" s="42"/>
      <c r="B126" s="230"/>
      <c r="C126" s="231"/>
      <c r="D126" s="231"/>
      <c r="E126" s="232"/>
      <c r="F126" s="43"/>
      <c r="G126" s="43"/>
      <c r="H126" s="44"/>
      <c r="I126" s="45"/>
      <c r="J126" s="43"/>
      <c r="K126" s="46"/>
      <c r="L126" s="47">
        <f t="shared" si="68"/>
        <v>0</v>
      </c>
      <c r="M126" s="43"/>
      <c r="N126" s="43"/>
      <c r="O126" s="43"/>
      <c r="P126" s="46"/>
      <c r="Q126" s="47">
        <f t="shared" si="63"/>
        <v>0</v>
      </c>
      <c r="R126" s="233"/>
      <c r="S126" s="234"/>
      <c r="T126" s="230"/>
      <c r="U126" s="231"/>
      <c r="V126" s="231"/>
      <c r="W126" s="232"/>
      <c r="X126" s="235" t="str">
        <f>IFERROR(INDEX(Table3923[],MATCH(R126,Table3923[Column1],),3),"")</f>
        <v/>
      </c>
      <c r="Y126" s="235"/>
      <c r="Z126" s="48" t="s">
        <v>85</v>
      </c>
      <c r="AA126" s="48" t="s">
        <v>85</v>
      </c>
      <c r="AB126" s="49"/>
      <c r="AC126" s="50"/>
      <c r="AD126" s="51">
        <f t="shared" si="71"/>
        <v>0</v>
      </c>
      <c r="AG126" s="52">
        <f t="shared" si="45"/>
        <v>0</v>
      </c>
      <c r="AH126" s="53"/>
      <c r="AM126" s="55">
        <f t="shared" si="46"/>
        <v>0</v>
      </c>
      <c r="AN126" s="55">
        <f t="shared" si="47"/>
        <v>0</v>
      </c>
      <c r="AO126" s="55">
        <f t="shared" si="72"/>
        <v>0</v>
      </c>
      <c r="AP126" s="56">
        <f t="shared" si="73"/>
        <v>0</v>
      </c>
      <c r="AQ126" s="55" t="str">
        <f t="shared" si="64"/>
        <v>0.00</v>
      </c>
      <c r="AR126" s="55" t="str">
        <f t="shared" si="74"/>
        <v>0</v>
      </c>
      <c r="AS126" s="57">
        <f t="shared" si="65"/>
        <v>0</v>
      </c>
      <c r="AT126" s="58">
        <f t="shared" si="51"/>
        <v>0</v>
      </c>
      <c r="AU126" s="57">
        <f t="shared" si="52"/>
        <v>0</v>
      </c>
      <c r="AV126" s="59">
        <f t="shared" si="66"/>
        <v>0</v>
      </c>
      <c r="AW126" s="59">
        <f t="shared" si="53"/>
        <v>0</v>
      </c>
      <c r="AX126" s="9"/>
      <c r="AY126" s="60">
        <f t="shared" si="75"/>
        <v>0</v>
      </c>
      <c r="AZ126" s="61">
        <f>_xlfn.IFNA(INDEX(Table3923[Column4],MATCH(R126,Table3923[Column1],0)),1.5)</f>
        <v>1.5</v>
      </c>
      <c r="BA126" s="62">
        <f>VLOOKUP(Z126,Table1331[#All],2,FALSE)</f>
        <v>1</v>
      </c>
      <c r="BB126" s="61">
        <f t="shared" si="69"/>
        <v>1.5</v>
      </c>
      <c r="BC126" s="55">
        <f t="shared" si="76"/>
        <v>0</v>
      </c>
      <c r="BD126" s="43">
        <f t="shared" si="77"/>
        <v>0</v>
      </c>
      <c r="BE126" s="63">
        <f t="shared" si="78"/>
        <v>0</v>
      </c>
      <c r="BF126" s="60">
        <f t="shared" si="79"/>
        <v>0</v>
      </c>
      <c r="BG126" s="60">
        <f t="shared" si="80"/>
        <v>0</v>
      </c>
      <c r="BH126" s="60">
        <f t="shared" si="81"/>
        <v>0</v>
      </c>
      <c r="BI126" s="55">
        <f>VLOOKUP(AA126,Table1533[#All],2,FALSE)</f>
        <v>1.25</v>
      </c>
      <c r="BJ126" s="55">
        <f t="shared" si="82"/>
        <v>0</v>
      </c>
      <c r="BK126" s="43" t="str">
        <f t="shared" si="83"/>
        <v>0</v>
      </c>
      <c r="BL126" s="62">
        <f t="shared" si="67"/>
        <v>0</v>
      </c>
      <c r="CH126" s="148"/>
      <c r="CI126" s="149"/>
      <c r="CJ126" s="145"/>
      <c r="CK126" s="153"/>
      <c r="CL126" s="277">
        <f>(L128*H128)/12</f>
        <v>0</v>
      </c>
    </row>
    <row r="127" spans="1:90" ht="11.05" hidden="1" customHeight="1" x14ac:dyDescent="0.6">
      <c r="A127" s="42"/>
      <c r="B127" s="230"/>
      <c r="C127" s="231"/>
      <c r="D127" s="231"/>
      <c r="E127" s="232"/>
      <c r="F127" s="43"/>
      <c r="G127" s="43"/>
      <c r="H127" s="44"/>
      <c r="I127" s="45"/>
      <c r="J127" s="43"/>
      <c r="K127" s="46"/>
      <c r="L127" s="47">
        <f t="shared" si="68"/>
        <v>0</v>
      </c>
      <c r="M127" s="43"/>
      <c r="N127" s="43"/>
      <c r="O127" s="43"/>
      <c r="P127" s="46"/>
      <c r="Q127" s="47">
        <f t="shared" si="63"/>
        <v>0</v>
      </c>
      <c r="R127" s="233"/>
      <c r="S127" s="234"/>
      <c r="T127" s="230"/>
      <c r="U127" s="231"/>
      <c r="V127" s="231"/>
      <c r="W127" s="232"/>
      <c r="X127" s="235" t="str">
        <f>IFERROR(INDEX(Table3923[],MATCH(R127,Table3923[Column1],),3),"")</f>
        <v/>
      </c>
      <c r="Y127" s="235"/>
      <c r="Z127" s="48" t="s">
        <v>85</v>
      </c>
      <c r="AA127" s="48" t="s">
        <v>85</v>
      </c>
      <c r="AB127" s="49"/>
      <c r="AC127" s="50"/>
      <c r="AD127" s="51">
        <f t="shared" si="71"/>
        <v>0</v>
      </c>
      <c r="AG127" s="52">
        <f t="shared" si="45"/>
        <v>0</v>
      </c>
      <c r="AH127" s="53"/>
      <c r="AM127" s="55">
        <f t="shared" si="46"/>
        <v>0</v>
      </c>
      <c r="AN127" s="55">
        <f t="shared" si="47"/>
        <v>0</v>
      </c>
      <c r="AO127" s="55">
        <f t="shared" si="72"/>
        <v>0</v>
      </c>
      <c r="AP127" s="56">
        <f t="shared" si="73"/>
        <v>0</v>
      </c>
      <c r="AQ127" s="55" t="str">
        <f t="shared" si="64"/>
        <v>0.00</v>
      </c>
      <c r="AR127" s="55" t="str">
        <f t="shared" si="74"/>
        <v>0</v>
      </c>
      <c r="AS127" s="57">
        <f t="shared" si="65"/>
        <v>0</v>
      </c>
      <c r="AT127" s="58">
        <f t="shared" si="51"/>
        <v>0</v>
      </c>
      <c r="AU127" s="57">
        <f t="shared" si="52"/>
        <v>0</v>
      </c>
      <c r="AV127" s="59">
        <f t="shared" si="66"/>
        <v>0</v>
      </c>
      <c r="AW127" s="59">
        <f t="shared" si="53"/>
        <v>0</v>
      </c>
      <c r="AX127" s="9"/>
      <c r="AY127" s="60">
        <f t="shared" si="75"/>
        <v>0</v>
      </c>
      <c r="AZ127" s="61">
        <f>_xlfn.IFNA(INDEX(Table3923[Column4],MATCH(R127,Table3923[Column1],0)),1.5)</f>
        <v>1.5</v>
      </c>
      <c r="BA127" s="62">
        <f>VLOOKUP(Z127,Table1331[#All],2,FALSE)</f>
        <v>1</v>
      </c>
      <c r="BB127" s="61">
        <f t="shared" si="69"/>
        <v>1.5</v>
      </c>
      <c r="BC127" s="55">
        <f t="shared" si="76"/>
        <v>0</v>
      </c>
      <c r="BD127" s="43">
        <f t="shared" si="77"/>
        <v>0</v>
      </c>
      <c r="BE127" s="63">
        <f t="shared" si="78"/>
        <v>0</v>
      </c>
      <c r="BF127" s="60">
        <f t="shared" si="79"/>
        <v>0</v>
      </c>
      <c r="BG127" s="60">
        <f t="shared" si="80"/>
        <v>0</v>
      </c>
      <c r="BH127" s="60">
        <f t="shared" si="81"/>
        <v>0</v>
      </c>
      <c r="BI127" s="55">
        <f>VLOOKUP(AA127,Table1533[#All],2,FALSE)</f>
        <v>1.25</v>
      </c>
      <c r="BJ127" s="55">
        <f t="shared" si="82"/>
        <v>0</v>
      </c>
      <c r="BK127" s="43" t="str">
        <f t="shared" si="83"/>
        <v>0</v>
      </c>
      <c r="BL127" s="62">
        <f t="shared" si="67"/>
        <v>0</v>
      </c>
      <c r="CH127" s="148" t="s">
        <v>278</v>
      </c>
      <c r="CI127" s="151">
        <v>1.1499999999999999</v>
      </c>
      <c r="CJ127" s="145">
        <f t="shared" si="70"/>
        <v>1.2649999999999999</v>
      </c>
      <c r="CK127" s="153">
        <v>1.25</v>
      </c>
      <c r="CL127" s="277">
        <f>(L129*H129)/12</f>
        <v>0</v>
      </c>
    </row>
    <row r="128" spans="1:90" ht="11.05" hidden="1" customHeight="1" x14ac:dyDescent="0.6">
      <c r="A128" s="42"/>
      <c r="B128" s="230"/>
      <c r="C128" s="231"/>
      <c r="D128" s="231"/>
      <c r="E128" s="232"/>
      <c r="F128" s="43"/>
      <c r="G128" s="43"/>
      <c r="H128" s="44"/>
      <c r="I128" s="45"/>
      <c r="J128" s="43"/>
      <c r="K128" s="46"/>
      <c r="L128" s="47">
        <f t="shared" si="68"/>
        <v>0</v>
      </c>
      <c r="M128" s="43"/>
      <c r="N128" s="43"/>
      <c r="O128" s="43"/>
      <c r="P128" s="46"/>
      <c r="Q128" s="47">
        <f t="shared" si="63"/>
        <v>0</v>
      </c>
      <c r="R128" s="233"/>
      <c r="S128" s="234"/>
      <c r="T128" s="230"/>
      <c r="U128" s="231"/>
      <c r="V128" s="231"/>
      <c r="W128" s="232"/>
      <c r="X128" s="235" t="str">
        <f>IFERROR(INDEX(Table3923[],MATCH(R128,Table3923[Column1],),3),"")</f>
        <v/>
      </c>
      <c r="Y128" s="235"/>
      <c r="Z128" s="48" t="s">
        <v>85</v>
      </c>
      <c r="AA128" s="48" t="s">
        <v>85</v>
      </c>
      <c r="AB128" s="49"/>
      <c r="AC128" s="50"/>
      <c r="AD128" s="51">
        <f t="shared" si="71"/>
        <v>0</v>
      </c>
      <c r="AG128" s="52">
        <f t="shared" si="45"/>
        <v>0</v>
      </c>
      <c r="AH128" s="53"/>
      <c r="AM128" s="55">
        <f t="shared" si="46"/>
        <v>0</v>
      </c>
      <c r="AN128" s="55">
        <f t="shared" si="47"/>
        <v>0</v>
      </c>
      <c r="AO128" s="55">
        <f t="shared" si="72"/>
        <v>0</v>
      </c>
      <c r="AP128" s="56">
        <f t="shared" si="73"/>
        <v>0</v>
      </c>
      <c r="AQ128" s="55" t="str">
        <f t="shared" si="64"/>
        <v>0.00</v>
      </c>
      <c r="AR128" s="55" t="str">
        <f t="shared" si="74"/>
        <v>0</v>
      </c>
      <c r="AS128" s="57">
        <f t="shared" si="65"/>
        <v>0</v>
      </c>
      <c r="AT128" s="58">
        <f t="shared" si="51"/>
        <v>0</v>
      </c>
      <c r="AU128" s="57">
        <f t="shared" si="52"/>
        <v>0</v>
      </c>
      <c r="AV128" s="59">
        <f t="shared" si="66"/>
        <v>0</v>
      </c>
      <c r="AW128" s="59">
        <f t="shared" si="53"/>
        <v>0</v>
      </c>
      <c r="AX128" s="9"/>
      <c r="AY128" s="60">
        <f t="shared" si="75"/>
        <v>0</v>
      </c>
      <c r="AZ128" s="61">
        <f>_xlfn.IFNA(INDEX(Table3923[Column4],MATCH(R128,Table3923[Column1],0)),1.5)</f>
        <v>1.5</v>
      </c>
      <c r="BA128" s="62">
        <f>VLOOKUP(Z128,Table1331[#All],2,FALSE)</f>
        <v>1</v>
      </c>
      <c r="BB128" s="61">
        <f t="shared" si="69"/>
        <v>1.5</v>
      </c>
      <c r="BC128" s="55">
        <f t="shared" si="76"/>
        <v>0</v>
      </c>
      <c r="BD128" s="43">
        <f t="shared" si="77"/>
        <v>0</v>
      </c>
      <c r="BE128" s="63">
        <f t="shared" si="78"/>
        <v>0</v>
      </c>
      <c r="BF128" s="60">
        <f t="shared" si="79"/>
        <v>0</v>
      </c>
      <c r="BG128" s="60">
        <f t="shared" si="80"/>
        <v>0</v>
      </c>
      <c r="BH128" s="60">
        <f t="shared" si="81"/>
        <v>0</v>
      </c>
      <c r="BI128" s="55">
        <f>VLOOKUP(AA128,Table1533[#All],2,FALSE)</f>
        <v>1.25</v>
      </c>
      <c r="BJ128" s="55">
        <f t="shared" si="82"/>
        <v>0</v>
      </c>
      <c r="BK128" s="43" t="str">
        <f t="shared" si="83"/>
        <v>0</v>
      </c>
      <c r="BL128" s="62">
        <f t="shared" si="67"/>
        <v>0</v>
      </c>
      <c r="CH128" s="148" t="s">
        <v>279</v>
      </c>
      <c r="CI128" s="149">
        <v>1.03</v>
      </c>
      <c r="CJ128" s="145">
        <f t="shared" si="70"/>
        <v>1.1330000000000002</v>
      </c>
      <c r="CK128" s="153">
        <v>1.5</v>
      </c>
      <c r="CL128" s="277">
        <f>(L130*H130)/12</f>
        <v>0</v>
      </c>
    </row>
    <row r="129" spans="1:90" ht="11.05" hidden="1" customHeight="1" x14ac:dyDescent="0.6">
      <c r="A129" s="42"/>
      <c r="B129" s="230"/>
      <c r="C129" s="231"/>
      <c r="D129" s="231"/>
      <c r="E129" s="232"/>
      <c r="F129" s="43"/>
      <c r="G129" s="43"/>
      <c r="H129" s="44"/>
      <c r="I129" s="45"/>
      <c r="J129" s="43"/>
      <c r="K129" s="46"/>
      <c r="L129" s="47">
        <f t="shared" si="68"/>
        <v>0</v>
      </c>
      <c r="M129" s="43"/>
      <c r="N129" s="43"/>
      <c r="O129" s="43"/>
      <c r="P129" s="46"/>
      <c r="Q129" s="47">
        <f t="shared" si="63"/>
        <v>0</v>
      </c>
      <c r="R129" s="233"/>
      <c r="S129" s="234"/>
      <c r="T129" s="230"/>
      <c r="U129" s="231"/>
      <c r="V129" s="231"/>
      <c r="W129" s="232"/>
      <c r="X129" s="235" t="str">
        <f>IFERROR(INDEX(Table3923[],MATCH(R129,Table3923[Column1],),3),"")</f>
        <v/>
      </c>
      <c r="Y129" s="235"/>
      <c r="Z129" s="48" t="s">
        <v>85</v>
      </c>
      <c r="AA129" s="48" t="s">
        <v>85</v>
      </c>
      <c r="AB129" s="49"/>
      <c r="AC129" s="50"/>
      <c r="AD129" s="51">
        <f t="shared" si="71"/>
        <v>0</v>
      </c>
      <c r="AG129" s="52">
        <f t="shared" si="45"/>
        <v>0</v>
      </c>
      <c r="AH129" s="53"/>
      <c r="AM129" s="55">
        <f t="shared" si="46"/>
        <v>0</v>
      </c>
      <c r="AN129" s="55">
        <f t="shared" si="47"/>
        <v>0</v>
      </c>
      <c r="AO129" s="55">
        <f t="shared" si="72"/>
        <v>0</v>
      </c>
      <c r="AP129" s="56">
        <f t="shared" si="73"/>
        <v>0</v>
      </c>
      <c r="AQ129" s="55" t="str">
        <f t="shared" si="64"/>
        <v>0.00</v>
      </c>
      <c r="AR129" s="55" t="str">
        <f t="shared" si="74"/>
        <v>0</v>
      </c>
      <c r="AS129" s="57">
        <f t="shared" si="65"/>
        <v>0</v>
      </c>
      <c r="AT129" s="58">
        <f t="shared" si="51"/>
        <v>0</v>
      </c>
      <c r="AU129" s="57">
        <f t="shared" si="52"/>
        <v>0</v>
      </c>
      <c r="AV129" s="59">
        <f t="shared" si="66"/>
        <v>0</v>
      </c>
      <c r="AW129" s="59">
        <f t="shared" si="53"/>
        <v>0</v>
      </c>
      <c r="AX129" s="9"/>
      <c r="AY129" s="60">
        <f t="shared" si="75"/>
        <v>0</v>
      </c>
      <c r="AZ129" s="61">
        <f>_xlfn.IFNA(INDEX(Table3923[Column4],MATCH(R129,Table3923[Column1],0)),1.5)</f>
        <v>1.5</v>
      </c>
      <c r="BA129" s="62">
        <f>VLOOKUP(Z129,Table1331[#All],2,FALSE)</f>
        <v>1</v>
      </c>
      <c r="BB129" s="61">
        <f t="shared" si="69"/>
        <v>1.5</v>
      </c>
      <c r="BC129" s="55">
        <f t="shared" si="76"/>
        <v>0</v>
      </c>
      <c r="BD129" s="43">
        <f t="shared" si="77"/>
        <v>0</v>
      </c>
      <c r="BE129" s="63">
        <f t="shared" si="78"/>
        <v>0</v>
      </c>
      <c r="BF129" s="60">
        <f t="shared" si="79"/>
        <v>0</v>
      </c>
      <c r="BG129" s="60">
        <f t="shared" si="80"/>
        <v>0</v>
      </c>
      <c r="BH129" s="60">
        <f t="shared" si="81"/>
        <v>0</v>
      </c>
      <c r="BI129" s="55">
        <f>VLOOKUP(AA129,Table1533[#All],2,FALSE)</f>
        <v>1.25</v>
      </c>
      <c r="BJ129" s="55">
        <f t="shared" si="82"/>
        <v>0</v>
      </c>
      <c r="BK129" s="43" t="str">
        <f t="shared" si="83"/>
        <v>0</v>
      </c>
      <c r="BL129" s="62">
        <f t="shared" si="67"/>
        <v>0</v>
      </c>
      <c r="CH129" s="148" t="s">
        <v>280</v>
      </c>
      <c r="CI129" s="151">
        <v>1.03</v>
      </c>
      <c r="CJ129" s="145">
        <f t="shared" si="70"/>
        <v>1.1330000000000002</v>
      </c>
      <c r="CK129" s="153">
        <v>1.5</v>
      </c>
      <c r="CL129" s="277">
        <f>(L131*H131)/12</f>
        <v>0</v>
      </c>
    </row>
    <row r="130" spans="1:90" ht="11.05" hidden="1" customHeight="1" x14ac:dyDescent="0.6">
      <c r="A130" s="42"/>
      <c r="B130" s="230"/>
      <c r="C130" s="231"/>
      <c r="D130" s="231"/>
      <c r="E130" s="232"/>
      <c r="F130" s="43"/>
      <c r="G130" s="43"/>
      <c r="H130" s="44"/>
      <c r="I130" s="45"/>
      <c r="J130" s="43"/>
      <c r="K130" s="46"/>
      <c r="L130" s="47">
        <f t="shared" si="68"/>
        <v>0</v>
      </c>
      <c r="M130" s="43"/>
      <c r="N130" s="43"/>
      <c r="O130" s="43"/>
      <c r="P130" s="46"/>
      <c r="Q130" s="47">
        <f t="shared" si="63"/>
        <v>0</v>
      </c>
      <c r="R130" s="233"/>
      <c r="S130" s="234"/>
      <c r="T130" s="230"/>
      <c r="U130" s="231"/>
      <c r="V130" s="231"/>
      <c r="W130" s="232"/>
      <c r="X130" s="235" t="str">
        <f>IFERROR(INDEX(Table3923[],MATCH(R130,Table3923[Column1],),3),"")</f>
        <v/>
      </c>
      <c r="Y130" s="235"/>
      <c r="Z130" s="48" t="s">
        <v>85</v>
      </c>
      <c r="AA130" s="48" t="s">
        <v>85</v>
      </c>
      <c r="AB130" s="49"/>
      <c r="AC130" s="50"/>
      <c r="AD130" s="51">
        <f t="shared" si="71"/>
        <v>0</v>
      </c>
      <c r="AG130" s="52">
        <f t="shared" si="45"/>
        <v>0</v>
      </c>
      <c r="AH130" s="53"/>
      <c r="AM130" s="55">
        <f t="shared" si="46"/>
        <v>0</v>
      </c>
      <c r="AN130" s="55">
        <f t="shared" si="47"/>
        <v>0</v>
      </c>
      <c r="AO130" s="55">
        <f t="shared" si="72"/>
        <v>0</v>
      </c>
      <c r="AP130" s="56">
        <f t="shared" si="73"/>
        <v>0</v>
      </c>
      <c r="AQ130" s="55" t="str">
        <f t="shared" si="64"/>
        <v>0.00</v>
      </c>
      <c r="AR130" s="55" t="str">
        <f t="shared" si="74"/>
        <v>0</v>
      </c>
      <c r="AS130" s="57">
        <f t="shared" si="65"/>
        <v>0</v>
      </c>
      <c r="AT130" s="58">
        <f t="shared" si="51"/>
        <v>0</v>
      </c>
      <c r="AU130" s="57">
        <f t="shared" si="52"/>
        <v>0</v>
      </c>
      <c r="AV130" s="59">
        <f t="shared" si="66"/>
        <v>0</v>
      </c>
      <c r="AW130" s="59">
        <f t="shared" si="53"/>
        <v>0</v>
      </c>
      <c r="AX130" s="9"/>
      <c r="AY130" s="60">
        <f t="shared" si="75"/>
        <v>0</v>
      </c>
      <c r="AZ130" s="61">
        <f>_xlfn.IFNA(INDEX(Table3923[Column4],MATCH(R130,Table3923[Column1],0)),1.5)</f>
        <v>1.5</v>
      </c>
      <c r="BA130" s="62">
        <f>VLOOKUP(Z130,Table1331[#All],2,FALSE)</f>
        <v>1</v>
      </c>
      <c r="BB130" s="61">
        <f t="shared" si="69"/>
        <v>1.5</v>
      </c>
      <c r="BC130" s="55">
        <f t="shared" si="76"/>
        <v>0</v>
      </c>
      <c r="BD130" s="43">
        <f t="shared" si="77"/>
        <v>0</v>
      </c>
      <c r="BE130" s="63">
        <f t="shared" si="78"/>
        <v>0</v>
      </c>
      <c r="BF130" s="60">
        <f t="shared" si="79"/>
        <v>0</v>
      </c>
      <c r="BG130" s="60">
        <f t="shared" si="80"/>
        <v>0</v>
      </c>
      <c r="BH130" s="60">
        <f t="shared" si="81"/>
        <v>0</v>
      </c>
      <c r="BI130" s="55">
        <f>VLOOKUP(AA130,Table1533[#All],2,FALSE)</f>
        <v>1.25</v>
      </c>
      <c r="BJ130" s="55">
        <f t="shared" si="82"/>
        <v>0</v>
      </c>
      <c r="BK130" s="43" t="str">
        <f t="shared" si="83"/>
        <v>0</v>
      </c>
      <c r="BL130" s="62">
        <f t="shared" si="67"/>
        <v>0</v>
      </c>
      <c r="CH130" s="148" t="s">
        <v>281</v>
      </c>
      <c r="CI130" s="149">
        <v>1.87</v>
      </c>
      <c r="CJ130" s="145">
        <f t="shared" si="70"/>
        <v>2.0570000000000004</v>
      </c>
      <c r="CK130" s="153">
        <v>1.5</v>
      </c>
      <c r="CL130" s="277">
        <f>(L132*H132)/12</f>
        <v>0</v>
      </c>
    </row>
    <row r="131" spans="1:90" ht="11.05" hidden="1" customHeight="1" x14ac:dyDescent="0.6">
      <c r="A131" s="42"/>
      <c r="B131" s="230"/>
      <c r="C131" s="231"/>
      <c r="D131" s="231"/>
      <c r="E131" s="232"/>
      <c r="F131" s="43"/>
      <c r="G131" s="43"/>
      <c r="H131" s="44"/>
      <c r="I131" s="45"/>
      <c r="J131" s="43"/>
      <c r="K131" s="46"/>
      <c r="L131" s="47">
        <f t="shared" si="68"/>
        <v>0</v>
      </c>
      <c r="M131" s="43"/>
      <c r="N131" s="43"/>
      <c r="O131" s="43"/>
      <c r="P131" s="46"/>
      <c r="Q131" s="47">
        <f t="shared" si="63"/>
        <v>0</v>
      </c>
      <c r="R131" s="233"/>
      <c r="S131" s="234"/>
      <c r="T131" s="230"/>
      <c r="U131" s="231"/>
      <c r="V131" s="231"/>
      <c r="W131" s="232"/>
      <c r="X131" s="235" t="str">
        <f>IFERROR(INDEX(Table3923[],MATCH(R131,Table3923[Column1],),3),"")</f>
        <v/>
      </c>
      <c r="Y131" s="235"/>
      <c r="Z131" s="48" t="s">
        <v>85</v>
      </c>
      <c r="AA131" s="48" t="s">
        <v>85</v>
      </c>
      <c r="AB131" s="49"/>
      <c r="AC131" s="50"/>
      <c r="AD131" s="51">
        <f t="shared" si="71"/>
        <v>0</v>
      </c>
      <c r="AG131" s="52">
        <f t="shared" si="45"/>
        <v>0</v>
      </c>
      <c r="AH131" s="53"/>
      <c r="AM131" s="55">
        <f t="shared" si="46"/>
        <v>0</v>
      </c>
      <c r="AN131" s="55">
        <f t="shared" si="47"/>
        <v>0</v>
      </c>
      <c r="AO131" s="55">
        <f t="shared" si="72"/>
        <v>0</v>
      </c>
      <c r="AP131" s="56">
        <f t="shared" si="73"/>
        <v>0</v>
      </c>
      <c r="AQ131" s="55" t="str">
        <f t="shared" si="64"/>
        <v>0.00</v>
      </c>
      <c r="AR131" s="55" t="str">
        <f t="shared" si="74"/>
        <v>0</v>
      </c>
      <c r="AS131" s="57">
        <f t="shared" si="65"/>
        <v>0</v>
      </c>
      <c r="AT131" s="58">
        <f t="shared" si="51"/>
        <v>0</v>
      </c>
      <c r="AU131" s="57">
        <f t="shared" si="52"/>
        <v>0</v>
      </c>
      <c r="AV131" s="59">
        <f t="shared" si="66"/>
        <v>0</v>
      </c>
      <c r="AW131" s="59">
        <f t="shared" si="53"/>
        <v>0</v>
      </c>
      <c r="AX131" s="9"/>
      <c r="AY131" s="60">
        <f t="shared" si="75"/>
        <v>0</v>
      </c>
      <c r="AZ131" s="61">
        <f>_xlfn.IFNA(INDEX(Table3923[Column4],MATCH(R131,Table3923[Column1],0)),1.5)</f>
        <v>1.5</v>
      </c>
      <c r="BA131" s="62">
        <f>VLOOKUP(Z131,Table1331[#All],2,FALSE)</f>
        <v>1</v>
      </c>
      <c r="BB131" s="61">
        <f t="shared" si="69"/>
        <v>1.5</v>
      </c>
      <c r="BC131" s="55">
        <f t="shared" si="76"/>
        <v>0</v>
      </c>
      <c r="BD131" s="43">
        <f t="shared" si="77"/>
        <v>0</v>
      </c>
      <c r="BE131" s="63">
        <f t="shared" si="78"/>
        <v>0</v>
      </c>
      <c r="BF131" s="60">
        <f t="shared" si="79"/>
        <v>0</v>
      </c>
      <c r="BG131" s="60">
        <f t="shared" si="80"/>
        <v>0</v>
      </c>
      <c r="BH131" s="60">
        <f t="shared" si="81"/>
        <v>0</v>
      </c>
      <c r="BI131" s="55">
        <f>VLOOKUP(AA131,Table1533[#All],2,FALSE)</f>
        <v>1.25</v>
      </c>
      <c r="BJ131" s="55">
        <f t="shared" si="82"/>
        <v>0</v>
      </c>
      <c r="BK131" s="43" t="str">
        <f t="shared" si="83"/>
        <v>0</v>
      </c>
      <c r="BL131" s="62">
        <f t="shared" si="67"/>
        <v>0</v>
      </c>
      <c r="CH131" s="148" t="s">
        <v>282</v>
      </c>
      <c r="CI131" s="151">
        <v>1.87</v>
      </c>
      <c r="CJ131" s="145">
        <f t="shared" si="70"/>
        <v>2.0570000000000004</v>
      </c>
      <c r="CK131" s="153">
        <v>1.5</v>
      </c>
      <c r="CL131" s="277">
        <f>(L133*H133)/12</f>
        <v>0</v>
      </c>
    </row>
    <row r="132" spans="1:90" ht="11.05" hidden="1" customHeight="1" x14ac:dyDescent="0.6">
      <c r="A132" s="42"/>
      <c r="B132" s="230"/>
      <c r="C132" s="231"/>
      <c r="D132" s="231"/>
      <c r="E132" s="232"/>
      <c r="F132" s="43"/>
      <c r="G132" s="43"/>
      <c r="H132" s="44"/>
      <c r="I132" s="45"/>
      <c r="J132" s="43"/>
      <c r="K132" s="46"/>
      <c r="L132" s="47">
        <f t="shared" si="68"/>
        <v>0</v>
      </c>
      <c r="M132" s="43"/>
      <c r="N132" s="43"/>
      <c r="O132" s="43"/>
      <c r="P132" s="46"/>
      <c r="Q132" s="47">
        <f t="shared" si="63"/>
        <v>0</v>
      </c>
      <c r="R132" s="233"/>
      <c r="S132" s="234"/>
      <c r="T132" s="230"/>
      <c r="U132" s="231"/>
      <c r="V132" s="231"/>
      <c r="W132" s="232"/>
      <c r="X132" s="235" t="str">
        <f>IFERROR(INDEX(Table3923[],MATCH(R132,Table3923[Column1],),3),"")</f>
        <v/>
      </c>
      <c r="Y132" s="235"/>
      <c r="Z132" s="48" t="s">
        <v>85</v>
      </c>
      <c r="AA132" s="48" t="s">
        <v>85</v>
      </c>
      <c r="AB132" s="49"/>
      <c r="AC132" s="50"/>
      <c r="AD132" s="51">
        <f t="shared" si="71"/>
        <v>0</v>
      </c>
      <c r="AG132" s="52">
        <f t="shared" si="45"/>
        <v>0</v>
      </c>
      <c r="AH132" s="53"/>
      <c r="AM132" s="55">
        <f t="shared" si="46"/>
        <v>0</v>
      </c>
      <c r="AN132" s="55">
        <f t="shared" si="47"/>
        <v>0</v>
      </c>
      <c r="AO132" s="55">
        <f t="shared" si="72"/>
        <v>0</v>
      </c>
      <c r="AP132" s="56">
        <f t="shared" si="73"/>
        <v>0</v>
      </c>
      <c r="AQ132" s="55" t="str">
        <f t="shared" si="64"/>
        <v>0.00</v>
      </c>
      <c r="AR132" s="55" t="str">
        <f t="shared" si="74"/>
        <v>0</v>
      </c>
      <c r="AS132" s="57">
        <f t="shared" si="65"/>
        <v>0</v>
      </c>
      <c r="AT132" s="58">
        <f t="shared" si="51"/>
        <v>0</v>
      </c>
      <c r="AU132" s="57">
        <f t="shared" si="52"/>
        <v>0</v>
      </c>
      <c r="AV132" s="59">
        <f t="shared" si="66"/>
        <v>0</v>
      </c>
      <c r="AW132" s="59">
        <f t="shared" si="53"/>
        <v>0</v>
      </c>
      <c r="AX132" s="9"/>
      <c r="AY132" s="60">
        <f t="shared" si="75"/>
        <v>0</v>
      </c>
      <c r="AZ132" s="61">
        <f>_xlfn.IFNA(INDEX(Table3923[Column4],MATCH(R132,Table3923[Column1],0)),1.5)</f>
        <v>1.5</v>
      </c>
      <c r="BA132" s="62">
        <f>VLOOKUP(Z132,Table1331[#All],2,FALSE)</f>
        <v>1</v>
      </c>
      <c r="BB132" s="61">
        <f t="shared" si="69"/>
        <v>1.5</v>
      </c>
      <c r="BC132" s="55">
        <f t="shared" si="76"/>
        <v>0</v>
      </c>
      <c r="BD132" s="43">
        <f t="shared" si="77"/>
        <v>0</v>
      </c>
      <c r="BE132" s="63">
        <f t="shared" si="78"/>
        <v>0</v>
      </c>
      <c r="BF132" s="60">
        <f t="shared" si="79"/>
        <v>0</v>
      </c>
      <c r="BG132" s="60">
        <f t="shared" si="80"/>
        <v>0</v>
      </c>
      <c r="BH132" s="60">
        <f t="shared" si="81"/>
        <v>0</v>
      </c>
      <c r="BI132" s="55">
        <f>VLOOKUP(AA132,Table1533[#All],2,FALSE)</f>
        <v>1.25</v>
      </c>
      <c r="BJ132" s="55">
        <f t="shared" si="82"/>
        <v>0</v>
      </c>
      <c r="BK132" s="43" t="str">
        <f t="shared" si="83"/>
        <v>0</v>
      </c>
      <c r="BL132" s="62">
        <f t="shared" si="67"/>
        <v>0</v>
      </c>
      <c r="CH132" s="148" t="s">
        <v>283</v>
      </c>
      <c r="CI132" s="149">
        <v>1.87</v>
      </c>
      <c r="CJ132" s="145">
        <f t="shared" si="70"/>
        <v>2.0570000000000004</v>
      </c>
      <c r="CK132" s="153">
        <v>1.5</v>
      </c>
      <c r="CL132" s="277">
        <f>(L134*H134)/12</f>
        <v>0</v>
      </c>
    </row>
    <row r="133" spans="1:90" ht="11.05" hidden="1" customHeight="1" x14ac:dyDescent="0.6">
      <c r="A133" s="42"/>
      <c r="B133" s="230"/>
      <c r="C133" s="231"/>
      <c r="D133" s="231"/>
      <c r="E133" s="232"/>
      <c r="F133" s="43"/>
      <c r="G133" s="43"/>
      <c r="H133" s="44"/>
      <c r="I133" s="45"/>
      <c r="J133" s="43"/>
      <c r="K133" s="46"/>
      <c r="L133" s="47">
        <f t="shared" si="68"/>
        <v>0</v>
      </c>
      <c r="M133" s="43"/>
      <c r="N133" s="43"/>
      <c r="O133" s="43"/>
      <c r="P133" s="46"/>
      <c r="Q133" s="47">
        <f t="shared" si="63"/>
        <v>0</v>
      </c>
      <c r="R133" s="233"/>
      <c r="S133" s="234"/>
      <c r="T133" s="230"/>
      <c r="U133" s="231"/>
      <c r="V133" s="231"/>
      <c r="W133" s="232"/>
      <c r="X133" s="235" t="str">
        <f>IFERROR(INDEX(Table3923[],MATCH(R133,Table3923[Column1],),3),"")</f>
        <v/>
      </c>
      <c r="Y133" s="235"/>
      <c r="Z133" s="48" t="s">
        <v>85</v>
      </c>
      <c r="AA133" s="48" t="s">
        <v>85</v>
      </c>
      <c r="AB133" s="49"/>
      <c r="AC133" s="50"/>
      <c r="AD133" s="51">
        <f t="shared" si="71"/>
        <v>0</v>
      </c>
      <c r="AG133" s="52">
        <f t="shared" si="45"/>
        <v>0</v>
      </c>
      <c r="AH133" s="53"/>
      <c r="AM133" s="55">
        <f t="shared" si="46"/>
        <v>0</v>
      </c>
      <c r="AN133" s="55">
        <f t="shared" si="47"/>
        <v>0</v>
      </c>
      <c r="AO133" s="55">
        <f t="shared" si="72"/>
        <v>0</v>
      </c>
      <c r="AP133" s="56">
        <f t="shared" si="73"/>
        <v>0</v>
      </c>
      <c r="AQ133" s="55" t="str">
        <f t="shared" si="64"/>
        <v>0.00</v>
      </c>
      <c r="AR133" s="55" t="str">
        <f t="shared" si="74"/>
        <v>0</v>
      </c>
      <c r="AS133" s="57">
        <f t="shared" si="65"/>
        <v>0</v>
      </c>
      <c r="AT133" s="58">
        <f t="shared" si="51"/>
        <v>0</v>
      </c>
      <c r="AU133" s="57">
        <f t="shared" si="52"/>
        <v>0</v>
      </c>
      <c r="AV133" s="59">
        <f t="shared" si="66"/>
        <v>0</v>
      </c>
      <c r="AW133" s="59">
        <f t="shared" si="53"/>
        <v>0</v>
      </c>
      <c r="AX133" s="9"/>
      <c r="AY133" s="60">
        <f t="shared" si="75"/>
        <v>0</v>
      </c>
      <c r="AZ133" s="61">
        <f>_xlfn.IFNA(INDEX(Table3923[Column4],MATCH(R133,Table3923[Column1],0)),1.5)</f>
        <v>1.5</v>
      </c>
      <c r="BA133" s="62">
        <f>VLOOKUP(Z133,Table1331[#All],2,FALSE)</f>
        <v>1</v>
      </c>
      <c r="BB133" s="61">
        <f t="shared" si="69"/>
        <v>1.5</v>
      </c>
      <c r="BC133" s="55">
        <f t="shared" si="76"/>
        <v>0</v>
      </c>
      <c r="BD133" s="43">
        <f t="shared" si="77"/>
        <v>0</v>
      </c>
      <c r="BE133" s="63">
        <f t="shared" si="78"/>
        <v>0</v>
      </c>
      <c r="BF133" s="60">
        <f t="shared" si="79"/>
        <v>0</v>
      </c>
      <c r="BG133" s="60">
        <f t="shared" si="80"/>
        <v>0</v>
      </c>
      <c r="BH133" s="60">
        <f t="shared" si="81"/>
        <v>0</v>
      </c>
      <c r="BI133" s="55">
        <f>VLOOKUP(AA133,Table1533[#All],2,FALSE)</f>
        <v>1.25</v>
      </c>
      <c r="BJ133" s="55">
        <f t="shared" si="82"/>
        <v>0</v>
      </c>
      <c r="BK133" s="43" t="str">
        <f t="shared" si="83"/>
        <v>0</v>
      </c>
      <c r="BL133" s="62">
        <f t="shared" si="67"/>
        <v>0</v>
      </c>
      <c r="CH133" s="148" t="s">
        <v>284</v>
      </c>
      <c r="CI133" s="151">
        <v>1.87</v>
      </c>
      <c r="CJ133" s="145">
        <f t="shared" si="70"/>
        <v>2.0570000000000004</v>
      </c>
      <c r="CK133" s="153">
        <v>1.5</v>
      </c>
      <c r="CL133" s="277">
        <f>(L135*H135)/12</f>
        <v>0</v>
      </c>
    </row>
    <row r="134" spans="1:90" ht="11.05" hidden="1" customHeight="1" x14ac:dyDescent="0.6">
      <c r="A134" s="42"/>
      <c r="B134" s="230"/>
      <c r="C134" s="231"/>
      <c r="D134" s="231"/>
      <c r="E134" s="232"/>
      <c r="F134" s="43"/>
      <c r="G134" s="43"/>
      <c r="H134" s="44"/>
      <c r="I134" s="45"/>
      <c r="J134" s="43"/>
      <c r="K134" s="46"/>
      <c r="L134" s="47">
        <f t="shared" si="68"/>
        <v>0</v>
      </c>
      <c r="M134" s="43"/>
      <c r="N134" s="43"/>
      <c r="O134" s="43"/>
      <c r="P134" s="46"/>
      <c r="Q134" s="47">
        <f t="shared" si="63"/>
        <v>0</v>
      </c>
      <c r="R134" s="233"/>
      <c r="S134" s="234"/>
      <c r="T134" s="230"/>
      <c r="U134" s="231"/>
      <c r="V134" s="231"/>
      <c r="W134" s="232"/>
      <c r="X134" s="235" t="str">
        <f>IFERROR(INDEX(Table3923[],MATCH(R134,Table3923[Column1],),3),"")</f>
        <v/>
      </c>
      <c r="Y134" s="235"/>
      <c r="Z134" s="48" t="s">
        <v>85</v>
      </c>
      <c r="AA134" s="48" t="s">
        <v>85</v>
      </c>
      <c r="AB134" s="49"/>
      <c r="AC134" s="50"/>
      <c r="AD134" s="51">
        <f t="shared" si="71"/>
        <v>0</v>
      </c>
      <c r="AG134" s="52">
        <f t="shared" si="45"/>
        <v>0</v>
      </c>
      <c r="AH134" s="53"/>
      <c r="AM134" s="55">
        <f t="shared" si="46"/>
        <v>0</v>
      </c>
      <c r="AN134" s="55">
        <f t="shared" si="47"/>
        <v>0</v>
      </c>
      <c r="AO134" s="55">
        <f t="shared" si="72"/>
        <v>0</v>
      </c>
      <c r="AP134" s="56">
        <f t="shared" si="73"/>
        <v>0</v>
      </c>
      <c r="AQ134" s="55" t="str">
        <f t="shared" si="64"/>
        <v>0.00</v>
      </c>
      <c r="AR134" s="55" t="str">
        <f t="shared" si="74"/>
        <v>0</v>
      </c>
      <c r="AS134" s="57">
        <f t="shared" si="65"/>
        <v>0</v>
      </c>
      <c r="AT134" s="58">
        <f t="shared" si="51"/>
        <v>0</v>
      </c>
      <c r="AU134" s="57">
        <f t="shared" si="52"/>
        <v>0</v>
      </c>
      <c r="AV134" s="59">
        <f t="shared" si="66"/>
        <v>0</v>
      </c>
      <c r="AW134" s="59">
        <f t="shared" si="53"/>
        <v>0</v>
      </c>
      <c r="AX134" s="9"/>
      <c r="AY134" s="60">
        <f t="shared" si="75"/>
        <v>0</v>
      </c>
      <c r="AZ134" s="61">
        <f>_xlfn.IFNA(INDEX(Table3923[Column4],MATCH(R134,Table3923[Column1],0)),1.5)</f>
        <v>1.5</v>
      </c>
      <c r="BA134" s="62">
        <f>VLOOKUP(Z134,Table1331[#All],2,FALSE)</f>
        <v>1</v>
      </c>
      <c r="BB134" s="61">
        <f t="shared" si="69"/>
        <v>1.5</v>
      </c>
      <c r="BC134" s="55">
        <f t="shared" si="76"/>
        <v>0</v>
      </c>
      <c r="BD134" s="43">
        <f t="shared" si="77"/>
        <v>0</v>
      </c>
      <c r="BE134" s="63">
        <f t="shared" si="78"/>
        <v>0</v>
      </c>
      <c r="BF134" s="60">
        <f t="shared" si="79"/>
        <v>0</v>
      </c>
      <c r="BG134" s="60">
        <f t="shared" si="80"/>
        <v>0</v>
      </c>
      <c r="BH134" s="60">
        <f t="shared" si="81"/>
        <v>0</v>
      </c>
      <c r="BI134" s="55">
        <f>VLOOKUP(AA134,Table1533[#All],2,FALSE)</f>
        <v>1.25</v>
      </c>
      <c r="BJ134" s="55">
        <f t="shared" si="82"/>
        <v>0</v>
      </c>
      <c r="BK134" s="43" t="str">
        <f t="shared" si="83"/>
        <v>0</v>
      </c>
      <c r="BL134" s="62">
        <f t="shared" si="67"/>
        <v>0</v>
      </c>
      <c r="CH134" s="148" t="s">
        <v>285</v>
      </c>
      <c r="CI134" s="149">
        <v>1.56</v>
      </c>
      <c r="CJ134" s="145">
        <f t="shared" si="70"/>
        <v>1.7160000000000002</v>
      </c>
      <c r="CK134" s="153">
        <v>1.5</v>
      </c>
      <c r="CL134" s="277">
        <f>(L136*H136)/12</f>
        <v>0</v>
      </c>
    </row>
    <row r="135" spans="1:90" ht="11.05" hidden="1" customHeight="1" x14ac:dyDescent="0.6">
      <c r="A135" s="42"/>
      <c r="B135" s="230"/>
      <c r="C135" s="231"/>
      <c r="D135" s="231"/>
      <c r="E135" s="232"/>
      <c r="F135" s="43"/>
      <c r="G135" s="43"/>
      <c r="H135" s="44"/>
      <c r="I135" s="45"/>
      <c r="J135" s="43"/>
      <c r="K135" s="46"/>
      <c r="L135" s="47">
        <f t="shared" si="68"/>
        <v>0</v>
      </c>
      <c r="M135" s="43"/>
      <c r="N135" s="43"/>
      <c r="O135" s="43"/>
      <c r="P135" s="46"/>
      <c r="Q135" s="47">
        <f t="shared" si="63"/>
        <v>0</v>
      </c>
      <c r="R135" s="233"/>
      <c r="S135" s="234"/>
      <c r="T135" s="230"/>
      <c r="U135" s="231"/>
      <c r="V135" s="231"/>
      <c r="W135" s="232"/>
      <c r="X135" s="235" t="str">
        <f>IFERROR(INDEX(Table3923[],MATCH(R135,Table3923[Column1],),3),"")</f>
        <v/>
      </c>
      <c r="Y135" s="235"/>
      <c r="Z135" s="48" t="s">
        <v>85</v>
      </c>
      <c r="AA135" s="48" t="s">
        <v>85</v>
      </c>
      <c r="AB135" s="49"/>
      <c r="AC135" s="50"/>
      <c r="AD135" s="51">
        <f t="shared" ref="AD135:AD157" si="84">SUM(AV135+AW135)</f>
        <v>0</v>
      </c>
      <c r="AG135" s="52">
        <f t="shared" ref="AG135:AG157" si="85">(((I135*2)+(J135*2))*K135)/12</f>
        <v>0</v>
      </c>
      <c r="AH135" s="53"/>
      <c r="AM135" s="55">
        <f t="shared" ref="AM135:AM157" si="86">IFERROR((Q135*X135),0)</f>
        <v>0</v>
      </c>
      <c r="AN135" s="55">
        <f t="shared" ref="AN135:AN157" si="87">IFERROR((AY135/$B$158)*$X$4,0)</f>
        <v>0</v>
      </c>
      <c r="AO135" s="55">
        <f t="shared" ref="AO135:AO157" si="88">BC135+BJ135+BE135</f>
        <v>0</v>
      </c>
      <c r="AP135" s="56">
        <f t="shared" ref="AP135:AP157" si="89">(($AB$4*$AJ$7)+($AC$2*$AJ$7))*BL135</f>
        <v>0</v>
      </c>
      <c r="AQ135" s="55" t="str">
        <f t="shared" si="64"/>
        <v>0.00</v>
      </c>
      <c r="AR135" s="55" t="str">
        <f t="shared" ref="AR135:AR157" si="90">IF($Z$2="No","0",(((AP135/$AJ$7)+BF135+BH135)*$AJ$13)-(AP135+BC135+BE135+BJ135))</f>
        <v>0</v>
      </c>
      <c r="AS135" s="57">
        <f t="shared" si="65"/>
        <v>0</v>
      </c>
      <c r="AT135" s="58">
        <f t="shared" ref="AT135:AT157" si="91">AD135*$AB$163</f>
        <v>0</v>
      </c>
      <c r="AU135" s="57">
        <f t="shared" ref="AU135:AU157" si="92">AD135-AV135-AT135-AS135</f>
        <v>0</v>
      </c>
      <c r="AV135" s="59">
        <f t="shared" si="66"/>
        <v>0</v>
      </c>
      <c r="AW135" s="59">
        <f t="shared" ref="AW135:AW157" si="93">AV135*$AB$167</f>
        <v>0</v>
      </c>
      <c r="AX135" s="9"/>
      <c r="AY135" s="60">
        <f t="shared" ref="AY135:AY157" si="94">IF(R135="removal only",0,((I135*J135*K135)/144))</f>
        <v>0</v>
      </c>
      <c r="AZ135" s="61">
        <f>_xlfn.IFNA(INDEX(Table3923[Column4],MATCH(R135,Table3923[Column1],0)),1.5)</f>
        <v>1.5</v>
      </c>
      <c r="BA135" s="62">
        <f>VLOOKUP(Z135,Table1331[#All],2,FALSE)</f>
        <v>1</v>
      </c>
      <c r="BB135" s="61">
        <f t="shared" si="69"/>
        <v>1.5</v>
      </c>
      <c r="BC135" s="55">
        <f t="shared" ref="BC135:BC157" si="95">IF(R135="removal only",0,(AY135*BB135))</f>
        <v>0</v>
      </c>
      <c r="BD135" s="43">
        <f t="shared" ref="BD135:BD157" si="96">IF(R135="removal only",0,K135)</f>
        <v>0</v>
      </c>
      <c r="BE135" s="63">
        <f t="shared" ref="BE135:BE157" si="97">(AB135/60)*$AJ$7</f>
        <v>0</v>
      </c>
      <c r="BF135" s="60">
        <f t="shared" ref="BF135:BF157" si="98">IF(R135="removal only",0,(BC135+BE135)/$AJ$7)</f>
        <v>0</v>
      </c>
      <c r="BG135" s="60">
        <f t="shared" ref="BG135:BG157" si="99">IF(H135="Yes",((I135*J135*K135)/144),0)</f>
        <v>0</v>
      </c>
      <c r="BH135" s="60">
        <f t="shared" ref="BH135:BH157" si="100">IF(BG135="0",0,BJ135/$AJ$7)</f>
        <v>0</v>
      </c>
      <c r="BI135" s="55">
        <f>VLOOKUP(AA135,Table1533[#All],2,FALSE)</f>
        <v>1.25</v>
      </c>
      <c r="BJ135" s="55">
        <f t="shared" ref="BJ135:BJ157" si="101">IF(H135="Yes",BG135*BI135,0)</f>
        <v>0</v>
      </c>
      <c r="BK135" s="43" t="str">
        <f t="shared" ref="BK135:BK157" si="102">IF(H135="Yes",K135,"0")</f>
        <v>0</v>
      </c>
      <c r="BL135" s="62">
        <f t="shared" si="67"/>
        <v>0</v>
      </c>
      <c r="CH135" s="148" t="s">
        <v>286</v>
      </c>
      <c r="CI135" s="151">
        <v>1.56</v>
      </c>
      <c r="CJ135" s="145">
        <f t="shared" si="70"/>
        <v>1.7160000000000002</v>
      </c>
      <c r="CK135" s="153">
        <v>1.5</v>
      </c>
      <c r="CL135" s="277">
        <f>(L137*H137)/12</f>
        <v>0</v>
      </c>
    </row>
    <row r="136" spans="1:90" ht="11.05" hidden="1" customHeight="1" x14ac:dyDescent="0.6">
      <c r="A136" s="42"/>
      <c r="B136" s="230"/>
      <c r="C136" s="231"/>
      <c r="D136" s="231"/>
      <c r="E136" s="232"/>
      <c r="F136" s="43"/>
      <c r="G136" s="43"/>
      <c r="H136" s="44"/>
      <c r="I136" s="45"/>
      <c r="J136" s="43"/>
      <c r="K136" s="46"/>
      <c r="L136" s="47">
        <f t="shared" si="68"/>
        <v>0</v>
      </c>
      <c r="M136" s="43"/>
      <c r="N136" s="43"/>
      <c r="O136" s="43"/>
      <c r="P136" s="46"/>
      <c r="Q136" s="47">
        <f t="shared" ref="Q136:Q157" si="103">IF(P136&lt;&gt;"",M136*O136*P136/144,L136*(1+$Q$5))</f>
        <v>0</v>
      </c>
      <c r="R136" s="233"/>
      <c r="S136" s="234"/>
      <c r="T136" s="230"/>
      <c r="U136" s="231"/>
      <c r="V136" s="231"/>
      <c r="W136" s="232"/>
      <c r="X136" s="235" t="str">
        <f>IFERROR(INDEX(Table3923[],MATCH(R136,Table3923[Column1],),3),"")</f>
        <v/>
      </c>
      <c r="Y136" s="235"/>
      <c r="Z136" s="48" t="s">
        <v>85</v>
      </c>
      <c r="AA136" s="48" t="s">
        <v>85</v>
      </c>
      <c r="AB136" s="49"/>
      <c r="AC136" s="50"/>
      <c r="AD136" s="51">
        <f t="shared" si="84"/>
        <v>0</v>
      </c>
      <c r="AG136" s="52">
        <f t="shared" si="85"/>
        <v>0</v>
      </c>
      <c r="AH136" s="53"/>
      <c r="AM136" s="55">
        <f t="shared" si="86"/>
        <v>0</v>
      </c>
      <c r="AN136" s="55">
        <f t="shared" si="87"/>
        <v>0</v>
      </c>
      <c r="AO136" s="55">
        <f t="shared" si="88"/>
        <v>0</v>
      </c>
      <c r="AP136" s="56">
        <f t="shared" si="89"/>
        <v>0</v>
      </c>
      <c r="AQ136" s="55" t="str">
        <f t="shared" ref="AQ136:AQ157" si="104">IF(AND($X$2="Yes", $Z$2="No"), ((AO136+AP136)*0.25),"0.00")</f>
        <v>0.00</v>
      </c>
      <c r="AR136" s="55" t="str">
        <f t="shared" si="90"/>
        <v>0</v>
      </c>
      <c r="AS136" s="57">
        <f t="shared" ref="AS136:AS157" si="105">((AO136+AP136)/$AJ$7)*$AJ$10</f>
        <v>0</v>
      </c>
      <c r="AT136" s="58">
        <f t="shared" si="91"/>
        <v>0</v>
      </c>
      <c r="AU136" s="57">
        <f t="shared" si="92"/>
        <v>0</v>
      </c>
      <c r="AV136" s="59">
        <f t="shared" ref="AV136:AV157" si="106">SUM(AM136+AN136+AO136+AP136+AQ136+AR136)</f>
        <v>0</v>
      </c>
      <c r="AW136" s="59">
        <f t="shared" si="93"/>
        <v>0</v>
      </c>
      <c r="AX136" s="9"/>
      <c r="AY136" s="60">
        <f t="shared" si="94"/>
        <v>0</v>
      </c>
      <c r="AZ136" s="61">
        <f>_xlfn.IFNA(INDEX(Table3923[Column4],MATCH(R136,Table3923[Column1],0)),1.5)</f>
        <v>1.5</v>
      </c>
      <c r="BA136" s="62">
        <f>VLOOKUP(Z136,Table1331[#All],2,FALSE)</f>
        <v>1</v>
      </c>
      <c r="BB136" s="61">
        <f t="shared" si="69"/>
        <v>1.5</v>
      </c>
      <c r="BC136" s="55">
        <f t="shared" si="95"/>
        <v>0</v>
      </c>
      <c r="BD136" s="43">
        <f t="shared" si="96"/>
        <v>0</v>
      </c>
      <c r="BE136" s="63">
        <f t="shared" si="97"/>
        <v>0</v>
      </c>
      <c r="BF136" s="60">
        <f t="shared" si="98"/>
        <v>0</v>
      </c>
      <c r="BG136" s="60">
        <f t="shared" si="99"/>
        <v>0</v>
      </c>
      <c r="BH136" s="60">
        <f t="shared" si="100"/>
        <v>0</v>
      </c>
      <c r="BI136" s="55">
        <f>VLOOKUP(AA136,Table1533[#All],2,FALSE)</f>
        <v>1.25</v>
      </c>
      <c r="BJ136" s="55">
        <f t="shared" si="101"/>
        <v>0</v>
      </c>
      <c r="BK136" s="43" t="str">
        <f t="shared" si="102"/>
        <v>0</v>
      </c>
      <c r="BL136" s="62">
        <f t="shared" ref="BL136:BL157" si="107">IFERROR((BF136+BH136)/($S$158-$AB$4-$AC$2),0)</f>
        <v>0</v>
      </c>
      <c r="CH136" s="148" t="s">
        <v>287</v>
      </c>
      <c r="CI136" s="149">
        <v>1.56</v>
      </c>
      <c r="CJ136" s="145">
        <f t="shared" si="70"/>
        <v>1.7160000000000002</v>
      </c>
      <c r="CK136" s="153">
        <v>1.5</v>
      </c>
      <c r="CL136" s="277">
        <f>(L138*H138)/12</f>
        <v>0</v>
      </c>
    </row>
    <row r="137" spans="1:90" ht="11.05" hidden="1" customHeight="1" x14ac:dyDescent="0.6">
      <c r="A137" s="42"/>
      <c r="B137" s="230"/>
      <c r="C137" s="231"/>
      <c r="D137" s="231"/>
      <c r="E137" s="232"/>
      <c r="F137" s="43"/>
      <c r="G137" s="43"/>
      <c r="H137" s="44"/>
      <c r="I137" s="45"/>
      <c r="J137" s="43"/>
      <c r="K137" s="46"/>
      <c r="L137" s="47">
        <f t="shared" si="68"/>
        <v>0</v>
      </c>
      <c r="M137" s="43"/>
      <c r="N137" s="43"/>
      <c r="O137" s="43"/>
      <c r="P137" s="46"/>
      <c r="Q137" s="47">
        <f t="shared" si="103"/>
        <v>0</v>
      </c>
      <c r="R137" s="233"/>
      <c r="S137" s="234"/>
      <c r="T137" s="230"/>
      <c r="U137" s="231"/>
      <c r="V137" s="231"/>
      <c r="W137" s="232"/>
      <c r="X137" s="235" t="str">
        <f>IFERROR(INDEX(Table3923[],MATCH(R137,Table3923[Column1],),3),"")</f>
        <v/>
      </c>
      <c r="Y137" s="235"/>
      <c r="Z137" s="48" t="s">
        <v>85</v>
      </c>
      <c r="AA137" s="48" t="s">
        <v>85</v>
      </c>
      <c r="AB137" s="49"/>
      <c r="AC137" s="50"/>
      <c r="AD137" s="51">
        <f t="shared" si="84"/>
        <v>0</v>
      </c>
      <c r="AG137" s="52">
        <f t="shared" si="85"/>
        <v>0</v>
      </c>
      <c r="AH137" s="53"/>
      <c r="AM137" s="55">
        <f t="shared" si="86"/>
        <v>0</v>
      </c>
      <c r="AN137" s="55">
        <f t="shared" si="87"/>
        <v>0</v>
      </c>
      <c r="AO137" s="55">
        <f t="shared" si="88"/>
        <v>0</v>
      </c>
      <c r="AP137" s="56">
        <f t="shared" si="89"/>
        <v>0</v>
      </c>
      <c r="AQ137" s="55" t="str">
        <f t="shared" si="104"/>
        <v>0.00</v>
      </c>
      <c r="AR137" s="55" t="str">
        <f t="shared" si="90"/>
        <v>0</v>
      </c>
      <c r="AS137" s="57">
        <f t="shared" si="105"/>
        <v>0</v>
      </c>
      <c r="AT137" s="58">
        <f t="shared" si="91"/>
        <v>0</v>
      </c>
      <c r="AU137" s="57">
        <f t="shared" si="92"/>
        <v>0</v>
      </c>
      <c r="AV137" s="59">
        <f t="shared" si="106"/>
        <v>0</v>
      </c>
      <c r="AW137" s="59">
        <f t="shared" si="93"/>
        <v>0</v>
      </c>
      <c r="AX137" s="9"/>
      <c r="AY137" s="60">
        <f t="shared" si="94"/>
        <v>0</v>
      </c>
      <c r="AZ137" s="61">
        <f>_xlfn.IFNA(INDEX(Table3923[Column4],MATCH(R137,Table3923[Column1],0)),1.5)</f>
        <v>1.5</v>
      </c>
      <c r="BA137" s="62">
        <f>VLOOKUP(Z137,Table1331[#All],2,FALSE)</f>
        <v>1</v>
      </c>
      <c r="BB137" s="61">
        <f t="shared" si="69"/>
        <v>1.5</v>
      </c>
      <c r="BC137" s="55">
        <f t="shared" si="95"/>
        <v>0</v>
      </c>
      <c r="BD137" s="43">
        <f t="shared" si="96"/>
        <v>0</v>
      </c>
      <c r="BE137" s="63">
        <f t="shared" si="97"/>
        <v>0</v>
      </c>
      <c r="BF137" s="60">
        <f t="shared" si="98"/>
        <v>0</v>
      </c>
      <c r="BG137" s="60">
        <f t="shared" si="99"/>
        <v>0</v>
      </c>
      <c r="BH137" s="60">
        <f t="shared" si="100"/>
        <v>0</v>
      </c>
      <c r="BI137" s="55">
        <f>VLOOKUP(AA137,Table1533[#All],2,FALSE)</f>
        <v>1.25</v>
      </c>
      <c r="BJ137" s="55">
        <f t="shared" si="101"/>
        <v>0</v>
      </c>
      <c r="BK137" s="43" t="str">
        <f t="shared" si="102"/>
        <v>0</v>
      </c>
      <c r="BL137" s="62">
        <f t="shared" si="107"/>
        <v>0</v>
      </c>
      <c r="CH137" s="148" t="s">
        <v>288</v>
      </c>
      <c r="CI137" s="151">
        <v>1.75</v>
      </c>
      <c r="CJ137" s="145">
        <f t="shared" si="70"/>
        <v>1.9250000000000003</v>
      </c>
      <c r="CK137" s="153">
        <v>1.5</v>
      </c>
      <c r="CL137" s="277">
        <f>(L139*H139)/12</f>
        <v>0</v>
      </c>
    </row>
    <row r="138" spans="1:90" ht="11.05" hidden="1" customHeight="1" x14ac:dyDescent="0.6">
      <c r="A138" s="42"/>
      <c r="B138" s="230"/>
      <c r="C138" s="231"/>
      <c r="D138" s="231"/>
      <c r="E138" s="232"/>
      <c r="F138" s="43"/>
      <c r="G138" s="43"/>
      <c r="H138" s="44"/>
      <c r="I138" s="45"/>
      <c r="J138" s="43"/>
      <c r="K138" s="46"/>
      <c r="L138" s="47">
        <f t="shared" si="68"/>
        <v>0</v>
      </c>
      <c r="M138" s="43"/>
      <c r="N138" s="43"/>
      <c r="O138" s="43"/>
      <c r="P138" s="46"/>
      <c r="Q138" s="47">
        <f t="shared" si="103"/>
        <v>0</v>
      </c>
      <c r="R138" s="233"/>
      <c r="S138" s="234"/>
      <c r="T138" s="230"/>
      <c r="U138" s="231"/>
      <c r="V138" s="231"/>
      <c r="W138" s="232"/>
      <c r="X138" s="235" t="str">
        <f>IFERROR(INDEX(Table3923[],MATCH(R138,Table3923[Column1],),3),"")</f>
        <v/>
      </c>
      <c r="Y138" s="235"/>
      <c r="Z138" s="48" t="s">
        <v>85</v>
      </c>
      <c r="AA138" s="48" t="s">
        <v>85</v>
      </c>
      <c r="AB138" s="49"/>
      <c r="AC138" s="50"/>
      <c r="AD138" s="51">
        <f t="shared" si="84"/>
        <v>0</v>
      </c>
      <c r="AG138" s="52">
        <f t="shared" si="85"/>
        <v>0</v>
      </c>
      <c r="AH138" s="53"/>
      <c r="AM138" s="55">
        <f t="shared" si="86"/>
        <v>0</v>
      </c>
      <c r="AN138" s="55">
        <f t="shared" si="87"/>
        <v>0</v>
      </c>
      <c r="AO138" s="55">
        <f t="shared" si="88"/>
        <v>0</v>
      </c>
      <c r="AP138" s="56">
        <f t="shared" si="89"/>
        <v>0</v>
      </c>
      <c r="AQ138" s="55" t="str">
        <f t="shared" si="104"/>
        <v>0.00</v>
      </c>
      <c r="AR138" s="55" t="str">
        <f t="shared" si="90"/>
        <v>0</v>
      </c>
      <c r="AS138" s="57">
        <f t="shared" si="105"/>
        <v>0</v>
      </c>
      <c r="AT138" s="58">
        <f t="shared" si="91"/>
        <v>0</v>
      </c>
      <c r="AU138" s="57">
        <f t="shared" si="92"/>
        <v>0</v>
      </c>
      <c r="AV138" s="59">
        <f t="shared" si="106"/>
        <v>0</v>
      </c>
      <c r="AW138" s="59">
        <f t="shared" si="93"/>
        <v>0</v>
      </c>
      <c r="AX138" s="9"/>
      <c r="AY138" s="60">
        <f t="shared" si="94"/>
        <v>0</v>
      </c>
      <c r="AZ138" s="61">
        <f>_xlfn.IFNA(INDEX(Table3923[Column4],MATCH(R138,Table3923[Column1],0)),1.5)</f>
        <v>1.5</v>
      </c>
      <c r="BA138" s="62">
        <f>VLOOKUP(Z138,Table1331[#All],2,FALSE)</f>
        <v>1</v>
      </c>
      <c r="BB138" s="61">
        <f t="shared" si="69"/>
        <v>1.5</v>
      </c>
      <c r="BC138" s="55">
        <f t="shared" si="95"/>
        <v>0</v>
      </c>
      <c r="BD138" s="43">
        <f t="shared" si="96"/>
        <v>0</v>
      </c>
      <c r="BE138" s="63">
        <f t="shared" si="97"/>
        <v>0</v>
      </c>
      <c r="BF138" s="60">
        <f t="shared" si="98"/>
        <v>0</v>
      </c>
      <c r="BG138" s="60">
        <f t="shared" si="99"/>
        <v>0</v>
      </c>
      <c r="BH138" s="60">
        <f t="shared" si="100"/>
        <v>0</v>
      </c>
      <c r="BI138" s="55">
        <f>VLOOKUP(AA138,Table1533[#All],2,FALSE)</f>
        <v>1.25</v>
      </c>
      <c r="BJ138" s="55">
        <f t="shared" si="101"/>
        <v>0</v>
      </c>
      <c r="BK138" s="43" t="str">
        <f t="shared" si="102"/>
        <v>0</v>
      </c>
      <c r="BL138" s="62">
        <f t="shared" si="107"/>
        <v>0</v>
      </c>
      <c r="CH138" s="148" t="s">
        <v>289</v>
      </c>
      <c r="CI138" s="149">
        <v>1.69</v>
      </c>
      <c r="CJ138" s="145">
        <f t="shared" si="70"/>
        <v>1.859</v>
      </c>
      <c r="CK138" s="153">
        <v>1.5</v>
      </c>
      <c r="CL138" s="277">
        <f>(L140*H140)/12</f>
        <v>0</v>
      </c>
    </row>
    <row r="139" spans="1:90" ht="11.05" hidden="1" customHeight="1" x14ac:dyDescent="0.6">
      <c r="A139" s="42"/>
      <c r="B139" s="230"/>
      <c r="C139" s="231"/>
      <c r="D139" s="231"/>
      <c r="E139" s="232"/>
      <c r="F139" s="43"/>
      <c r="G139" s="43"/>
      <c r="H139" s="44"/>
      <c r="I139" s="45"/>
      <c r="J139" s="43"/>
      <c r="K139" s="46"/>
      <c r="L139" s="47">
        <f t="shared" si="68"/>
        <v>0</v>
      </c>
      <c r="M139" s="43"/>
      <c r="N139" s="43"/>
      <c r="O139" s="43"/>
      <c r="P139" s="46"/>
      <c r="Q139" s="47">
        <f t="shared" si="103"/>
        <v>0</v>
      </c>
      <c r="R139" s="233"/>
      <c r="S139" s="234"/>
      <c r="T139" s="230"/>
      <c r="U139" s="231"/>
      <c r="V139" s="231"/>
      <c r="W139" s="232"/>
      <c r="X139" s="235" t="str">
        <f>IFERROR(INDEX(Table3923[],MATCH(R139,Table3923[Column1],),3),"")</f>
        <v/>
      </c>
      <c r="Y139" s="235"/>
      <c r="Z139" s="48" t="s">
        <v>85</v>
      </c>
      <c r="AA139" s="48" t="s">
        <v>85</v>
      </c>
      <c r="AB139" s="49"/>
      <c r="AC139" s="50"/>
      <c r="AD139" s="51">
        <f t="shared" si="84"/>
        <v>0</v>
      </c>
      <c r="AG139" s="52">
        <f t="shared" si="85"/>
        <v>0</v>
      </c>
      <c r="AH139" s="53"/>
      <c r="AM139" s="55">
        <f t="shared" si="86"/>
        <v>0</v>
      </c>
      <c r="AN139" s="55">
        <f t="shared" si="87"/>
        <v>0</v>
      </c>
      <c r="AO139" s="55">
        <f t="shared" si="88"/>
        <v>0</v>
      </c>
      <c r="AP139" s="56">
        <f t="shared" si="89"/>
        <v>0</v>
      </c>
      <c r="AQ139" s="55" t="str">
        <f t="shared" si="104"/>
        <v>0.00</v>
      </c>
      <c r="AR139" s="55" t="str">
        <f t="shared" si="90"/>
        <v>0</v>
      </c>
      <c r="AS139" s="57">
        <f t="shared" si="105"/>
        <v>0</v>
      </c>
      <c r="AT139" s="58">
        <f t="shared" si="91"/>
        <v>0</v>
      </c>
      <c r="AU139" s="57">
        <f t="shared" si="92"/>
        <v>0</v>
      </c>
      <c r="AV139" s="59">
        <f t="shared" si="106"/>
        <v>0</v>
      </c>
      <c r="AW139" s="59">
        <f t="shared" si="93"/>
        <v>0</v>
      </c>
      <c r="AX139" s="9"/>
      <c r="AY139" s="60">
        <f t="shared" si="94"/>
        <v>0</v>
      </c>
      <c r="AZ139" s="61">
        <f>_xlfn.IFNA(INDEX(Table3923[Column4],MATCH(R139,Table3923[Column1],0)),1.5)</f>
        <v>1.5</v>
      </c>
      <c r="BA139" s="62">
        <f>VLOOKUP(Z139,Table1331[#All],2,FALSE)</f>
        <v>1</v>
      </c>
      <c r="BB139" s="61">
        <f t="shared" si="69"/>
        <v>1.5</v>
      </c>
      <c r="BC139" s="55">
        <f t="shared" si="95"/>
        <v>0</v>
      </c>
      <c r="BD139" s="43">
        <f t="shared" si="96"/>
        <v>0</v>
      </c>
      <c r="BE139" s="63">
        <f t="shared" si="97"/>
        <v>0</v>
      </c>
      <c r="BF139" s="60">
        <f t="shared" si="98"/>
        <v>0</v>
      </c>
      <c r="BG139" s="60">
        <f t="shared" si="99"/>
        <v>0</v>
      </c>
      <c r="BH139" s="60">
        <f t="shared" si="100"/>
        <v>0</v>
      </c>
      <c r="BI139" s="55">
        <f>VLOOKUP(AA139,Table1533[#All],2,FALSE)</f>
        <v>1.25</v>
      </c>
      <c r="BJ139" s="55">
        <f t="shared" si="101"/>
        <v>0</v>
      </c>
      <c r="BK139" s="43" t="str">
        <f t="shared" si="102"/>
        <v>0</v>
      </c>
      <c r="BL139" s="62">
        <f t="shared" si="107"/>
        <v>0</v>
      </c>
      <c r="CH139" s="148" t="s">
        <v>290</v>
      </c>
      <c r="CI139" s="151">
        <v>2.69</v>
      </c>
      <c r="CJ139" s="145">
        <f t="shared" si="70"/>
        <v>2.9590000000000001</v>
      </c>
      <c r="CK139" s="153">
        <v>1.5</v>
      </c>
      <c r="CL139" s="277">
        <f>(L141*H141)/12</f>
        <v>0</v>
      </c>
    </row>
    <row r="140" spans="1:90" ht="11.05" hidden="1" customHeight="1" x14ac:dyDescent="0.6">
      <c r="A140" s="42"/>
      <c r="B140" s="230"/>
      <c r="C140" s="231"/>
      <c r="D140" s="231"/>
      <c r="E140" s="232"/>
      <c r="F140" s="43"/>
      <c r="G140" s="43"/>
      <c r="H140" s="44"/>
      <c r="I140" s="45"/>
      <c r="J140" s="43"/>
      <c r="K140" s="46"/>
      <c r="L140" s="47">
        <f t="shared" si="68"/>
        <v>0</v>
      </c>
      <c r="M140" s="43"/>
      <c r="N140" s="43"/>
      <c r="O140" s="43"/>
      <c r="P140" s="46"/>
      <c r="Q140" s="47">
        <f t="shared" si="103"/>
        <v>0</v>
      </c>
      <c r="R140" s="233"/>
      <c r="S140" s="234"/>
      <c r="T140" s="230"/>
      <c r="U140" s="231"/>
      <c r="V140" s="231"/>
      <c r="W140" s="232"/>
      <c r="X140" s="235" t="str">
        <f>IFERROR(INDEX(Table3923[],MATCH(R140,Table3923[Column1],),3),"")</f>
        <v/>
      </c>
      <c r="Y140" s="235"/>
      <c r="Z140" s="48" t="s">
        <v>85</v>
      </c>
      <c r="AA140" s="48" t="s">
        <v>85</v>
      </c>
      <c r="AB140" s="49"/>
      <c r="AC140" s="50"/>
      <c r="AD140" s="51">
        <f t="shared" si="84"/>
        <v>0</v>
      </c>
      <c r="AG140" s="52">
        <f t="shared" si="85"/>
        <v>0</v>
      </c>
      <c r="AH140" s="53"/>
      <c r="AM140" s="55">
        <f t="shared" si="86"/>
        <v>0</v>
      </c>
      <c r="AN140" s="55">
        <f t="shared" si="87"/>
        <v>0</v>
      </c>
      <c r="AO140" s="55">
        <f t="shared" si="88"/>
        <v>0</v>
      </c>
      <c r="AP140" s="56">
        <f t="shared" si="89"/>
        <v>0</v>
      </c>
      <c r="AQ140" s="55" t="str">
        <f t="shared" si="104"/>
        <v>0.00</v>
      </c>
      <c r="AR140" s="55" t="str">
        <f t="shared" si="90"/>
        <v>0</v>
      </c>
      <c r="AS140" s="57">
        <f t="shared" si="105"/>
        <v>0</v>
      </c>
      <c r="AT140" s="58">
        <f t="shared" si="91"/>
        <v>0</v>
      </c>
      <c r="AU140" s="57">
        <f t="shared" si="92"/>
        <v>0</v>
      </c>
      <c r="AV140" s="59">
        <f t="shared" si="106"/>
        <v>0</v>
      </c>
      <c r="AW140" s="59">
        <f t="shared" si="93"/>
        <v>0</v>
      </c>
      <c r="AX140" s="9"/>
      <c r="AY140" s="60">
        <f t="shared" si="94"/>
        <v>0</v>
      </c>
      <c r="AZ140" s="61">
        <f>_xlfn.IFNA(INDEX(Table3923[Column4],MATCH(R140,Table3923[Column1],0)),1.5)</f>
        <v>1.5</v>
      </c>
      <c r="BA140" s="62">
        <f>VLOOKUP(Z140,Table1331[#All],2,FALSE)</f>
        <v>1</v>
      </c>
      <c r="BB140" s="61">
        <f t="shared" si="69"/>
        <v>1.5</v>
      </c>
      <c r="BC140" s="55">
        <f t="shared" si="95"/>
        <v>0</v>
      </c>
      <c r="BD140" s="43">
        <f t="shared" si="96"/>
        <v>0</v>
      </c>
      <c r="BE140" s="63">
        <f t="shared" si="97"/>
        <v>0</v>
      </c>
      <c r="BF140" s="60">
        <f t="shared" si="98"/>
        <v>0</v>
      </c>
      <c r="BG140" s="60">
        <f t="shared" si="99"/>
        <v>0</v>
      </c>
      <c r="BH140" s="60">
        <f t="shared" si="100"/>
        <v>0</v>
      </c>
      <c r="BI140" s="55">
        <f>VLOOKUP(AA140,Table1533[#All],2,FALSE)</f>
        <v>1.25</v>
      </c>
      <c r="BJ140" s="55">
        <f t="shared" si="101"/>
        <v>0</v>
      </c>
      <c r="BK140" s="43" t="str">
        <f t="shared" si="102"/>
        <v>0</v>
      </c>
      <c r="BL140" s="62">
        <f t="shared" si="107"/>
        <v>0</v>
      </c>
      <c r="CH140" s="148" t="s">
        <v>291</v>
      </c>
      <c r="CI140" s="149">
        <v>1.62</v>
      </c>
      <c r="CJ140" s="145">
        <f t="shared" si="70"/>
        <v>1.7820000000000003</v>
      </c>
      <c r="CK140" s="153">
        <v>1.5</v>
      </c>
      <c r="CL140" s="277">
        <f>(L142*H142)/12</f>
        <v>0</v>
      </c>
    </row>
    <row r="141" spans="1:90" ht="11.05" hidden="1" customHeight="1" x14ac:dyDescent="0.6">
      <c r="A141" s="42"/>
      <c r="B141" s="230"/>
      <c r="C141" s="231"/>
      <c r="D141" s="231"/>
      <c r="E141" s="232"/>
      <c r="F141" s="43"/>
      <c r="G141" s="43"/>
      <c r="H141" s="44"/>
      <c r="I141" s="45"/>
      <c r="J141" s="43"/>
      <c r="K141" s="46"/>
      <c r="L141" s="47">
        <f t="shared" si="68"/>
        <v>0</v>
      </c>
      <c r="M141" s="43"/>
      <c r="N141" s="43"/>
      <c r="O141" s="43"/>
      <c r="P141" s="46"/>
      <c r="Q141" s="47">
        <f t="shared" si="103"/>
        <v>0</v>
      </c>
      <c r="R141" s="233"/>
      <c r="S141" s="234"/>
      <c r="T141" s="230"/>
      <c r="U141" s="231"/>
      <c r="V141" s="231"/>
      <c r="W141" s="232"/>
      <c r="X141" s="235" t="str">
        <f>IFERROR(INDEX(Table3923[],MATCH(R141,Table3923[Column1],),3),"")</f>
        <v/>
      </c>
      <c r="Y141" s="235"/>
      <c r="Z141" s="48" t="s">
        <v>85</v>
      </c>
      <c r="AA141" s="48" t="s">
        <v>85</v>
      </c>
      <c r="AB141" s="49"/>
      <c r="AC141" s="50"/>
      <c r="AD141" s="51">
        <f t="shared" si="84"/>
        <v>0</v>
      </c>
      <c r="AG141" s="52">
        <f t="shared" si="85"/>
        <v>0</v>
      </c>
      <c r="AH141" s="53"/>
      <c r="AM141" s="55">
        <f t="shared" si="86"/>
        <v>0</v>
      </c>
      <c r="AN141" s="55">
        <f t="shared" si="87"/>
        <v>0</v>
      </c>
      <c r="AO141" s="55">
        <f t="shared" si="88"/>
        <v>0</v>
      </c>
      <c r="AP141" s="56">
        <f t="shared" si="89"/>
        <v>0</v>
      </c>
      <c r="AQ141" s="55" t="str">
        <f t="shared" si="104"/>
        <v>0.00</v>
      </c>
      <c r="AR141" s="55" t="str">
        <f t="shared" si="90"/>
        <v>0</v>
      </c>
      <c r="AS141" s="57">
        <f t="shared" si="105"/>
        <v>0</v>
      </c>
      <c r="AT141" s="58">
        <f t="shared" si="91"/>
        <v>0</v>
      </c>
      <c r="AU141" s="57">
        <f t="shared" si="92"/>
        <v>0</v>
      </c>
      <c r="AV141" s="59">
        <f t="shared" si="106"/>
        <v>0</v>
      </c>
      <c r="AW141" s="59">
        <f t="shared" si="93"/>
        <v>0</v>
      </c>
      <c r="AX141" s="9"/>
      <c r="AY141" s="60">
        <f t="shared" si="94"/>
        <v>0</v>
      </c>
      <c r="AZ141" s="61">
        <f>_xlfn.IFNA(INDEX(Table3923[Column4],MATCH(R141,Table3923[Column1],0)),1.5)</f>
        <v>1.5</v>
      </c>
      <c r="BA141" s="62">
        <f>VLOOKUP(Z141,Table1331[#All],2,FALSE)</f>
        <v>1</v>
      </c>
      <c r="BB141" s="61">
        <f t="shared" si="69"/>
        <v>1.5</v>
      </c>
      <c r="BC141" s="55">
        <f t="shared" si="95"/>
        <v>0</v>
      </c>
      <c r="BD141" s="43">
        <f t="shared" si="96"/>
        <v>0</v>
      </c>
      <c r="BE141" s="63">
        <f t="shared" si="97"/>
        <v>0</v>
      </c>
      <c r="BF141" s="60">
        <f t="shared" si="98"/>
        <v>0</v>
      </c>
      <c r="BG141" s="60">
        <f t="shared" si="99"/>
        <v>0</v>
      </c>
      <c r="BH141" s="60">
        <f t="shared" si="100"/>
        <v>0</v>
      </c>
      <c r="BI141" s="55">
        <f>VLOOKUP(AA141,Table1533[#All],2,FALSE)</f>
        <v>1.25</v>
      </c>
      <c r="BJ141" s="55">
        <f t="shared" si="101"/>
        <v>0</v>
      </c>
      <c r="BK141" s="43" t="str">
        <f t="shared" si="102"/>
        <v>0</v>
      </c>
      <c r="BL141" s="62">
        <f t="shared" si="107"/>
        <v>0</v>
      </c>
      <c r="CH141" s="148" t="s">
        <v>292</v>
      </c>
      <c r="CI141" s="151">
        <v>1.39</v>
      </c>
      <c r="CJ141" s="145">
        <f t="shared" si="70"/>
        <v>1.5289999999999999</v>
      </c>
      <c r="CK141" s="153">
        <v>1.5</v>
      </c>
      <c r="CL141" s="277">
        <f>(L143*H143)/12</f>
        <v>0</v>
      </c>
    </row>
    <row r="142" spans="1:90" ht="11.05" hidden="1" customHeight="1" x14ac:dyDescent="0.6">
      <c r="A142" s="42"/>
      <c r="B142" s="230"/>
      <c r="C142" s="231"/>
      <c r="D142" s="231"/>
      <c r="E142" s="232"/>
      <c r="F142" s="43"/>
      <c r="G142" s="43"/>
      <c r="H142" s="44"/>
      <c r="I142" s="45"/>
      <c r="J142" s="43"/>
      <c r="K142" s="46"/>
      <c r="L142" s="47">
        <f t="shared" si="68"/>
        <v>0</v>
      </c>
      <c r="M142" s="43"/>
      <c r="N142" s="43"/>
      <c r="O142" s="43"/>
      <c r="P142" s="46"/>
      <c r="Q142" s="47">
        <f t="shared" si="103"/>
        <v>0</v>
      </c>
      <c r="R142" s="233"/>
      <c r="S142" s="234"/>
      <c r="T142" s="230"/>
      <c r="U142" s="231"/>
      <c r="V142" s="231"/>
      <c r="W142" s="232"/>
      <c r="X142" s="235" t="str">
        <f>IFERROR(INDEX(Table3923[],MATCH(R142,Table3923[Column1],),3),"")</f>
        <v/>
      </c>
      <c r="Y142" s="235"/>
      <c r="Z142" s="48" t="s">
        <v>85</v>
      </c>
      <c r="AA142" s="48" t="s">
        <v>85</v>
      </c>
      <c r="AB142" s="49"/>
      <c r="AC142" s="50"/>
      <c r="AD142" s="51">
        <f t="shared" si="84"/>
        <v>0</v>
      </c>
      <c r="AG142" s="52">
        <f t="shared" si="85"/>
        <v>0</v>
      </c>
      <c r="AH142" s="53"/>
      <c r="AM142" s="55">
        <f t="shared" si="86"/>
        <v>0</v>
      </c>
      <c r="AN142" s="55">
        <f t="shared" si="87"/>
        <v>0</v>
      </c>
      <c r="AO142" s="55">
        <f t="shared" si="88"/>
        <v>0</v>
      </c>
      <c r="AP142" s="56">
        <f t="shared" si="89"/>
        <v>0</v>
      </c>
      <c r="AQ142" s="55" t="str">
        <f t="shared" si="104"/>
        <v>0.00</v>
      </c>
      <c r="AR142" s="55" t="str">
        <f t="shared" si="90"/>
        <v>0</v>
      </c>
      <c r="AS142" s="57">
        <f t="shared" si="105"/>
        <v>0</v>
      </c>
      <c r="AT142" s="58">
        <f t="shared" si="91"/>
        <v>0</v>
      </c>
      <c r="AU142" s="57">
        <f t="shared" si="92"/>
        <v>0</v>
      </c>
      <c r="AV142" s="59">
        <f t="shared" si="106"/>
        <v>0</v>
      </c>
      <c r="AW142" s="59">
        <f t="shared" si="93"/>
        <v>0</v>
      </c>
      <c r="AX142" s="9"/>
      <c r="AY142" s="60">
        <f t="shared" si="94"/>
        <v>0</v>
      </c>
      <c r="AZ142" s="61">
        <f>_xlfn.IFNA(INDEX(Table3923[Column4],MATCH(R142,Table3923[Column1],0)),1.5)</f>
        <v>1.5</v>
      </c>
      <c r="BA142" s="62">
        <f>VLOOKUP(Z142,Table1331[#All],2,FALSE)</f>
        <v>1</v>
      </c>
      <c r="BB142" s="61">
        <f t="shared" si="69"/>
        <v>1.5</v>
      </c>
      <c r="BC142" s="55">
        <f t="shared" si="95"/>
        <v>0</v>
      </c>
      <c r="BD142" s="43">
        <f t="shared" si="96"/>
        <v>0</v>
      </c>
      <c r="BE142" s="63">
        <f t="shared" si="97"/>
        <v>0</v>
      </c>
      <c r="BF142" s="60">
        <f t="shared" si="98"/>
        <v>0</v>
      </c>
      <c r="BG142" s="60">
        <f t="shared" si="99"/>
        <v>0</v>
      </c>
      <c r="BH142" s="60">
        <f t="shared" si="100"/>
        <v>0</v>
      </c>
      <c r="BI142" s="55">
        <f>VLOOKUP(AA142,Table1533[#All],2,FALSE)</f>
        <v>1.25</v>
      </c>
      <c r="BJ142" s="55">
        <f t="shared" si="101"/>
        <v>0</v>
      </c>
      <c r="BK142" s="43" t="str">
        <f t="shared" si="102"/>
        <v>0</v>
      </c>
      <c r="BL142" s="62">
        <f t="shared" si="107"/>
        <v>0</v>
      </c>
      <c r="CH142" s="148" t="s">
        <v>293</v>
      </c>
      <c r="CI142" s="149">
        <v>1.39</v>
      </c>
      <c r="CJ142" s="145">
        <f t="shared" si="70"/>
        <v>1.5289999999999999</v>
      </c>
      <c r="CK142" s="153">
        <v>1.5</v>
      </c>
      <c r="CL142" s="277">
        <f>(L144*H144)/12</f>
        <v>0</v>
      </c>
    </row>
    <row r="143" spans="1:90" ht="11.05" hidden="1" customHeight="1" x14ac:dyDescent="0.6">
      <c r="A143" s="42"/>
      <c r="B143" s="230"/>
      <c r="C143" s="231"/>
      <c r="D143" s="231"/>
      <c r="E143" s="232"/>
      <c r="F143" s="43"/>
      <c r="G143" s="43"/>
      <c r="H143" s="44"/>
      <c r="I143" s="45"/>
      <c r="J143" s="43"/>
      <c r="K143" s="46"/>
      <c r="L143" s="47">
        <f t="shared" si="68"/>
        <v>0</v>
      </c>
      <c r="M143" s="43"/>
      <c r="N143" s="43"/>
      <c r="O143" s="43"/>
      <c r="P143" s="46"/>
      <c r="Q143" s="47">
        <f t="shared" si="103"/>
        <v>0</v>
      </c>
      <c r="R143" s="233"/>
      <c r="S143" s="234"/>
      <c r="T143" s="230"/>
      <c r="U143" s="231"/>
      <c r="V143" s="231"/>
      <c r="W143" s="232"/>
      <c r="X143" s="235" t="str">
        <f>IFERROR(INDEX(Table3923[],MATCH(R143,Table3923[Column1],),3),"")</f>
        <v/>
      </c>
      <c r="Y143" s="235"/>
      <c r="Z143" s="48" t="s">
        <v>85</v>
      </c>
      <c r="AA143" s="48" t="s">
        <v>85</v>
      </c>
      <c r="AB143" s="49"/>
      <c r="AC143" s="50"/>
      <c r="AD143" s="51">
        <f t="shared" si="84"/>
        <v>0</v>
      </c>
      <c r="AG143" s="52">
        <f t="shared" si="85"/>
        <v>0</v>
      </c>
      <c r="AH143" s="53"/>
      <c r="AM143" s="55">
        <f t="shared" si="86"/>
        <v>0</v>
      </c>
      <c r="AN143" s="55">
        <f t="shared" si="87"/>
        <v>0</v>
      </c>
      <c r="AO143" s="55">
        <f t="shared" si="88"/>
        <v>0</v>
      </c>
      <c r="AP143" s="56">
        <f t="shared" si="89"/>
        <v>0</v>
      </c>
      <c r="AQ143" s="55" t="str">
        <f t="shared" si="104"/>
        <v>0.00</v>
      </c>
      <c r="AR143" s="55" t="str">
        <f t="shared" si="90"/>
        <v>0</v>
      </c>
      <c r="AS143" s="57">
        <f t="shared" si="105"/>
        <v>0</v>
      </c>
      <c r="AT143" s="58">
        <f t="shared" si="91"/>
        <v>0</v>
      </c>
      <c r="AU143" s="57">
        <f t="shared" si="92"/>
        <v>0</v>
      </c>
      <c r="AV143" s="59">
        <f t="shared" si="106"/>
        <v>0</v>
      </c>
      <c r="AW143" s="59">
        <f t="shared" si="93"/>
        <v>0</v>
      </c>
      <c r="AX143" s="9"/>
      <c r="AY143" s="60">
        <f t="shared" si="94"/>
        <v>0</v>
      </c>
      <c r="AZ143" s="61">
        <f>_xlfn.IFNA(INDEX(Table3923[Column4],MATCH(R143,Table3923[Column1],0)),1.5)</f>
        <v>1.5</v>
      </c>
      <c r="BA143" s="62">
        <f>VLOOKUP(Z143,Table1331[#All],2,FALSE)</f>
        <v>1</v>
      </c>
      <c r="BB143" s="61">
        <f t="shared" si="69"/>
        <v>1.5</v>
      </c>
      <c r="BC143" s="55">
        <f t="shared" si="95"/>
        <v>0</v>
      </c>
      <c r="BD143" s="43">
        <f t="shared" si="96"/>
        <v>0</v>
      </c>
      <c r="BE143" s="63">
        <f t="shared" si="97"/>
        <v>0</v>
      </c>
      <c r="BF143" s="60">
        <f t="shared" si="98"/>
        <v>0</v>
      </c>
      <c r="BG143" s="60">
        <f t="shared" si="99"/>
        <v>0</v>
      </c>
      <c r="BH143" s="60">
        <f t="shared" si="100"/>
        <v>0</v>
      </c>
      <c r="BI143" s="55">
        <f>VLOOKUP(AA143,Table1533[#All],2,FALSE)</f>
        <v>1.25</v>
      </c>
      <c r="BJ143" s="55">
        <f t="shared" si="101"/>
        <v>0</v>
      </c>
      <c r="BK143" s="43" t="str">
        <f t="shared" si="102"/>
        <v>0</v>
      </c>
      <c r="BL143" s="62">
        <f t="shared" si="107"/>
        <v>0</v>
      </c>
      <c r="CH143" s="148" t="s">
        <v>294</v>
      </c>
      <c r="CI143" s="151">
        <v>1.39</v>
      </c>
      <c r="CJ143" s="145">
        <f t="shared" si="70"/>
        <v>1.5289999999999999</v>
      </c>
      <c r="CK143" s="153">
        <v>1.5</v>
      </c>
      <c r="CL143" s="277">
        <f>(L145*H145)/12</f>
        <v>0</v>
      </c>
    </row>
    <row r="144" spans="1:90" ht="11.05" hidden="1" customHeight="1" x14ac:dyDescent="0.6">
      <c r="A144" s="42"/>
      <c r="B144" s="230"/>
      <c r="C144" s="231"/>
      <c r="D144" s="231"/>
      <c r="E144" s="232"/>
      <c r="F144" s="43"/>
      <c r="G144" s="43"/>
      <c r="H144" s="44"/>
      <c r="I144" s="45"/>
      <c r="J144" s="43"/>
      <c r="K144" s="46"/>
      <c r="L144" s="47">
        <f t="shared" si="68"/>
        <v>0</v>
      </c>
      <c r="M144" s="43"/>
      <c r="N144" s="43"/>
      <c r="O144" s="43"/>
      <c r="P144" s="46"/>
      <c r="Q144" s="47">
        <f t="shared" si="103"/>
        <v>0</v>
      </c>
      <c r="R144" s="233"/>
      <c r="S144" s="234"/>
      <c r="T144" s="230"/>
      <c r="U144" s="231"/>
      <c r="V144" s="231"/>
      <c r="W144" s="232"/>
      <c r="X144" s="235" t="str">
        <f>IFERROR(INDEX(Table3923[],MATCH(R144,Table3923[Column1],),3),"")</f>
        <v/>
      </c>
      <c r="Y144" s="235"/>
      <c r="Z144" s="48" t="s">
        <v>85</v>
      </c>
      <c r="AA144" s="48" t="s">
        <v>85</v>
      </c>
      <c r="AB144" s="49"/>
      <c r="AC144" s="50"/>
      <c r="AD144" s="51">
        <f t="shared" si="84"/>
        <v>0</v>
      </c>
      <c r="AG144" s="52">
        <f t="shared" si="85"/>
        <v>0</v>
      </c>
      <c r="AH144" s="53"/>
      <c r="AM144" s="55">
        <f t="shared" si="86"/>
        <v>0</v>
      </c>
      <c r="AN144" s="55">
        <f t="shared" si="87"/>
        <v>0</v>
      </c>
      <c r="AO144" s="55">
        <f t="shared" si="88"/>
        <v>0</v>
      </c>
      <c r="AP144" s="56">
        <f t="shared" si="89"/>
        <v>0</v>
      </c>
      <c r="AQ144" s="55" t="str">
        <f t="shared" si="104"/>
        <v>0.00</v>
      </c>
      <c r="AR144" s="55" t="str">
        <f t="shared" si="90"/>
        <v>0</v>
      </c>
      <c r="AS144" s="57">
        <f t="shared" si="105"/>
        <v>0</v>
      </c>
      <c r="AT144" s="58">
        <f t="shared" si="91"/>
        <v>0</v>
      </c>
      <c r="AU144" s="57">
        <f t="shared" si="92"/>
        <v>0</v>
      </c>
      <c r="AV144" s="59">
        <f t="shared" si="106"/>
        <v>0</v>
      </c>
      <c r="AW144" s="59">
        <f t="shared" si="93"/>
        <v>0</v>
      </c>
      <c r="AX144" s="9"/>
      <c r="AY144" s="60">
        <f t="shared" si="94"/>
        <v>0</v>
      </c>
      <c r="AZ144" s="61">
        <f>_xlfn.IFNA(INDEX(Table3923[Column4],MATCH(R144,Table3923[Column1],0)),1.5)</f>
        <v>1.5</v>
      </c>
      <c r="BA144" s="62">
        <f>VLOOKUP(Z144,Table1331[#All],2,FALSE)</f>
        <v>1</v>
      </c>
      <c r="BB144" s="61">
        <f t="shared" si="69"/>
        <v>1.5</v>
      </c>
      <c r="BC144" s="55">
        <f t="shared" si="95"/>
        <v>0</v>
      </c>
      <c r="BD144" s="43">
        <f t="shared" si="96"/>
        <v>0</v>
      </c>
      <c r="BE144" s="63">
        <f t="shared" si="97"/>
        <v>0</v>
      </c>
      <c r="BF144" s="60">
        <f t="shared" si="98"/>
        <v>0</v>
      </c>
      <c r="BG144" s="60">
        <f t="shared" si="99"/>
        <v>0</v>
      </c>
      <c r="BH144" s="60">
        <f t="shared" si="100"/>
        <v>0</v>
      </c>
      <c r="BI144" s="55">
        <f>VLOOKUP(AA144,Table1533[#All],2,FALSE)</f>
        <v>1.25</v>
      </c>
      <c r="BJ144" s="55">
        <f t="shared" si="101"/>
        <v>0</v>
      </c>
      <c r="BK144" s="43" t="str">
        <f t="shared" si="102"/>
        <v>0</v>
      </c>
      <c r="BL144" s="62">
        <f t="shared" si="107"/>
        <v>0</v>
      </c>
      <c r="CH144" s="148" t="s">
        <v>295</v>
      </c>
      <c r="CI144" s="149">
        <v>1.58</v>
      </c>
      <c r="CJ144" s="145">
        <f t="shared" si="70"/>
        <v>1.7380000000000002</v>
      </c>
      <c r="CK144" s="153">
        <v>1.5</v>
      </c>
      <c r="CL144" s="277">
        <f>(L146*H146)/12</f>
        <v>0</v>
      </c>
    </row>
    <row r="145" spans="1:90" ht="11.05" hidden="1" customHeight="1" x14ac:dyDescent="0.6">
      <c r="A145" s="42"/>
      <c r="B145" s="230"/>
      <c r="C145" s="231"/>
      <c r="D145" s="231"/>
      <c r="E145" s="232"/>
      <c r="F145" s="43"/>
      <c r="G145" s="43"/>
      <c r="H145" s="44"/>
      <c r="I145" s="45"/>
      <c r="J145" s="43"/>
      <c r="K145" s="46"/>
      <c r="L145" s="47">
        <f t="shared" si="68"/>
        <v>0</v>
      </c>
      <c r="M145" s="43"/>
      <c r="N145" s="43"/>
      <c r="O145" s="43"/>
      <c r="P145" s="46"/>
      <c r="Q145" s="47">
        <f t="shared" si="103"/>
        <v>0</v>
      </c>
      <c r="R145" s="233"/>
      <c r="S145" s="234"/>
      <c r="T145" s="230"/>
      <c r="U145" s="231"/>
      <c r="V145" s="231"/>
      <c r="W145" s="232"/>
      <c r="X145" s="235" t="str">
        <f>IFERROR(INDEX(Table3923[],MATCH(R145,Table3923[Column1],),3),"")</f>
        <v/>
      </c>
      <c r="Y145" s="235"/>
      <c r="Z145" s="48" t="s">
        <v>85</v>
      </c>
      <c r="AA145" s="48" t="s">
        <v>85</v>
      </c>
      <c r="AB145" s="49"/>
      <c r="AC145" s="50"/>
      <c r="AD145" s="51">
        <f t="shared" si="84"/>
        <v>0</v>
      </c>
      <c r="AG145" s="52">
        <f t="shared" si="85"/>
        <v>0</v>
      </c>
      <c r="AH145" s="53"/>
      <c r="AM145" s="55">
        <f t="shared" si="86"/>
        <v>0</v>
      </c>
      <c r="AN145" s="55">
        <f t="shared" si="87"/>
        <v>0</v>
      </c>
      <c r="AO145" s="55">
        <f t="shared" si="88"/>
        <v>0</v>
      </c>
      <c r="AP145" s="56">
        <f t="shared" si="89"/>
        <v>0</v>
      </c>
      <c r="AQ145" s="55" t="str">
        <f t="shared" si="104"/>
        <v>0.00</v>
      </c>
      <c r="AR145" s="55" t="str">
        <f t="shared" si="90"/>
        <v>0</v>
      </c>
      <c r="AS145" s="57">
        <f t="shared" si="105"/>
        <v>0</v>
      </c>
      <c r="AT145" s="58">
        <f t="shared" si="91"/>
        <v>0</v>
      </c>
      <c r="AU145" s="57">
        <f t="shared" si="92"/>
        <v>0</v>
      </c>
      <c r="AV145" s="59">
        <f t="shared" si="106"/>
        <v>0</v>
      </c>
      <c r="AW145" s="59">
        <f t="shared" si="93"/>
        <v>0</v>
      </c>
      <c r="AX145" s="9"/>
      <c r="AY145" s="60">
        <f t="shared" si="94"/>
        <v>0</v>
      </c>
      <c r="AZ145" s="61">
        <f>_xlfn.IFNA(INDEX(Table3923[Column4],MATCH(R145,Table3923[Column1],0)),1.5)</f>
        <v>1.5</v>
      </c>
      <c r="BA145" s="62">
        <f>VLOOKUP(Z145,Table1331[#All],2,FALSE)</f>
        <v>1</v>
      </c>
      <c r="BB145" s="61">
        <f t="shared" si="69"/>
        <v>1.5</v>
      </c>
      <c r="BC145" s="55">
        <f t="shared" si="95"/>
        <v>0</v>
      </c>
      <c r="BD145" s="43">
        <f t="shared" si="96"/>
        <v>0</v>
      </c>
      <c r="BE145" s="63">
        <f t="shared" si="97"/>
        <v>0</v>
      </c>
      <c r="BF145" s="60">
        <f t="shared" si="98"/>
        <v>0</v>
      </c>
      <c r="BG145" s="60">
        <f t="shared" si="99"/>
        <v>0</v>
      </c>
      <c r="BH145" s="60">
        <f t="shared" si="100"/>
        <v>0</v>
      </c>
      <c r="BI145" s="55">
        <f>VLOOKUP(AA145,Table1533[#All],2,FALSE)</f>
        <v>1.25</v>
      </c>
      <c r="BJ145" s="55">
        <f t="shared" si="101"/>
        <v>0</v>
      </c>
      <c r="BK145" s="43" t="str">
        <f t="shared" si="102"/>
        <v>0</v>
      </c>
      <c r="BL145" s="62">
        <f t="shared" si="107"/>
        <v>0</v>
      </c>
      <c r="CH145" s="148" t="s">
        <v>296</v>
      </c>
      <c r="CI145" s="151">
        <v>1.89</v>
      </c>
      <c r="CJ145" s="145">
        <f t="shared" si="70"/>
        <v>2.0790000000000002</v>
      </c>
      <c r="CK145" s="153">
        <v>1.75</v>
      </c>
      <c r="CL145" s="277">
        <f>(L147*H147)/12</f>
        <v>0</v>
      </c>
    </row>
    <row r="146" spans="1:90" ht="11.05" hidden="1" customHeight="1" x14ac:dyDescent="0.6">
      <c r="A146" s="42"/>
      <c r="B146" s="230"/>
      <c r="C146" s="231"/>
      <c r="D146" s="231"/>
      <c r="E146" s="232"/>
      <c r="F146" s="43"/>
      <c r="G146" s="43"/>
      <c r="H146" s="44"/>
      <c r="I146" s="45"/>
      <c r="J146" s="43"/>
      <c r="K146" s="46"/>
      <c r="L146" s="47">
        <f t="shared" si="68"/>
        <v>0</v>
      </c>
      <c r="M146" s="43"/>
      <c r="N146" s="43"/>
      <c r="O146" s="43"/>
      <c r="P146" s="46"/>
      <c r="Q146" s="47">
        <f t="shared" si="103"/>
        <v>0</v>
      </c>
      <c r="R146" s="233"/>
      <c r="S146" s="234"/>
      <c r="T146" s="230"/>
      <c r="U146" s="231"/>
      <c r="V146" s="231"/>
      <c r="W146" s="232"/>
      <c r="X146" s="235" t="str">
        <f>IFERROR(INDEX(Table3923[],MATCH(R146,Table3923[Column1],),3),"")</f>
        <v/>
      </c>
      <c r="Y146" s="235"/>
      <c r="Z146" s="48" t="s">
        <v>85</v>
      </c>
      <c r="AA146" s="48" t="s">
        <v>85</v>
      </c>
      <c r="AB146" s="49"/>
      <c r="AC146" s="50"/>
      <c r="AD146" s="51">
        <f t="shared" si="84"/>
        <v>0</v>
      </c>
      <c r="AG146" s="52">
        <f t="shared" si="85"/>
        <v>0</v>
      </c>
      <c r="AH146" s="53"/>
      <c r="AM146" s="55">
        <f t="shared" si="86"/>
        <v>0</v>
      </c>
      <c r="AN146" s="55">
        <f t="shared" si="87"/>
        <v>0</v>
      </c>
      <c r="AO146" s="55">
        <f t="shared" si="88"/>
        <v>0</v>
      </c>
      <c r="AP146" s="56">
        <f t="shared" si="89"/>
        <v>0</v>
      </c>
      <c r="AQ146" s="55" t="str">
        <f t="shared" si="104"/>
        <v>0.00</v>
      </c>
      <c r="AR146" s="55" t="str">
        <f t="shared" si="90"/>
        <v>0</v>
      </c>
      <c r="AS146" s="57">
        <f t="shared" si="105"/>
        <v>0</v>
      </c>
      <c r="AT146" s="58">
        <f t="shared" si="91"/>
        <v>0</v>
      </c>
      <c r="AU146" s="57">
        <f t="shared" si="92"/>
        <v>0</v>
      </c>
      <c r="AV146" s="59">
        <f t="shared" si="106"/>
        <v>0</v>
      </c>
      <c r="AW146" s="59">
        <f t="shared" si="93"/>
        <v>0</v>
      </c>
      <c r="AX146" s="9"/>
      <c r="AY146" s="60">
        <f t="shared" si="94"/>
        <v>0</v>
      </c>
      <c r="AZ146" s="61">
        <f>_xlfn.IFNA(INDEX(Table3923[Column4],MATCH(R146,Table3923[Column1],0)),1.5)</f>
        <v>1.5</v>
      </c>
      <c r="BA146" s="62">
        <f>VLOOKUP(Z146,Table1331[#All],2,FALSE)</f>
        <v>1</v>
      </c>
      <c r="BB146" s="61">
        <f t="shared" si="69"/>
        <v>1.5</v>
      </c>
      <c r="BC146" s="55">
        <f t="shared" si="95"/>
        <v>0</v>
      </c>
      <c r="BD146" s="43">
        <f t="shared" si="96"/>
        <v>0</v>
      </c>
      <c r="BE146" s="63">
        <f t="shared" si="97"/>
        <v>0</v>
      </c>
      <c r="BF146" s="60">
        <f t="shared" si="98"/>
        <v>0</v>
      </c>
      <c r="BG146" s="60">
        <f t="shared" si="99"/>
        <v>0</v>
      </c>
      <c r="BH146" s="60">
        <f t="shared" si="100"/>
        <v>0</v>
      </c>
      <c r="BI146" s="55">
        <f>VLOOKUP(AA146,Table1533[#All],2,FALSE)</f>
        <v>1.25</v>
      </c>
      <c r="BJ146" s="55">
        <f t="shared" si="101"/>
        <v>0</v>
      </c>
      <c r="BK146" s="43" t="str">
        <f t="shared" si="102"/>
        <v>0</v>
      </c>
      <c r="BL146" s="62">
        <f t="shared" si="107"/>
        <v>0</v>
      </c>
      <c r="CH146" s="148" t="s">
        <v>297</v>
      </c>
      <c r="CI146" s="149">
        <v>2.09</v>
      </c>
      <c r="CJ146" s="145">
        <f t="shared" si="70"/>
        <v>2.2989999999999999</v>
      </c>
      <c r="CK146" s="153">
        <v>1.75</v>
      </c>
      <c r="CL146" s="277">
        <f>(L148*H148)/12</f>
        <v>0</v>
      </c>
    </row>
    <row r="147" spans="1:90" ht="11.05" hidden="1" customHeight="1" x14ac:dyDescent="0.6">
      <c r="A147" s="42"/>
      <c r="B147" s="230"/>
      <c r="C147" s="231"/>
      <c r="D147" s="231"/>
      <c r="E147" s="232"/>
      <c r="F147" s="43"/>
      <c r="G147" s="43"/>
      <c r="H147" s="44"/>
      <c r="I147" s="45"/>
      <c r="J147" s="43"/>
      <c r="K147" s="46"/>
      <c r="L147" s="47">
        <f t="shared" si="68"/>
        <v>0</v>
      </c>
      <c r="M147" s="43"/>
      <c r="N147" s="43"/>
      <c r="O147" s="43"/>
      <c r="P147" s="46"/>
      <c r="Q147" s="47">
        <f t="shared" si="103"/>
        <v>0</v>
      </c>
      <c r="R147" s="233"/>
      <c r="S147" s="234"/>
      <c r="T147" s="230"/>
      <c r="U147" s="231"/>
      <c r="V147" s="231"/>
      <c r="W147" s="232"/>
      <c r="X147" s="235" t="str">
        <f>IFERROR(INDEX(Table3923[],MATCH(R147,Table3923[Column1],),3),"")</f>
        <v/>
      </c>
      <c r="Y147" s="235"/>
      <c r="Z147" s="48" t="s">
        <v>85</v>
      </c>
      <c r="AA147" s="48" t="s">
        <v>85</v>
      </c>
      <c r="AB147" s="49"/>
      <c r="AC147" s="50"/>
      <c r="AD147" s="51">
        <f t="shared" si="84"/>
        <v>0</v>
      </c>
      <c r="AG147" s="52">
        <f t="shared" si="85"/>
        <v>0</v>
      </c>
      <c r="AH147" s="53"/>
      <c r="AM147" s="55">
        <f t="shared" si="86"/>
        <v>0</v>
      </c>
      <c r="AN147" s="55">
        <f t="shared" si="87"/>
        <v>0</v>
      </c>
      <c r="AO147" s="55">
        <f t="shared" si="88"/>
        <v>0</v>
      </c>
      <c r="AP147" s="56">
        <f t="shared" si="89"/>
        <v>0</v>
      </c>
      <c r="AQ147" s="55" t="str">
        <f t="shared" si="104"/>
        <v>0.00</v>
      </c>
      <c r="AR147" s="55" t="str">
        <f t="shared" si="90"/>
        <v>0</v>
      </c>
      <c r="AS147" s="57">
        <f t="shared" si="105"/>
        <v>0</v>
      </c>
      <c r="AT147" s="58">
        <f t="shared" si="91"/>
        <v>0</v>
      </c>
      <c r="AU147" s="57">
        <f t="shared" si="92"/>
        <v>0</v>
      </c>
      <c r="AV147" s="59">
        <f t="shared" si="106"/>
        <v>0</v>
      </c>
      <c r="AW147" s="59">
        <f t="shared" si="93"/>
        <v>0</v>
      </c>
      <c r="AX147" s="9"/>
      <c r="AY147" s="60">
        <f t="shared" si="94"/>
        <v>0</v>
      </c>
      <c r="AZ147" s="61">
        <f>_xlfn.IFNA(INDEX(Table3923[Column4],MATCH(R147,Table3923[Column1],0)),1.5)</f>
        <v>1.5</v>
      </c>
      <c r="BA147" s="62">
        <f>VLOOKUP(Z147,Table1331[#All],2,FALSE)</f>
        <v>1</v>
      </c>
      <c r="BB147" s="61">
        <f t="shared" si="69"/>
        <v>1.5</v>
      </c>
      <c r="BC147" s="55">
        <f t="shared" si="95"/>
        <v>0</v>
      </c>
      <c r="BD147" s="43">
        <f t="shared" si="96"/>
        <v>0</v>
      </c>
      <c r="BE147" s="63">
        <f t="shared" si="97"/>
        <v>0</v>
      </c>
      <c r="BF147" s="60">
        <f t="shared" si="98"/>
        <v>0</v>
      </c>
      <c r="BG147" s="60">
        <f t="shared" si="99"/>
        <v>0</v>
      </c>
      <c r="BH147" s="60">
        <f t="shared" si="100"/>
        <v>0</v>
      </c>
      <c r="BI147" s="55">
        <f>VLOOKUP(AA147,Table1533[#All],2,FALSE)</f>
        <v>1.25</v>
      </c>
      <c r="BJ147" s="55">
        <f t="shared" si="101"/>
        <v>0</v>
      </c>
      <c r="BK147" s="43" t="str">
        <f t="shared" si="102"/>
        <v>0</v>
      </c>
      <c r="BL147" s="62">
        <f t="shared" si="107"/>
        <v>0</v>
      </c>
      <c r="CH147" s="148" t="s">
        <v>298</v>
      </c>
      <c r="CI147" s="151">
        <v>2.64</v>
      </c>
      <c r="CJ147" s="145">
        <f t="shared" si="70"/>
        <v>2.9040000000000004</v>
      </c>
      <c r="CK147" s="153">
        <v>1.75</v>
      </c>
      <c r="CL147" s="277">
        <f>(L149*H149)/12</f>
        <v>0</v>
      </c>
    </row>
    <row r="148" spans="1:90" ht="11.05" hidden="1" customHeight="1" x14ac:dyDescent="0.6">
      <c r="A148" s="42"/>
      <c r="B148" s="230"/>
      <c r="C148" s="231"/>
      <c r="D148" s="231"/>
      <c r="E148" s="232"/>
      <c r="F148" s="43"/>
      <c r="G148" s="43"/>
      <c r="H148" s="44"/>
      <c r="I148" s="45"/>
      <c r="J148" s="43"/>
      <c r="K148" s="46"/>
      <c r="L148" s="47">
        <f t="shared" si="68"/>
        <v>0</v>
      </c>
      <c r="M148" s="43"/>
      <c r="N148" s="43"/>
      <c r="O148" s="43"/>
      <c r="P148" s="46"/>
      <c r="Q148" s="47">
        <f t="shared" si="103"/>
        <v>0</v>
      </c>
      <c r="R148" s="233"/>
      <c r="S148" s="234"/>
      <c r="T148" s="230"/>
      <c r="U148" s="231"/>
      <c r="V148" s="231"/>
      <c r="W148" s="232"/>
      <c r="X148" s="235" t="str">
        <f>IFERROR(INDEX(Table3923[],MATCH(R148,Table3923[Column1],),3),"")</f>
        <v/>
      </c>
      <c r="Y148" s="235"/>
      <c r="Z148" s="48" t="s">
        <v>85</v>
      </c>
      <c r="AA148" s="48" t="s">
        <v>85</v>
      </c>
      <c r="AB148" s="49"/>
      <c r="AC148" s="50"/>
      <c r="AD148" s="51">
        <f t="shared" si="84"/>
        <v>0</v>
      </c>
      <c r="AG148" s="52">
        <f t="shared" si="85"/>
        <v>0</v>
      </c>
      <c r="AH148" s="53"/>
      <c r="AM148" s="55">
        <f t="shared" si="86"/>
        <v>0</v>
      </c>
      <c r="AN148" s="55">
        <f t="shared" si="87"/>
        <v>0</v>
      </c>
      <c r="AO148" s="55">
        <f t="shared" si="88"/>
        <v>0</v>
      </c>
      <c r="AP148" s="56">
        <f t="shared" si="89"/>
        <v>0</v>
      </c>
      <c r="AQ148" s="55" t="str">
        <f t="shared" si="104"/>
        <v>0.00</v>
      </c>
      <c r="AR148" s="55" t="str">
        <f t="shared" si="90"/>
        <v>0</v>
      </c>
      <c r="AS148" s="57">
        <f t="shared" si="105"/>
        <v>0</v>
      </c>
      <c r="AT148" s="58">
        <f t="shared" si="91"/>
        <v>0</v>
      </c>
      <c r="AU148" s="57">
        <f t="shared" si="92"/>
        <v>0</v>
      </c>
      <c r="AV148" s="59">
        <f t="shared" si="106"/>
        <v>0</v>
      </c>
      <c r="AW148" s="59">
        <f t="shared" si="93"/>
        <v>0</v>
      </c>
      <c r="AX148" s="9"/>
      <c r="AY148" s="60">
        <f t="shared" si="94"/>
        <v>0</v>
      </c>
      <c r="AZ148" s="61">
        <f>_xlfn.IFNA(INDEX(Table3923[Column4],MATCH(R148,Table3923[Column1],0)),1.5)</f>
        <v>1.5</v>
      </c>
      <c r="BA148" s="62">
        <f>VLOOKUP(Z148,Table1331[#All],2,FALSE)</f>
        <v>1</v>
      </c>
      <c r="BB148" s="61">
        <f t="shared" si="69"/>
        <v>1.5</v>
      </c>
      <c r="BC148" s="55">
        <f t="shared" si="95"/>
        <v>0</v>
      </c>
      <c r="BD148" s="43">
        <f t="shared" si="96"/>
        <v>0</v>
      </c>
      <c r="BE148" s="63">
        <f t="shared" si="97"/>
        <v>0</v>
      </c>
      <c r="BF148" s="60">
        <f t="shared" si="98"/>
        <v>0</v>
      </c>
      <c r="BG148" s="60">
        <f t="shared" si="99"/>
        <v>0</v>
      </c>
      <c r="BH148" s="60">
        <f t="shared" si="100"/>
        <v>0</v>
      </c>
      <c r="BI148" s="55">
        <f>VLOOKUP(AA148,Table1533[#All],2,FALSE)</f>
        <v>1.25</v>
      </c>
      <c r="BJ148" s="55">
        <f t="shared" si="101"/>
        <v>0</v>
      </c>
      <c r="BK148" s="43" t="str">
        <f t="shared" si="102"/>
        <v>0</v>
      </c>
      <c r="BL148" s="62">
        <f t="shared" si="107"/>
        <v>0</v>
      </c>
      <c r="CH148" s="148" t="s">
        <v>299</v>
      </c>
      <c r="CI148" s="149">
        <v>1.35</v>
      </c>
      <c r="CJ148" s="145">
        <f t="shared" si="70"/>
        <v>1.4850000000000003</v>
      </c>
      <c r="CK148" s="153">
        <v>1.75</v>
      </c>
      <c r="CL148" s="277">
        <f>(L150*H150)/12</f>
        <v>0</v>
      </c>
    </row>
    <row r="149" spans="1:90" ht="11.05" hidden="1" customHeight="1" x14ac:dyDescent="0.6">
      <c r="A149" s="42"/>
      <c r="B149" s="230"/>
      <c r="C149" s="231"/>
      <c r="D149" s="231"/>
      <c r="E149" s="232"/>
      <c r="F149" s="43"/>
      <c r="G149" s="43"/>
      <c r="H149" s="44"/>
      <c r="I149" s="45"/>
      <c r="J149" s="43"/>
      <c r="K149" s="46"/>
      <c r="L149" s="47">
        <f t="shared" si="68"/>
        <v>0</v>
      </c>
      <c r="M149" s="43"/>
      <c r="N149" s="43"/>
      <c r="O149" s="43"/>
      <c r="P149" s="46"/>
      <c r="Q149" s="47">
        <f t="shared" si="103"/>
        <v>0</v>
      </c>
      <c r="R149" s="233"/>
      <c r="S149" s="234"/>
      <c r="T149" s="230"/>
      <c r="U149" s="231"/>
      <c r="V149" s="231"/>
      <c r="W149" s="232"/>
      <c r="X149" s="235" t="str">
        <f>IFERROR(INDEX(Table3923[],MATCH(R149,Table3923[Column1],),3),"")</f>
        <v/>
      </c>
      <c r="Y149" s="235"/>
      <c r="Z149" s="48" t="s">
        <v>85</v>
      </c>
      <c r="AA149" s="48" t="s">
        <v>85</v>
      </c>
      <c r="AB149" s="49"/>
      <c r="AC149" s="50"/>
      <c r="AD149" s="51">
        <f t="shared" si="84"/>
        <v>0</v>
      </c>
      <c r="AG149" s="52">
        <f t="shared" si="85"/>
        <v>0</v>
      </c>
      <c r="AH149" s="53"/>
      <c r="AM149" s="55">
        <f t="shared" si="86"/>
        <v>0</v>
      </c>
      <c r="AN149" s="55">
        <f t="shared" si="87"/>
        <v>0</v>
      </c>
      <c r="AO149" s="55">
        <f t="shared" si="88"/>
        <v>0</v>
      </c>
      <c r="AP149" s="56">
        <f t="shared" si="89"/>
        <v>0</v>
      </c>
      <c r="AQ149" s="55" t="str">
        <f t="shared" si="104"/>
        <v>0.00</v>
      </c>
      <c r="AR149" s="55" t="str">
        <f t="shared" si="90"/>
        <v>0</v>
      </c>
      <c r="AS149" s="57">
        <f t="shared" si="105"/>
        <v>0</v>
      </c>
      <c r="AT149" s="58">
        <f t="shared" si="91"/>
        <v>0</v>
      </c>
      <c r="AU149" s="57">
        <f t="shared" si="92"/>
        <v>0</v>
      </c>
      <c r="AV149" s="59">
        <f t="shared" si="106"/>
        <v>0</v>
      </c>
      <c r="AW149" s="59">
        <f t="shared" si="93"/>
        <v>0</v>
      </c>
      <c r="AX149" s="9"/>
      <c r="AY149" s="60">
        <f t="shared" si="94"/>
        <v>0</v>
      </c>
      <c r="AZ149" s="61">
        <f>_xlfn.IFNA(INDEX(Table3923[Column4],MATCH(R149,Table3923[Column1],0)),1.5)</f>
        <v>1.5</v>
      </c>
      <c r="BA149" s="62">
        <f>VLOOKUP(Z149,Table1331[#All],2,FALSE)</f>
        <v>1</v>
      </c>
      <c r="BB149" s="61">
        <f t="shared" si="69"/>
        <v>1.5</v>
      </c>
      <c r="BC149" s="55">
        <f t="shared" si="95"/>
        <v>0</v>
      </c>
      <c r="BD149" s="43">
        <f t="shared" si="96"/>
        <v>0</v>
      </c>
      <c r="BE149" s="63">
        <f t="shared" si="97"/>
        <v>0</v>
      </c>
      <c r="BF149" s="60">
        <f t="shared" si="98"/>
        <v>0</v>
      </c>
      <c r="BG149" s="60">
        <f t="shared" si="99"/>
        <v>0</v>
      </c>
      <c r="BH149" s="60">
        <f t="shared" si="100"/>
        <v>0</v>
      </c>
      <c r="BI149" s="55">
        <f>VLOOKUP(AA149,Table1533[#All],2,FALSE)</f>
        <v>1.25</v>
      </c>
      <c r="BJ149" s="55">
        <f t="shared" si="101"/>
        <v>0</v>
      </c>
      <c r="BK149" s="43" t="str">
        <f t="shared" si="102"/>
        <v>0</v>
      </c>
      <c r="BL149" s="62">
        <f t="shared" si="107"/>
        <v>0</v>
      </c>
      <c r="CH149" s="148" t="s">
        <v>300</v>
      </c>
      <c r="CI149" s="151">
        <v>1.8</v>
      </c>
      <c r="CJ149" s="145">
        <f t="shared" si="70"/>
        <v>1.9800000000000002</v>
      </c>
      <c r="CK149" s="153">
        <v>1.75</v>
      </c>
      <c r="CL149" s="277">
        <f>(L151*H151)/12</f>
        <v>0</v>
      </c>
    </row>
    <row r="150" spans="1:90" ht="11.05" hidden="1" customHeight="1" x14ac:dyDescent="0.6">
      <c r="A150" s="42"/>
      <c r="B150" s="230"/>
      <c r="C150" s="231"/>
      <c r="D150" s="231"/>
      <c r="E150" s="232"/>
      <c r="F150" s="43"/>
      <c r="G150" s="43"/>
      <c r="H150" s="44"/>
      <c r="I150" s="45"/>
      <c r="J150" s="43"/>
      <c r="K150" s="46"/>
      <c r="L150" s="47">
        <f t="shared" si="68"/>
        <v>0</v>
      </c>
      <c r="M150" s="43"/>
      <c r="N150" s="43"/>
      <c r="O150" s="43"/>
      <c r="P150" s="46"/>
      <c r="Q150" s="47">
        <f t="shared" si="103"/>
        <v>0</v>
      </c>
      <c r="R150" s="233"/>
      <c r="S150" s="234"/>
      <c r="T150" s="230"/>
      <c r="U150" s="231"/>
      <c r="V150" s="231"/>
      <c r="W150" s="232"/>
      <c r="X150" s="235" t="str">
        <f>IFERROR(INDEX(Table3923[],MATCH(R150,Table3923[Column1],),3),"")</f>
        <v/>
      </c>
      <c r="Y150" s="235"/>
      <c r="Z150" s="48" t="s">
        <v>85</v>
      </c>
      <c r="AA150" s="48" t="s">
        <v>85</v>
      </c>
      <c r="AB150" s="49"/>
      <c r="AC150" s="50"/>
      <c r="AD150" s="51">
        <f t="shared" si="84"/>
        <v>0</v>
      </c>
      <c r="AG150" s="52">
        <f t="shared" si="85"/>
        <v>0</v>
      </c>
      <c r="AH150" s="53"/>
      <c r="AM150" s="55">
        <f t="shared" si="86"/>
        <v>0</v>
      </c>
      <c r="AN150" s="55">
        <f t="shared" si="87"/>
        <v>0</v>
      </c>
      <c r="AO150" s="55">
        <f t="shared" si="88"/>
        <v>0</v>
      </c>
      <c r="AP150" s="56">
        <f t="shared" si="89"/>
        <v>0</v>
      </c>
      <c r="AQ150" s="55" t="str">
        <f t="shared" si="104"/>
        <v>0.00</v>
      </c>
      <c r="AR150" s="55" t="str">
        <f t="shared" si="90"/>
        <v>0</v>
      </c>
      <c r="AS150" s="57">
        <f t="shared" si="105"/>
        <v>0</v>
      </c>
      <c r="AT150" s="58">
        <f t="shared" si="91"/>
        <v>0</v>
      </c>
      <c r="AU150" s="57">
        <f t="shared" si="92"/>
        <v>0</v>
      </c>
      <c r="AV150" s="59">
        <f t="shared" si="106"/>
        <v>0</v>
      </c>
      <c r="AW150" s="59">
        <f t="shared" si="93"/>
        <v>0</v>
      </c>
      <c r="AX150" s="9"/>
      <c r="AY150" s="60">
        <f t="shared" si="94"/>
        <v>0</v>
      </c>
      <c r="AZ150" s="61">
        <f>_xlfn.IFNA(INDEX(Table3923[Column4],MATCH(R150,Table3923[Column1],0)),1.5)</f>
        <v>1.5</v>
      </c>
      <c r="BA150" s="62">
        <f>VLOOKUP(Z150,Table1331[#All],2,FALSE)</f>
        <v>1</v>
      </c>
      <c r="BB150" s="61">
        <f t="shared" si="69"/>
        <v>1.5</v>
      </c>
      <c r="BC150" s="55">
        <f t="shared" si="95"/>
        <v>0</v>
      </c>
      <c r="BD150" s="43">
        <f t="shared" si="96"/>
        <v>0</v>
      </c>
      <c r="BE150" s="63">
        <f t="shared" si="97"/>
        <v>0</v>
      </c>
      <c r="BF150" s="60">
        <f t="shared" si="98"/>
        <v>0</v>
      </c>
      <c r="BG150" s="60">
        <f t="shared" si="99"/>
        <v>0</v>
      </c>
      <c r="BH150" s="60">
        <f t="shared" si="100"/>
        <v>0</v>
      </c>
      <c r="BI150" s="55">
        <f>VLOOKUP(AA150,Table1533[#All],2,FALSE)</f>
        <v>1.25</v>
      </c>
      <c r="BJ150" s="55">
        <f t="shared" si="101"/>
        <v>0</v>
      </c>
      <c r="BK150" s="43" t="str">
        <f t="shared" si="102"/>
        <v>0</v>
      </c>
      <c r="BL150" s="62">
        <f t="shared" si="107"/>
        <v>0</v>
      </c>
      <c r="CH150" s="148" t="s">
        <v>301</v>
      </c>
      <c r="CI150" s="149">
        <v>1.66</v>
      </c>
      <c r="CJ150" s="145">
        <f t="shared" si="70"/>
        <v>1.8260000000000001</v>
      </c>
      <c r="CK150" s="153">
        <v>1.75</v>
      </c>
      <c r="CL150" s="277">
        <f>(L152*H152)/12</f>
        <v>0</v>
      </c>
    </row>
    <row r="151" spans="1:90" ht="11.05" hidden="1" customHeight="1" x14ac:dyDescent="0.6">
      <c r="A151" s="42"/>
      <c r="B151" s="230"/>
      <c r="C151" s="231"/>
      <c r="D151" s="231"/>
      <c r="E151" s="232"/>
      <c r="F151" s="43"/>
      <c r="G151" s="43"/>
      <c r="H151" s="44"/>
      <c r="I151" s="45"/>
      <c r="J151" s="43"/>
      <c r="K151" s="46"/>
      <c r="L151" s="47">
        <f t="shared" si="68"/>
        <v>0</v>
      </c>
      <c r="M151" s="43"/>
      <c r="N151" s="43"/>
      <c r="O151" s="43"/>
      <c r="P151" s="46"/>
      <c r="Q151" s="47">
        <f t="shared" si="103"/>
        <v>0</v>
      </c>
      <c r="R151" s="233"/>
      <c r="S151" s="234"/>
      <c r="T151" s="230"/>
      <c r="U151" s="231"/>
      <c r="V151" s="231"/>
      <c r="W151" s="232"/>
      <c r="X151" s="235" t="str">
        <f>IFERROR(INDEX(Table3923[],MATCH(R151,Table3923[Column1],),3),"")</f>
        <v/>
      </c>
      <c r="Y151" s="235"/>
      <c r="Z151" s="48" t="s">
        <v>85</v>
      </c>
      <c r="AA151" s="48" t="s">
        <v>85</v>
      </c>
      <c r="AB151" s="49"/>
      <c r="AC151" s="50"/>
      <c r="AD151" s="51">
        <f t="shared" si="84"/>
        <v>0</v>
      </c>
      <c r="AG151" s="52">
        <f t="shared" si="85"/>
        <v>0</v>
      </c>
      <c r="AH151" s="53"/>
      <c r="AM151" s="55">
        <f t="shared" si="86"/>
        <v>0</v>
      </c>
      <c r="AN151" s="55">
        <f t="shared" si="87"/>
        <v>0</v>
      </c>
      <c r="AO151" s="55">
        <f t="shared" si="88"/>
        <v>0</v>
      </c>
      <c r="AP151" s="56">
        <f t="shared" si="89"/>
        <v>0</v>
      </c>
      <c r="AQ151" s="55" t="str">
        <f t="shared" si="104"/>
        <v>0.00</v>
      </c>
      <c r="AR151" s="55" t="str">
        <f t="shared" si="90"/>
        <v>0</v>
      </c>
      <c r="AS151" s="57">
        <f t="shared" si="105"/>
        <v>0</v>
      </c>
      <c r="AT151" s="58">
        <f t="shared" si="91"/>
        <v>0</v>
      </c>
      <c r="AU151" s="57">
        <f t="shared" si="92"/>
        <v>0</v>
      </c>
      <c r="AV151" s="59">
        <f t="shared" si="106"/>
        <v>0</v>
      </c>
      <c r="AW151" s="59">
        <f t="shared" si="93"/>
        <v>0</v>
      </c>
      <c r="AX151" s="9"/>
      <c r="AY151" s="60">
        <f t="shared" si="94"/>
        <v>0</v>
      </c>
      <c r="AZ151" s="61">
        <f>_xlfn.IFNA(INDEX(Table3923[Column4],MATCH(R151,Table3923[Column1],0)),1.5)</f>
        <v>1.5</v>
      </c>
      <c r="BA151" s="62">
        <f>VLOOKUP(Z151,Table1331[#All],2,FALSE)</f>
        <v>1</v>
      </c>
      <c r="BB151" s="61">
        <f t="shared" si="69"/>
        <v>1.5</v>
      </c>
      <c r="BC151" s="55">
        <f t="shared" si="95"/>
        <v>0</v>
      </c>
      <c r="BD151" s="43">
        <f t="shared" si="96"/>
        <v>0</v>
      </c>
      <c r="BE151" s="63">
        <f t="shared" si="97"/>
        <v>0</v>
      </c>
      <c r="BF151" s="60">
        <f t="shared" si="98"/>
        <v>0</v>
      </c>
      <c r="BG151" s="60">
        <f t="shared" si="99"/>
        <v>0</v>
      </c>
      <c r="BH151" s="60">
        <f t="shared" si="100"/>
        <v>0</v>
      </c>
      <c r="BI151" s="55">
        <f>VLOOKUP(AA151,Table1533[#All],2,FALSE)</f>
        <v>1.25</v>
      </c>
      <c r="BJ151" s="55">
        <f t="shared" si="101"/>
        <v>0</v>
      </c>
      <c r="BK151" s="43" t="str">
        <f t="shared" si="102"/>
        <v>0</v>
      </c>
      <c r="BL151" s="62">
        <f t="shared" si="107"/>
        <v>0</v>
      </c>
      <c r="CH151" s="148"/>
      <c r="CI151" s="151"/>
      <c r="CJ151" s="145"/>
      <c r="CK151" s="153"/>
      <c r="CL151" s="277">
        <f>(L153*H153)/12</f>
        <v>0</v>
      </c>
    </row>
    <row r="152" spans="1:90" ht="11.05" hidden="1" customHeight="1" x14ac:dyDescent="0.6">
      <c r="A152" s="42"/>
      <c r="B152" s="230"/>
      <c r="C152" s="231"/>
      <c r="D152" s="231"/>
      <c r="E152" s="232"/>
      <c r="F152" s="43"/>
      <c r="G152" s="43"/>
      <c r="H152" s="44"/>
      <c r="I152" s="45"/>
      <c r="J152" s="43"/>
      <c r="K152" s="46"/>
      <c r="L152" s="47">
        <f t="shared" si="68"/>
        <v>0</v>
      </c>
      <c r="M152" s="43"/>
      <c r="N152" s="43"/>
      <c r="O152" s="43"/>
      <c r="P152" s="46"/>
      <c r="Q152" s="47">
        <f t="shared" si="103"/>
        <v>0</v>
      </c>
      <c r="R152" s="233"/>
      <c r="S152" s="234"/>
      <c r="T152" s="230"/>
      <c r="U152" s="231"/>
      <c r="V152" s="231"/>
      <c r="W152" s="232"/>
      <c r="X152" s="235" t="str">
        <f>IFERROR(INDEX(Table3923[],MATCH(R152,Table3923[Column1],),3),"")</f>
        <v/>
      </c>
      <c r="Y152" s="235"/>
      <c r="Z152" s="48" t="s">
        <v>85</v>
      </c>
      <c r="AA152" s="48" t="s">
        <v>85</v>
      </c>
      <c r="AB152" s="49"/>
      <c r="AC152" s="50"/>
      <c r="AD152" s="51">
        <f t="shared" si="84"/>
        <v>0</v>
      </c>
      <c r="AG152" s="52">
        <f t="shared" si="85"/>
        <v>0</v>
      </c>
      <c r="AH152" s="53"/>
      <c r="AM152" s="55">
        <f t="shared" si="86"/>
        <v>0</v>
      </c>
      <c r="AN152" s="55">
        <f t="shared" si="87"/>
        <v>0</v>
      </c>
      <c r="AO152" s="55">
        <f t="shared" si="88"/>
        <v>0</v>
      </c>
      <c r="AP152" s="56">
        <f t="shared" si="89"/>
        <v>0</v>
      </c>
      <c r="AQ152" s="55" t="str">
        <f t="shared" si="104"/>
        <v>0.00</v>
      </c>
      <c r="AR152" s="55" t="str">
        <f t="shared" si="90"/>
        <v>0</v>
      </c>
      <c r="AS152" s="57">
        <f t="shared" si="105"/>
        <v>0</v>
      </c>
      <c r="AT152" s="58">
        <f t="shared" si="91"/>
        <v>0</v>
      </c>
      <c r="AU152" s="57">
        <f t="shared" si="92"/>
        <v>0</v>
      </c>
      <c r="AV152" s="59">
        <f t="shared" si="106"/>
        <v>0</v>
      </c>
      <c r="AW152" s="59">
        <f t="shared" si="93"/>
        <v>0</v>
      </c>
      <c r="AX152" s="9"/>
      <c r="AY152" s="60">
        <f t="shared" si="94"/>
        <v>0</v>
      </c>
      <c r="AZ152" s="61">
        <f>_xlfn.IFNA(INDEX(Table3923[Column4],MATCH(R152,Table3923[Column1],0)),1.5)</f>
        <v>1.5</v>
      </c>
      <c r="BA152" s="62">
        <f>VLOOKUP(Z152,Table1331[#All],2,FALSE)</f>
        <v>1</v>
      </c>
      <c r="BB152" s="61">
        <f t="shared" si="69"/>
        <v>1.5</v>
      </c>
      <c r="BC152" s="55">
        <f t="shared" si="95"/>
        <v>0</v>
      </c>
      <c r="BD152" s="43">
        <f t="shared" si="96"/>
        <v>0</v>
      </c>
      <c r="BE152" s="63">
        <f t="shared" si="97"/>
        <v>0</v>
      </c>
      <c r="BF152" s="60">
        <f t="shared" si="98"/>
        <v>0</v>
      </c>
      <c r="BG152" s="60">
        <f t="shared" si="99"/>
        <v>0</v>
      </c>
      <c r="BH152" s="60">
        <f t="shared" si="100"/>
        <v>0</v>
      </c>
      <c r="BI152" s="55">
        <f>VLOOKUP(AA152,Table1533[#All],2,FALSE)</f>
        <v>1.25</v>
      </c>
      <c r="BJ152" s="55">
        <f t="shared" si="101"/>
        <v>0</v>
      </c>
      <c r="BK152" s="43" t="str">
        <f t="shared" si="102"/>
        <v>0</v>
      </c>
      <c r="BL152" s="62">
        <f t="shared" si="107"/>
        <v>0</v>
      </c>
      <c r="CH152" s="148" t="s">
        <v>302</v>
      </c>
      <c r="CI152" s="149">
        <v>5.87</v>
      </c>
      <c r="CJ152" s="145">
        <f t="shared" si="70"/>
        <v>6.4570000000000007</v>
      </c>
      <c r="CK152" s="153">
        <v>1.5</v>
      </c>
      <c r="CL152" s="277">
        <f>(L154*H154)/12</f>
        <v>0</v>
      </c>
    </row>
    <row r="153" spans="1:90" ht="11.05" hidden="1" customHeight="1" x14ac:dyDescent="0.6">
      <c r="A153" s="42"/>
      <c r="B153" s="230"/>
      <c r="C153" s="231"/>
      <c r="D153" s="231"/>
      <c r="E153" s="232"/>
      <c r="F153" s="43"/>
      <c r="G153" s="43"/>
      <c r="H153" s="44"/>
      <c r="I153" s="45"/>
      <c r="J153" s="43"/>
      <c r="K153" s="46"/>
      <c r="L153" s="47">
        <f t="shared" si="68"/>
        <v>0</v>
      </c>
      <c r="M153" s="43"/>
      <c r="N153" s="43"/>
      <c r="O153" s="43"/>
      <c r="P153" s="46"/>
      <c r="Q153" s="47">
        <f t="shared" si="103"/>
        <v>0</v>
      </c>
      <c r="R153" s="233"/>
      <c r="S153" s="234"/>
      <c r="T153" s="230"/>
      <c r="U153" s="231"/>
      <c r="V153" s="231"/>
      <c r="W153" s="232"/>
      <c r="X153" s="235" t="str">
        <f>IFERROR(INDEX(Table3923[],MATCH(R153,Table3923[Column1],),3),"")</f>
        <v/>
      </c>
      <c r="Y153" s="235"/>
      <c r="Z153" s="48" t="s">
        <v>85</v>
      </c>
      <c r="AA153" s="48" t="s">
        <v>85</v>
      </c>
      <c r="AB153" s="49"/>
      <c r="AC153" s="50"/>
      <c r="AD153" s="51">
        <f t="shared" si="84"/>
        <v>0</v>
      </c>
      <c r="AG153" s="52">
        <f t="shared" si="85"/>
        <v>0</v>
      </c>
      <c r="AH153" s="53"/>
      <c r="AM153" s="55">
        <f t="shared" si="86"/>
        <v>0</v>
      </c>
      <c r="AN153" s="55">
        <f t="shared" si="87"/>
        <v>0</v>
      </c>
      <c r="AO153" s="55">
        <f t="shared" si="88"/>
        <v>0</v>
      </c>
      <c r="AP153" s="56">
        <f t="shared" si="89"/>
        <v>0</v>
      </c>
      <c r="AQ153" s="55" t="str">
        <f t="shared" si="104"/>
        <v>0.00</v>
      </c>
      <c r="AR153" s="55" t="str">
        <f t="shared" si="90"/>
        <v>0</v>
      </c>
      <c r="AS153" s="57">
        <f t="shared" si="105"/>
        <v>0</v>
      </c>
      <c r="AT153" s="58">
        <f t="shared" si="91"/>
        <v>0</v>
      </c>
      <c r="AU153" s="57">
        <f t="shared" si="92"/>
        <v>0</v>
      </c>
      <c r="AV153" s="59">
        <f t="shared" si="106"/>
        <v>0</v>
      </c>
      <c r="AW153" s="59">
        <f t="shared" si="93"/>
        <v>0</v>
      </c>
      <c r="AX153" s="9"/>
      <c r="AY153" s="60">
        <f t="shared" si="94"/>
        <v>0</v>
      </c>
      <c r="AZ153" s="61">
        <f>_xlfn.IFNA(INDEX(Table3923[Column4],MATCH(R153,Table3923[Column1],0)),1.5)</f>
        <v>1.5</v>
      </c>
      <c r="BA153" s="62">
        <f>VLOOKUP(Z153,Table1331[#All],2,FALSE)</f>
        <v>1</v>
      </c>
      <c r="BB153" s="61">
        <f t="shared" si="69"/>
        <v>1.5</v>
      </c>
      <c r="BC153" s="55">
        <f t="shared" si="95"/>
        <v>0</v>
      </c>
      <c r="BD153" s="43">
        <f t="shared" si="96"/>
        <v>0</v>
      </c>
      <c r="BE153" s="63">
        <f t="shared" si="97"/>
        <v>0</v>
      </c>
      <c r="BF153" s="60">
        <f t="shared" si="98"/>
        <v>0</v>
      </c>
      <c r="BG153" s="60">
        <f t="shared" si="99"/>
        <v>0</v>
      </c>
      <c r="BH153" s="60">
        <f t="shared" si="100"/>
        <v>0</v>
      </c>
      <c r="BI153" s="55">
        <f>VLOOKUP(AA153,Table1533[#All],2,FALSE)</f>
        <v>1.25</v>
      </c>
      <c r="BJ153" s="55">
        <f t="shared" si="101"/>
        <v>0</v>
      </c>
      <c r="BK153" s="43" t="str">
        <f t="shared" si="102"/>
        <v>0</v>
      </c>
      <c r="BL153" s="62">
        <f t="shared" si="107"/>
        <v>0</v>
      </c>
      <c r="CH153" s="148" t="s">
        <v>303</v>
      </c>
      <c r="CI153" s="151">
        <v>7.14</v>
      </c>
      <c r="CJ153" s="145">
        <f t="shared" si="70"/>
        <v>7.8540000000000001</v>
      </c>
      <c r="CK153" s="153">
        <v>1.5</v>
      </c>
      <c r="CL153" s="277">
        <f>(L155*H155)/12</f>
        <v>0</v>
      </c>
    </row>
    <row r="154" spans="1:90" ht="11.05" hidden="1" customHeight="1" x14ac:dyDescent="0.6">
      <c r="A154" s="42"/>
      <c r="B154" s="230"/>
      <c r="C154" s="231"/>
      <c r="D154" s="231"/>
      <c r="E154" s="232"/>
      <c r="F154" s="43"/>
      <c r="G154" s="43"/>
      <c r="H154" s="44"/>
      <c r="I154" s="45"/>
      <c r="J154" s="43"/>
      <c r="K154" s="46"/>
      <c r="L154" s="47">
        <f t="shared" si="68"/>
        <v>0</v>
      </c>
      <c r="M154" s="43"/>
      <c r="N154" s="43"/>
      <c r="O154" s="43"/>
      <c r="P154" s="46"/>
      <c r="Q154" s="47">
        <f t="shared" si="103"/>
        <v>0</v>
      </c>
      <c r="R154" s="233"/>
      <c r="S154" s="234"/>
      <c r="T154" s="230"/>
      <c r="U154" s="231"/>
      <c r="V154" s="231"/>
      <c r="W154" s="232"/>
      <c r="X154" s="235" t="str">
        <f>IFERROR(INDEX(Table3923[],MATCH(R154,Table3923[Column1],),3),"")</f>
        <v/>
      </c>
      <c r="Y154" s="235"/>
      <c r="Z154" s="48" t="s">
        <v>85</v>
      </c>
      <c r="AA154" s="48" t="s">
        <v>85</v>
      </c>
      <c r="AB154" s="49"/>
      <c r="AC154" s="50"/>
      <c r="AD154" s="51">
        <f t="shared" si="84"/>
        <v>0</v>
      </c>
      <c r="AG154" s="52">
        <f t="shared" si="85"/>
        <v>0</v>
      </c>
      <c r="AH154" s="53"/>
      <c r="AM154" s="55">
        <f t="shared" si="86"/>
        <v>0</v>
      </c>
      <c r="AN154" s="55">
        <f t="shared" si="87"/>
        <v>0</v>
      </c>
      <c r="AO154" s="55">
        <f t="shared" si="88"/>
        <v>0</v>
      </c>
      <c r="AP154" s="56">
        <f t="shared" si="89"/>
        <v>0</v>
      </c>
      <c r="AQ154" s="55" t="str">
        <f t="shared" si="104"/>
        <v>0.00</v>
      </c>
      <c r="AR154" s="55" t="str">
        <f t="shared" si="90"/>
        <v>0</v>
      </c>
      <c r="AS154" s="57">
        <f t="shared" si="105"/>
        <v>0</v>
      </c>
      <c r="AT154" s="58">
        <f t="shared" si="91"/>
        <v>0</v>
      </c>
      <c r="AU154" s="57">
        <f t="shared" si="92"/>
        <v>0</v>
      </c>
      <c r="AV154" s="59">
        <f t="shared" si="106"/>
        <v>0</v>
      </c>
      <c r="AW154" s="59">
        <f t="shared" si="93"/>
        <v>0</v>
      </c>
      <c r="AX154" s="9"/>
      <c r="AY154" s="60">
        <f t="shared" si="94"/>
        <v>0</v>
      </c>
      <c r="AZ154" s="61">
        <f>_xlfn.IFNA(INDEX(Table3923[Column4],MATCH(R154,Table3923[Column1],0)),1.5)</f>
        <v>1.5</v>
      </c>
      <c r="BA154" s="62">
        <f>VLOOKUP(Z154,Table1331[#All],2,FALSE)</f>
        <v>1</v>
      </c>
      <c r="BB154" s="61">
        <f t="shared" si="69"/>
        <v>1.5</v>
      </c>
      <c r="BC154" s="55">
        <f t="shared" si="95"/>
        <v>0</v>
      </c>
      <c r="BD154" s="43">
        <f t="shared" si="96"/>
        <v>0</v>
      </c>
      <c r="BE154" s="63">
        <f t="shared" si="97"/>
        <v>0</v>
      </c>
      <c r="BF154" s="60">
        <f t="shared" si="98"/>
        <v>0</v>
      </c>
      <c r="BG154" s="60">
        <f t="shared" si="99"/>
        <v>0</v>
      </c>
      <c r="BH154" s="60">
        <f t="shared" si="100"/>
        <v>0</v>
      </c>
      <c r="BI154" s="55">
        <f>VLOOKUP(AA154,Table1533[#All],2,FALSE)</f>
        <v>1.25</v>
      </c>
      <c r="BJ154" s="55">
        <f t="shared" si="101"/>
        <v>0</v>
      </c>
      <c r="BK154" s="43" t="str">
        <f t="shared" si="102"/>
        <v>0</v>
      </c>
      <c r="BL154" s="62">
        <f t="shared" si="107"/>
        <v>0</v>
      </c>
      <c r="CH154" s="148" t="s">
        <v>304</v>
      </c>
      <c r="CI154" s="149">
        <v>4.71</v>
      </c>
      <c r="CJ154" s="145">
        <f t="shared" si="70"/>
        <v>5.181</v>
      </c>
      <c r="CK154" s="153">
        <v>1.5</v>
      </c>
      <c r="CL154" s="277">
        <f>(L156*H156)/12</f>
        <v>0</v>
      </c>
    </row>
    <row r="155" spans="1:90" ht="11.05" hidden="1" customHeight="1" x14ac:dyDescent="0.6">
      <c r="A155" s="42"/>
      <c r="B155" s="230"/>
      <c r="C155" s="231"/>
      <c r="D155" s="231"/>
      <c r="E155" s="232"/>
      <c r="F155" s="43"/>
      <c r="G155" s="43"/>
      <c r="H155" s="44"/>
      <c r="I155" s="45"/>
      <c r="J155" s="43"/>
      <c r="K155" s="46"/>
      <c r="L155" s="47">
        <f t="shared" si="68"/>
        <v>0</v>
      </c>
      <c r="M155" s="43"/>
      <c r="N155" s="43"/>
      <c r="O155" s="43"/>
      <c r="P155" s="46"/>
      <c r="Q155" s="47">
        <f t="shared" si="103"/>
        <v>0</v>
      </c>
      <c r="R155" s="233"/>
      <c r="S155" s="234"/>
      <c r="T155" s="230"/>
      <c r="U155" s="231"/>
      <c r="V155" s="231"/>
      <c r="W155" s="232"/>
      <c r="X155" s="235" t="str">
        <f>IFERROR(INDEX(Table3923[],MATCH(R155,Table3923[Column1],),3),"")</f>
        <v/>
      </c>
      <c r="Y155" s="235"/>
      <c r="Z155" s="48" t="s">
        <v>85</v>
      </c>
      <c r="AA155" s="48" t="s">
        <v>85</v>
      </c>
      <c r="AB155" s="49"/>
      <c r="AC155" s="50"/>
      <c r="AD155" s="51">
        <f t="shared" si="84"/>
        <v>0</v>
      </c>
      <c r="AG155" s="52">
        <f t="shared" si="85"/>
        <v>0</v>
      </c>
      <c r="AH155" s="53"/>
      <c r="AM155" s="55">
        <f t="shared" si="86"/>
        <v>0</v>
      </c>
      <c r="AN155" s="55">
        <f t="shared" si="87"/>
        <v>0</v>
      </c>
      <c r="AO155" s="55">
        <f t="shared" si="88"/>
        <v>0</v>
      </c>
      <c r="AP155" s="56">
        <f t="shared" si="89"/>
        <v>0</v>
      </c>
      <c r="AQ155" s="55" t="str">
        <f t="shared" si="104"/>
        <v>0.00</v>
      </c>
      <c r="AR155" s="55" t="str">
        <f t="shared" si="90"/>
        <v>0</v>
      </c>
      <c r="AS155" s="57">
        <f t="shared" si="105"/>
        <v>0</v>
      </c>
      <c r="AT155" s="58">
        <f t="shared" si="91"/>
        <v>0</v>
      </c>
      <c r="AU155" s="57">
        <f t="shared" si="92"/>
        <v>0</v>
      </c>
      <c r="AV155" s="59">
        <f t="shared" si="106"/>
        <v>0</v>
      </c>
      <c r="AW155" s="59">
        <f t="shared" si="93"/>
        <v>0</v>
      </c>
      <c r="AX155" s="9"/>
      <c r="AY155" s="60">
        <f t="shared" si="94"/>
        <v>0</v>
      </c>
      <c r="AZ155" s="61">
        <f>_xlfn.IFNA(INDEX(Table3923[Column4],MATCH(R155,Table3923[Column1],0)),1.5)</f>
        <v>1.5</v>
      </c>
      <c r="BA155" s="62">
        <f>VLOOKUP(Z155,Table1331[#All],2,FALSE)</f>
        <v>1</v>
      </c>
      <c r="BB155" s="61">
        <f t="shared" si="69"/>
        <v>1.5</v>
      </c>
      <c r="BC155" s="55">
        <f t="shared" si="95"/>
        <v>0</v>
      </c>
      <c r="BD155" s="43">
        <f t="shared" si="96"/>
        <v>0</v>
      </c>
      <c r="BE155" s="63">
        <f t="shared" si="97"/>
        <v>0</v>
      </c>
      <c r="BF155" s="60">
        <f t="shared" si="98"/>
        <v>0</v>
      </c>
      <c r="BG155" s="60">
        <f t="shared" si="99"/>
        <v>0</v>
      </c>
      <c r="BH155" s="60">
        <f t="shared" si="100"/>
        <v>0</v>
      </c>
      <c r="BI155" s="55">
        <f>VLOOKUP(AA155,Table1533[#All],2,FALSE)</f>
        <v>1.25</v>
      </c>
      <c r="BJ155" s="55">
        <f t="shared" si="101"/>
        <v>0</v>
      </c>
      <c r="BK155" s="43" t="str">
        <f t="shared" si="102"/>
        <v>0</v>
      </c>
      <c r="BL155" s="62">
        <f t="shared" si="107"/>
        <v>0</v>
      </c>
      <c r="CH155" s="148" t="s">
        <v>305</v>
      </c>
      <c r="CI155" s="151">
        <v>6.91</v>
      </c>
      <c r="CJ155" s="145">
        <f t="shared" si="70"/>
        <v>7.6010000000000009</v>
      </c>
      <c r="CK155" s="153">
        <v>1.5</v>
      </c>
    </row>
    <row r="156" spans="1:90" ht="11.05" hidden="1" customHeight="1" x14ac:dyDescent="0.6">
      <c r="A156" s="42"/>
      <c r="B156" s="230"/>
      <c r="C156" s="231"/>
      <c r="D156" s="231"/>
      <c r="E156" s="232"/>
      <c r="F156" s="43"/>
      <c r="G156" s="43"/>
      <c r="H156" s="44"/>
      <c r="I156" s="45"/>
      <c r="J156" s="43"/>
      <c r="K156" s="46"/>
      <c r="L156" s="47">
        <f t="shared" si="68"/>
        <v>0</v>
      </c>
      <c r="M156" s="43"/>
      <c r="N156" s="43"/>
      <c r="O156" s="43"/>
      <c r="P156" s="46"/>
      <c r="Q156" s="47">
        <f t="shared" si="103"/>
        <v>0</v>
      </c>
      <c r="R156" s="233"/>
      <c r="S156" s="234"/>
      <c r="T156" s="230"/>
      <c r="U156" s="231"/>
      <c r="V156" s="231"/>
      <c r="W156" s="232"/>
      <c r="X156" s="235" t="str">
        <f>IFERROR(INDEX(Table3923[],MATCH(R156,Table3923[Column1],),3),"")</f>
        <v/>
      </c>
      <c r="Y156" s="235"/>
      <c r="Z156" s="48" t="s">
        <v>85</v>
      </c>
      <c r="AA156" s="48" t="s">
        <v>85</v>
      </c>
      <c r="AB156" s="49"/>
      <c r="AC156" s="50"/>
      <c r="AD156" s="51">
        <f t="shared" si="84"/>
        <v>0</v>
      </c>
      <c r="AG156" s="52">
        <f t="shared" si="85"/>
        <v>0</v>
      </c>
      <c r="AH156" s="53"/>
      <c r="AM156" s="55">
        <f t="shared" si="86"/>
        <v>0</v>
      </c>
      <c r="AN156" s="55">
        <f t="shared" si="87"/>
        <v>0</v>
      </c>
      <c r="AO156" s="55">
        <f t="shared" si="88"/>
        <v>0</v>
      </c>
      <c r="AP156" s="56">
        <f t="shared" si="89"/>
        <v>0</v>
      </c>
      <c r="AQ156" s="55" t="str">
        <f t="shared" si="104"/>
        <v>0.00</v>
      </c>
      <c r="AR156" s="55" t="str">
        <f t="shared" si="90"/>
        <v>0</v>
      </c>
      <c r="AS156" s="57">
        <f t="shared" si="105"/>
        <v>0</v>
      </c>
      <c r="AT156" s="58">
        <f t="shared" si="91"/>
        <v>0</v>
      </c>
      <c r="AU156" s="57">
        <f t="shared" si="92"/>
        <v>0</v>
      </c>
      <c r="AV156" s="59">
        <f t="shared" si="106"/>
        <v>0</v>
      </c>
      <c r="AW156" s="59">
        <f t="shared" si="93"/>
        <v>0</v>
      </c>
      <c r="AX156" s="9"/>
      <c r="AY156" s="60">
        <f t="shared" si="94"/>
        <v>0</v>
      </c>
      <c r="AZ156" s="61">
        <f>_xlfn.IFNA(INDEX(Table3923[Column4],MATCH(R156,Table3923[Column1],0)),1.5)</f>
        <v>1.5</v>
      </c>
      <c r="BA156" s="62">
        <f>VLOOKUP(Z156,Table1331[#All],2,FALSE)</f>
        <v>1</v>
      </c>
      <c r="BB156" s="61">
        <f t="shared" si="69"/>
        <v>1.5</v>
      </c>
      <c r="BC156" s="55">
        <f t="shared" si="95"/>
        <v>0</v>
      </c>
      <c r="BD156" s="43">
        <f t="shared" si="96"/>
        <v>0</v>
      </c>
      <c r="BE156" s="63">
        <f t="shared" si="97"/>
        <v>0</v>
      </c>
      <c r="BF156" s="60">
        <f t="shared" si="98"/>
        <v>0</v>
      </c>
      <c r="BG156" s="60">
        <f t="shared" si="99"/>
        <v>0</v>
      </c>
      <c r="BH156" s="60">
        <f t="shared" si="100"/>
        <v>0</v>
      </c>
      <c r="BI156" s="55">
        <f>VLOOKUP(AA156,Table1533[#All],2,FALSE)</f>
        <v>1.25</v>
      </c>
      <c r="BJ156" s="55">
        <f t="shared" si="101"/>
        <v>0</v>
      </c>
      <c r="BK156" s="43" t="str">
        <f t="shared" si="102"/>
        <v>0</v>
      </c>
      <c r="BL156" s="62">
        <f t="shared" si="107"/>
        <v>0</v>
      </c>
      <c r="CH156" s="148" t="s">
        <v>306</v>
      </c>
      <c r="CI156" s="149">
        <v>3.5</v>
      </c>
      <c r="CJ156" s="145">
        <f t="shared" si="70"/>
        <v>3.8500000000000005</v>
      </c>
      <c r="CK156" s="153">
        <v>1.5</v>
      </c>
    </row>
    <row r="157" spans="1:90" ht="11.05" hidden="1" customHeight="1" thickBot="1" x14ac:dyDescent="0.6">
      <c r="A157" s="42"/>
      <c r="B157" s="230"/>
      <c r="C157" s="231"/>
      <c r="D157" s="231"/>
      <c r="E157" s="232"/>
      <c r="F157" s="43"/>
      <c r="G157" s="43"/>
      <c r="H157" s="44"/>
      <c r="I157" s="45"/>
      <c r="J157" s="43"/>
      <c r="K157" s="46"/>
      <c r="L157" s="47">
        <f t="shared" si="68"/>
        <v>0</v>
      </c>
      <c r="M157" s="43"/>
      <c r="N157" s="43"/>
      <c r="O157" s="43"/>
      <c r="P157" s="46"/>
      <c r="Q157" s="47">
        <f t="shared" si="103"/>
        <v>0</v>
      </c>
      <c r="R157" s="233"/>
      <c r="S157" s="234"/>
      <c r="T157" s="230"/>
      <c r="U157" s="231"/>
      <c r="V157" s="231"/>
      <c r="W157" s="232"/>
      <c r="X157" s="236" t="str">
        <f>IFERROR(INDEX(Table3923[],MATCH(R157,Table3923[Column1],),3),"")</f>
        <v/>
      </c>
      <c r="Y157" s="236"/>
      <c r="Z157" s="88" t="s">
        <v>85</v>
      </c>
      <c r="AA157" s="88" t="s">
        <v>85</v>
      </c>
      <c r="AB157" s="89"/>
      <c r="AC157" s="90"/>
      <c r="AD157" s="91">
        <f t="shared" si="84"/>
        <v>0</v>
      </c>
      <c r="AG157" s="52">
        <f t="shared" si="85"/>
        <v>0</v>
      </c>
      <c r="AH157" s="53"/>
      <c r="AM157" s="55">
        <f t="shared" si="86"/>
        <v>0</v>
      </c>
      <c r="AN157" s="55">
        <f t="shared" si="87"/>
        <v>0</v>
      </c>
      <c r="AO157" s="55">
        <f t="shared" si="88"/>
        <v>0</v>
      </c>
      <c r="AP157" s="56">
        <f t="shared" si="89"/>
        <v>0</v>
      </c>
      <c r="AQ157" s="55" t="str">
        <f t="shared" si="104"/>
        <v>0.00</v>
      </c>
      <c r="AR157" s="55" t="str">
        <f t="shared" si="90"/>
        <v>0</v>
      </c>
      <c r="AS157" s="57">
        <f t="shared" si="105"/>
        <v>0</v>
      </c>
      <c r="AT157" s="58">
        <f t="shared" si="91"/>
        <v>0</v>
      </c>
      <c r="AU157" s="57">
        <f t="shared" si="92"/>
        <v>0</v>
      </c>
      <c r="AV157" s="59">
        <f t="shared" si="106"/>
        <v>0</v>
      </c>
      <c r="AW157" s="59">
        <f t="shared" si="93"/>
        <v>0</v>
      </c>
      <c r="AX157" s="9"/>
      <c r="AY157" s="60">
        <f t="shared" si="94"/>
        <v>0</v>
      </c>
      <c r="AZ157" s="61">
        <f>_xlfn.IFNA(INDEX(Table3923[Column4],MATCH(R157,Table3923[Column1],0)),1.5)</f>
        <v>1.5</v>
      </c>
      <c r="BA157" s="62">
        <f>VLOOKUP(Z157,Table1331[#All],2,FALSE)</f>
        <v>1</v>
      </c>
      <c r="BB157" s="61">
        <f t="shared" si="69"/>
        <v>1.5</v>
      </c>
      <c r="BC157" s="55">
        <f t="shared" si="95"/>
        <v>0</v>
      </c>
      <c r="BD157" s="43">
        <f t="shared" si="96"/>
        <v>0</v>
      </c>
      <c r="BE157" s="63">
        <f t="shared" si="97"/>
        <v>0</v>
      </c>
      <c r="BF157" s="60">
        <f t="shared" si="98"/>
        <v>0</v>
      </c>
      <c r="BG157" s="60">
        <f t="shared" si="99"/>
        <v>0</v>
      </c>
      <c r="BH157" s="60">
        <f t="shared" si="100"/>
        <v>0</v>
      </c>
      <c r="BI157" s="55">
        <f>VLOOKUP(AA157,Table1533[#All],2,FALSE)</f>
        <v>1.25</v>
      </c>
      <c r="BJ157" s="55">
        <f t="shared" si="101"/>
        <v>0</v>
      </c>
      <c r="BK157" s="43" t="str">
        <f t="shared" si="102"/>
        <v>0</v>
      </c>
      <c r="BL157" s="62">
        <f t="shared" si="107"/>
        <v>0</v>
      </c>
      <c r="CH157" s="148" t="s">
        <v>307</v>
      </c>
      <c r="CI157" s="151">
        <v>2.78</v>
      </c>
      <c r="CJ157" s="145">
        <f t="shared" si="70"/>
        <v>3.0579999999999998</v>
      </c>
      <c r="CK157" s="153">
        <v>1.5</v>
      </c>
    </row>
    <row r="158" spans="1:90" ht="10" customHeight="1" thickBot="1" x14ac:dyDescent="0.6">
      <c r="A158" s="92" t="s">
        <v>318</v>
      </c>
      <c r="B158" s="93">
        <f>SUM(AY7:AY157)</f>
        <v>0</v>
      </c>
      <c r="C158" s="222" t="s">
        <v>319</v>
      </c>
      <c r="D158" s="223"/>
      <c r="E158" s="94">
        <f>SUM(BD7:BD157)</f>
        <v>0</v>
      </c>
      <c r="F158" s="222" t="s">
        <v>320</v>
      </c>
      <c r="G158" s="224"/>
      <c r="H158" s="223"/>
      <c r="I158" s="93">
        <f>SUM(BG7:BG157)</f>
        <v>0</v>
      </c>
      <c r="J158" s="222" t="s">
        <v>321</v>
      </c>
      <c r="K158" s="223"/>
      <c r="L158" s="94">
        <f>SUM(BK7:BK157)</f>
        <v>0</v>
      </c>
      <c r="M158" s="225"/>
      <c r="N158" s="226"/>
      <c r="O158" s="226"/>
      <c r="P158" s="227"/>
      <c r="Q158" s="228" t="s">
        <v>322</v>
      </c>
      <c r="R158" s="228"/>
      <c r="S158" s="95" cm="1">
        <f t="array" ref="S158">SUM(BF7:BF157+BH7:BH157)+$AB$4+$AC$2</f>
        <v>0</v>
      </c>
      <c r="T158" s="229" t="s">
        <v>323</v>
      </c>
      <c r="U158" s="229"/>
      <c r="V158" s="217">
        <f>IF(Z2="NO",(S158/10),(S158/8))</f>
        <v>0</v>
      </c>
      <c r="W158" s="218"/>
      <c r="X158" s="219"/>
      <c r="Y158" s="219"/>
      <c r="Z158" s="219"/>
      <c r="AA158" s="219"/>
      <c r="AB158" s="219"/>
      <c r="AC158" s="219"/>
      <c r="AD158" s="219"/>
      <c r="AF158" s="96" t="s">
        <v>324</v>
      </c>
      <c r="AG158" s="97">
        <f>SUM(AG7:AG157)</f>
        <v>0</v>
      </c>
      <c r="AH158" s="98"/>
      <c r="AI158" s="86"/>
      <c r="AJ158" s="86"/>
      <c r="AK158" s="86"/>
      <c r="AL158" s="86"/>
      <c r="AM158" s="86"/>
      <c r="AN158" s="86"/>
      <c r="AO158" s="86"/>
      <c r="AP158" s="86"/>
      <c r="AS158" s="9"/>
      <c r="AT158" s="9"/>
      <c r="AU158" s="9"/>
      <c r="AV158" s="9"/>
      <c r="AW158" s="9"/>
      <c r="AX158" s="9"/>
      <c r="CH158" s="148" t="s">
        <v>308</v>
      </c>
      <c r="CI158" s="149">
        <v>2.78</v>
      </c>
      <c r="CJ158" s="145">
        <f t="shared" si="70"/>
        <v>3.0579999999999998</v>
      </c>
      <c r="CK158" s="153">
        <v>1.5</v>
      </c>
    </row>
    <row r="159" spans="1:90" ht="11.05" customHeight="1" thickBot="1" x14ac:dyDescent="0.6">
      <c r="A159" s="220"/>
      <c r="B159" s="220"/>
      <c r="C159" s="220"/>
      <c r="D159" s="220"/>
      <c r="E159" s="220"/>
      <c r="F159" s="220"/>
      <c r="G159" s="220"/>
      <c r="H159" s="220"/>
      <c r="I159" s="220"/>
      <c r="J159" s="220"/>
      <c r="K159" s="220"/>
      <c r="L159" s="220"/>
      <c r="M159" s="220"/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  <c r="AD159" s="220"/>
      <c r="AS159" s="9"/>
      <c r="AT159" s="9"/>
      <c r="AU159" s="9"/>
      <c r="AV159" s="9"/>
      <c r="AW159" s="9"/>
      <c r="AX159" s="9"/>
      <c r="CH159" s="148" t="s">
        <v>309</v>
      </c>
      <c r="CI159" s="151">
        <v>2.09</v>
      </c>
      <c r="CJ159" s="145">
        <f t="shared" si="70"/>
        <v>2.2989999999999999</v>
      </c>
      <c r="CK159" s="153">
        <v>1.5</v>
      </c>
      <c r="CL159" s="5">
        <f>SUM(CL7:CL158)</f>
        <v>0</v>
      </c>
    </row>
    <row r="160" spans="1:90" ht="11.05" customHeight="1" x14ac:dyDescent="0.55000000000000004">
      <c r="A160" s="194" t="s">
        <v>326</v>
      </c>
      <c r="B160" s="195"/>
      <c r="C160" s="185"/>
      <c r="D160" s="186"/>
      <c r="E160" s="187"/>
      <c r="F160" s="185"/>
      <c r="G160" s="186"/>
      <c r="H160" s="186"/>
      <c r="I160" s="186"/>
      <c r="J160" s="187"/>
      <c r="K160" s="99">
        <v>0</v>
      </c>
      <c r="L160" s="188" t="s">
        <v>327</v>
      </c>
      <c r="M160" s="189"/>
      <c r="N160" s="189"/>
      <c r="O160" s="189"/>
      <c r="P160" s="189"/>
      <c r="Q160" s="189"/>
      <c r="R160" s="190" t="s">
        <v>328</v>
      </c>
      <c r="S160" s="192">
        <f>AJ169</f>
        <v>0</v>
      </c>
      <c r="T160" s="100" t="s">
        <v>329</v>
      </c>
      <c r="U160" s="101">
        <f>IFERROR((V160/V163),0)</f>
        <v>0</v>
      </c>
      <c r="V160" s="102">
        <f>AJ171</f>
        <v>0</v>
      </c>
      <c r="W160" s="221"/>
      <c r="X160" s="103" t="s">
        <v>330</v>
      </c>
      <c r="Y160" s="104">
        <f>SUM(AM7:AN157)</f>
        <v>0</v>
      </c>
      <c r="Z160" s="212" t="s">
        <v>331</v>
      </c>
      <c r="AA160" s="212"/>
      <c r="AB160" s="105" cm="1">
        <f t="array" ref="AB160">SUM(AO7:AO157+AP7:AP157+AQ7:AQ157+AR7:AR157)</f>
        <v>0</v>
      </c>
      <c r="AC160" s="213" t="s">
        <v>332</v>
      </c>
      <c r="AD160" s="214">
        <f>SUM(Y161+Y162+Y163+Y164)</f>
        <v>0</v>
      </c>
      <c r="AS160" s="106"/>
      <c r="AT160" s="106"/>
      <c r="AU160" s="106"/>
      <c r="AV160" s="106"/>
      <c r="AW160" s="106"/>
      <c r="AX160" s="106"/>
      <c r="CH160" s="148" t="s">
        <v>310</v>
      </c>
      <c r="CI160" s="149">
        <v>2.09</v>
      </c>
      <c r="CJ160" s="145">
        <f t="shared" si="70"/>
        <v>2.2989999999999999</v>
      </c>
      <c r="CK160" s="153">
        <v>1.5</v>
      </c>
    </row>
    <row r="161" spans="1:89" ht="11.05" customHeight="1" x14ac:dyDescent="0.55000000000000004">
      <c r="A161" s="196"/>
      <c r="B161" s="197"/>
      <c r="C161" s="169"/>
      <c r="D161" s="170"/>
      <c r="E161" s="171"/>
      <c r="F161" s="169"/>
      <c r="G161" s="170"/>
      <c r="H161" s="170"/>
      <c r="I161" s="170"/>
      <c r="J161" s="171"/>
      <c r="K161" s="99">
        <v>0</v>
      </c>
      <c r="L161" s="154" t="s">
        <v>334</v>
      </c>
      <c r="M161" s="155"/>
      <c r="N161" s="155"/>
      <c r="O161" s="155"/>
      <c r="P161" s="155"/>
      <c r="Q161" s="155"/>
      <c r="R161" s="191"/>
      <c r="S161" s="193"/>
      <c r="T161" s="100" t="s">
        <v>335</v>
      </c>
      <c r="U161" s="107">
        <v>0.1</v>
      </c>
      <c r="V161" s="102">
        <f>V163*U161</f>
        <v>0</v>
      </c>
      <c r="W161" s="221"/>
      <c r="X161" s="108" t="s">
        <v>336</v>
      </c>
      <c r="Y161" s="109">
        <f>SUM(AB160+Y160)</f>
        <v>0</v>
      </c>
      <c r="Z161" s="216" t="s">
        <v>337</v>
      </c>
      <c r="AA161" s="216"/>
      <c r="AB161" s="110">
        <f>IFERROR((Y161/AD167),0)</f>
        <v>0</v>
      </c>
      <c r="AC161" s="180"/>
      <c r="AD161" s="215"/>
      <c r="AS161" s="106"/>
      <c r="AT161" s="106"/>
      <c r="AU161" s="106"/>
      <c r="AV161" s="106"/>
      <c r="AW161" s="106"/>
      <c r="AX161" s="106"/>
      <c r="CH161" s="148" t="s">
        <v>311</v>
      </c>
      <c r="CI161" s="151">
        <v>4</v>
      </c>
      <c r="CJ161" s="145">
        <f t="shared" si="70"/>
        <v>4.4000000000000004</v>
      </c>
      <c r="CK161" s="153">
        <v>1.5</v>
      </c>
    </row>
    <row r="162" spans="1:89" ht="11.05" customHeight="1" x14ac:dyDescent="0.55000000000000004">
      <c r="A162" s="196"/>
      <c r="B162" s="197"/>
      <c r="C162" s="169"/>
      <c r="D162" s="170"/>
      <c r="E162" s="171"/>
      <c r="F162" s="169"/>
      <c r="G162" s="170"/>
      <c r="H162" s="170"/>
      <c r="I162" s="170"/>
      <c r="J162" s="171"/>
      <c r="K162" s="111">
        <v>0</v>
      </c>
      <c r="L162" s="154" t="s">
        <v>338</v>
      </c>
      <c r="M162" s="155"/>
      <c r="N162" s="155"/>
      <c r="O162" s="155"/>
      <c r="P162" s="155"/>
      <c r="Q162" s="155"/>
      <c r="R162" s="206" t="s">
        <v>339</v>
      </c>
      <c r="S162" s="209">
        <v>1.5</v>
      </c>
      <c r="T162" s="100" t="s">
        <v>340</v>
      </c>
      <c r="U162" s="112">
        <f>IFERROR(V162/V163,0)</f>
        <v>0</v>
      </c>
      <c r="V162" s="102">
        <f>V163-S160-V160-V161</f>
        <v>0</v>
      </c>
      <c r="W162" s="221"/>
      <c r="X162" s="113" t="s">
        <v>341</v>
      </c>
      <c r="Y162" s="114">
        <f>SUM(AS7:AS157)+AB2</f>
        <v>0</v>
      </c>
      <c r="Z162" s="180" t="s">
        <v>342</v>
      </c>
      <c r="AA162" s="180"/>
      <c r="AB162" s="115">
        <f>IFERROR((Y162/AD160),0)</f>
        <v>0</v>
      </c>
      <c r="AC162" s="180" t="s">
        <v>343</v>
      </c>
      <c r="AD162" s="204">
        <f>SUM(AJ172:AK172)</f>
        <v>0</v>
      </c>
      <c r="AS162" s="116"/>
      <c r="AT162" s="116"/>
      <c r="AU162" s="116"/>
      <c r="AV162" s="116"/>
      <c r="AW162" s="116"/>
      <c r="AX162" s="116"/>
      <c r="CH162" s="148"/>
      <c r="CI162" s="149"/>
      <c r="CJ162" s="145"/>
      <c r="CK162" s="153"/>
    </row>
    <row r="163" spans="1:89" ht="11.05" customHeight="1" x14ac:dyDescent="0.55000000000000004">
      <c r="A163" s="196"/>
      <c r="B163" s="197"/>
      <c r="C163" s="169"/>
      <c r="D163" s="170"/>
      <c r="E163" s="171"/>
      <c r="F163" s="169"/>
      <c r="G163" s="170"/>
      <c r="H163" s="170"/>
      <c r="I163" s="170"/>
      <c r="J163" s="171"/>
      <c r="K163" s="99">
        <v>0</v>
      </c>
      <c r="L163" s="154" t="s">
        <v>344</v>
      </c>
      <c r="M163" s="155"/>
      <c r="N163" s="155"/>
      <c r="O163" s="155"/>
      <c r="P163" s="155"/>
      <c r="Q163" s="155"/>
      <c r="R163" s="207"/>
      <c r="S163" s="210"/>
      <c r="T163" s="157" t="s">
        <v>345</v>
      </c>
      <c r="U163" s="205"/>
      <c r="V163" s="117">
        <f>SUM(AJ169+AJ170)</f>
        <v>0</v>
      </c>
      <c r="W163" s="221"/>
      <c r="X163" s="113" t="s">
        <v>346</v>
      </c>
      <c r="Y163" s="114">
        <f>SUM(AT7:AT157)</f>
        <v>0</v>
      </c>
      <c r="Z163" s="180" t="s">
        <v>347</v>
      </c>
      <c r="AA163" s="180"/>
      <c r="AB163" s="110">
        <v>0.1</v>
      </c>
      <c r="AC163" s="180"/>
      <c r="AD163" s="204"/>
      <c r="AJ163" s="118" t="s">
        <v>348</v>
      </c>
      <c r="AK163" s="119" t="s">
        <v>349</v>
      </c>
      <c r="AS163" s="116"/>
      <c r="AT163" s="116"/>
      <c r="AU163" s="116"/>
      <c r="AV163" s="116"/>
      <c r="AW163" s="116"/>
      <c r="AX163" s="116"/>
      <c r="CH163" s="148" t="s">
        <v>312</v>
      </c>
      <c r="CI163" s="151">
        <v>6</v>
      </c>
      <c r="CJ163" s="145">
        <f t="shared" si="70"/>
        <v>6.6000000000000005</v>
      </c>
      <c r="CK163" s="153">
        <v>3</v>
      </c>
    </row>
    <row r="164" spans="1:89" ht="11.05" customHeight="1" x14ac:dyDescent="0.55000000000000004">
      <c r="A164" s="198"/>
      <c r="B164" s="199"/>
      <c r="C164" s="163"/>
      <c r="D164" s="164"/>
      <c r="E164" s="165"/>
      <c r="F164" s="163"/>
      <c r="G164" s="164"/>
      <c r="H164" s="164"/>
      <c r="I164" s="164"/>
      <c r="J164" s="165"/>
      <c r="K164" s="111">
        <v>0</v>
      </c>
      <c r="L164" s="166" t="s">
        <v>350</v>
      </c>
      <c r="M164" s="167"/>
      <c r="N164" s="167"/>
      <c r="O164" s="167"/>
      <c r="P164" s="167"/>
      <c r="Q164" s="167"/>
      <c r="R164" s="208"/>
      <c r="S164" s="211"/>
      <c r="T164" s="157" t="s">
        <v>351</v>
      </c>
      <c r="U164" s="205"/>
      <c r="V164" s="120"/>
      <c r="W164" s="221"/>
      <c r="X164" s="176" t="s">
        <v>352</v>
      </c>
      <c r="Y164" s="200">
        <f>SUM(AU7:AU157)</f>
        <v>0</v>
      </c>
      <c r="Z164" s="180" t="s">
        <v>353</v>
      </c>
      <c r="AA164" s="180"/>
      <c r="AB164" s="201">
        <f>IFERROR(Y164/AD160,0)</f>
        <v>0</v>
      </c>
      <c r="AC164" s="202" t="s">
        <v>354</v>
      </c>
      <c r="AD164" s="203">
        <f>IFERROR(AD160/B158,0)</f>
        <v>0</v>
      </c>
      <c r="AI164" s="30" t="s">
        <v>355</v>
      </c>
      <c r="AJ164" s="60">
        <f>K162</f>
        <v>0</v>
      </c>
      <c r="AK164" s="60">
        <f>K168</f>
        <v>0</v>
      </c>
      <c r="AS164" s="116"/>
      <c r="AT164" s="116"/>
      <c r="AU164" s="116"/>
      <c r="AV164" s="116"/>
      <c r="AW164" s="116"/>
      <c r="AX164" s="116"/>
      <c r="CH164" s="148" t="s">
        <v>313</v>
      </c>
      <c r="CI164" s="149">
        <v>8</v>
      </c>
      <c r="CJ164" s="145">
        <f t="shared" si="70"/>
        <v>8.8000000000000007</v>
      </c>
      <c r="CK164" s="153">
        <v>2.25</v>
      </c>
    </row>
    <row r="165" spans="1:89" ht="11.05" customHeight="1" x14ac:dyDescent="0.55000000000000004">
      <c r="A165" s="12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2"/>
      <c r="M165" s="122"/>
      <c r="N165" s="122"/>
      <c r="O165" s="122"/>
      <c r="P165" s="122"/>
      <c r="Q165" s="122"/>
      <c r="R165" s="121"/>
      <c r="S165" s="121"/>
      <c r="T165" s="121"/>
      <c r="U165" s="121"/>
      <c r="V165" s="121"/>
      <c r="W165" s="221"/>
      <c r="X165" s="176"/>
      <c r="Y165" s="200"/>
      <c r="Z165" s="180"/>
      <c r="AA165" s="180"/>
      <c r="AB165" s="201"/>
      <c r="AC165" s="202"/>
      <c r="AD165" s="203"/>
      <c r="AI165" s="30" t="s">
        <v>356</v>
      </c>
      <c r="AJ165" s="60">
        <f>IF($Z$2="NO",((K163/$AJ$7)+K164),((K163/$AJ$13)+K164))</f>
        <v>0</v>
      </c>
      <c r="AK165" s="60">
        <f>K169+K170</f>
        <v>0</v>
      </c>
      <c r="AS165" s="116"/>
      <c r="AT165" s="116"/>
      <c r="AU165" s="116"/>
      <c r="AV165" s="116"/>
      <c r="AW165" s="116"/>
      <c r="AX165" s="116"/>
      <c r="CH165" s="148" t="s">
        <v>314</v>
      </c>
      <c r="CI165" s="151">
        <v>5</v>
      </c>
      <c r="CJ165" s="145">
        <f t="shared" si="70"/>
        <v>5.5</v>
      </c>
      <c r="CK165" s="153">
        <v>2</v>
      </c>
    </row>
    <row r="166" spans="1:89" ht="11.05" customHeight="1" x14ac:dyDescent="0.55000000000000004">
      <c r="A166" s="194" t="s">
        <v>389</v>
      </c>
      <c r="B166" s="195"/>
      <c r="C166" s="185"/>
      <c r="D166" s="186"/>
      <c r="E166" s="187"/>
      <c r="F166" s="185"/>
      <c r="G166" s="186"/>
      <c r="H166" s="186"/>
      <c r="I166" s="186"/>
      <c r="J166" s="187"/>
      <c r="K166" s="99">
        <v>0</v>
      </c>
      <c r="L166" s="188" t="s">
        <v>327</v>
      </c>
      <c r="M166" s="189"/>
      <c r="N166" s="189"/>
      <c r="O166" s="189"/>
      <c r="P166" s="189"/>
      <c r="Q166" s="189"/>
      <c r="R166" s="190" t="s">
        <v>328</v>
      </c>
      <c r="S166" s="192">
        <f>AK169</f>
        <v>0</v>
      </c>
      <c r="T166" s="100" t="s">
        <v>329</v>
      </c>
      <c r="U166" s="123">
        <f>IFERROR((V166/V169),0)</f>
        <v>0</v>
      </c>
      <c r="V166" s="124">
        <f>AK171</f>
        <v>0</v>
      </c>
      <c r="W166" s="221"/>
      <c r="X166" s="176"/>
      <c r="Y166" s="200"/>
      <c r="Z166" s="180"/>
      <c r="AA166" s="180"/>
      <c r="AB166" s="201"/>
      <c r="AC166" s="202"/>
      <c r="AD166" s="203"/>
      <c r="AI166" s="30" t="s">
        <v>357</v>
      </c>
      <c r="AJ166" s="63">
        <f>(AJ164+AJ165)*$AJ$7</f>
        <v>0</v>
      </c>
      <c r="AK166" s="63">
        <f>(AK164+AK165)*$AJ$7</f>
        <v>0</v>
      </c>
      <c r="AS166" s="116"/>
      <c r="AT166" s="116"/>
      <c r="AU166" s="116"/>
      <c r="AV166" s="116"/>
      <c r="AW166" s="116"/>
      <c r="AX166" s="116"/>
      <c r="CH166" s="148" t="s">
        <v>315</v>
      </c>
      <c r="CI166" s="149">
        <v>5.5</v>
      </c>
      <c r="CJ166" s="145">
        <f t="shared" si="70"/>
        <v>6.0500000000000007</v>
      </c>
      <c r="CK166" s="153">
        <v>1.5</v>
      </c>
    </row>
    <row r="167" spans="1:89" ht="11.05" customHeight="1" x14ac:dyDescent="0.55000000000000004">
      <c r="A167" s="196"/>
      <c r="B167" s="197"/>
      <c r="C167" s="169"/>
      <c r="D167" s="170"/>
      <c r="E167" s="171"/>
      <c r="F167" s="169"/>
      <c r="G167" s="170"/>
      <c r="H167" s="170"/>
      <c r="I167" s="170"/>
      <c r="J167" s="171"/>
      <c r="K167" s="99">
        <v>0</v>
      </c>
      <c r="L167" s="154" t="s">
        <v>334</v>
      </c>
      <c r="M167" s="155"/>
      <c r="N167" s="155"/>
      <c r="O167" s="155"/>
      <c r="P167" s="155"/>
      <c r="Q167" s="155"/>
      <c r="R167" s="191"/>
      <c r="S167" s="193"/>
      <c r="T167" s="100" t="s">
        <v>335</v>
      </c>
      <c r="U167" s="125">
        <v>0.1</v>
      </c>
      <c r="V167" s="124">
        <f>V169*U167</f>
        <v>0</v>
      </c>
      <c r="W167" s="221"/>
      <c r="X167" s="176" t="s">
        <v>358</v>
      </c>
      <c r="Y167" s="178">
        <f>IFERROR(Y164/S158,0)</f>
        <v>0</v>
      </c>
      <c r="Z167" s="180" t="s">
        <v>359</v>
      </c>
      <c r="AA167" s="180"/>
      <c r="AB167" s="182">
        <v>1.5</v>
      </c>
      <c r="AC167" s="159" t="s">
        <v>360</v>
      </c>
      <c r="AD167" s="184">
        <f>AD160+AD162</f>
        <v>0</v>
      </c>
      <c r="AG167" s="5"/>
      <c r="AH167" s="5"/>
      <c r="AI167" s="30" t="s">
        <v>361</v>
      </c>
      <c r="AJ167" s="55">
        <f>IF(X2="YES",(AJ166*0.25),0)</f>
        <v>0</v>
      </c>
      <c r="AK167" s="55">
        <f>IF(AND(X2="YES",Z2="NO"),((AK165*$AJ$7)*0.25),0)</f>
        <v>0</v>
      </c>
      <c r="AS167" s="116"/>
      <c r="AT167" s="116"/>
      <c r="AU167" s="116"/>
      <c r="AV167" s="116"/>
      <c r="AW167" s="116"/>
      <c r="AX167" s="116"/>
      <c r="CH167" s="148" t="s">
        <v>316</v>
      </c>
      <c r="CI167" s="151">
        <v>7</v>
      </c>
      <c r="CJ167" s="145">
        <f t="shared" si="70"/>
        <v>7.7000000000000011</v>
      </c>
      <c r="CK167" s="153">
        <v>1.5</v>
      </c>
    </row>
    <row r="168" spans="1:89" ht="11.05" customHeight="1" x14ac:dyDescent="0.55000000000000004">
      <c r="A168" s="196"/>
      <c r="B168" s="197"/>
      <c r="C168" s="169"/>
      <c r="D168" s="170"/>
      <c r="E168" s="171"/>
      <c r="F168" s="169"/>
      <c r="G168" s="170"/>
      <c r="H168" s="170"/>
      <c r="I168" s="170"/>
      <c r="J168" s="171"/>
      <c r="K168" s="111">
        <v>0</v>
      </c>
      <c r="L168" s="154" t="s">
        <v>338</v>
      </c>
      <c r="M168" s="155"/>
      <c r="N168" s="155"/>
      <c r="O168" s="155"/>
      <c r="P168" s="155"/>
      <c r="Q168" s="155"/>
      <c r="R168" s="172" t="s">
        <v>339</v>
      </c>
      <c r="S168" s="175">
        <v>1.5</v>
      </c>
      <c r="T168" s="100" t="s">
        <v>340</v>
      </c>
      <c r="U168" s="126">
        <f>IFERROR(V168/V169,0)</f>
        <v>0</v>
      </c>
      <c r="V168" s="124">
        <f>V169-S166-V166-V167</f>
        <v>0</v>
      </c>
      <c r="W168" s="221"/>
      <c r="X168" s="176"/>
      <c r="Y168" s="178"/>
      <c r="Z168" s="180"/>
      <c r="AA168" s="180"/>
      <c r="AB168" s="182"/>
      <c r="AC168" s="159"/>
      <c r="AD168" s="184"/>
      <c r="AI168" s="30" t="s">
        <v>362</v>
      </c>
      <c r="AJ168" s="55">
        <f>IF($Z$2="NO",0,((AJ165*$AJ$13)-(AJ165*$AJ$7)))</f>
        <v>0</v>
      </c>
      <c r="AK168" s="55">
        <f>IF($Z$2="NO",0,((AK165*$AJ$13)-(AK165*$AJ$7)))</f>
        <v>0</v>
      </c>
      <c r="AS168" s="127"/>
      <c r="AT168" s="127"/>
      <c r="AU168" s="127"/>
      <c r="AV168" s="127"/>
      <c r="AW168" s="127"/>
      <c r="AX168" s="127"/>
      <c r="CH168" s="148" t="s">
        <v>317</v>
      </c>
      <c r="CI168" s="151">
        <v>7</v>
      </c>
      <c r="CJ168" s="145">
        <f>CI168*1.1</f>
        <v>7.7000000000000011</v>
      </c>
      <c r="CK168" s="153">
        <v>1.5</v>
      </c>
    </row>
    <row r="169" spans="1:89" ht="11.05" customHeight="1" x14ac:dyDescent="0.55000000000000004">
      <c r="A169" s="196"/>
      <c r="B169" s="197"/>
      <c r="C169" s="169"/>
      <c r="D169" s="170"/>
      <c r="E169" s="171"/>
      <c r="F169" s="169"/>
      <c r="G169" s="170"/>
      <c r="H169" s="170"/>
      <c r="I169" s="170"/>
      <c r="J169" s="171"/>
      <c r="K169" s="111">
        <v>0</v>
      </c>
      <c r="L169" s="154" t="s">
        <v>350</v>
      </c>
      <c r="M169" s="155"/>
      <c r="N169" s="155"/>
      <c r="O169" s="155"/>
      <c r="P169" s="155"/>
      <c r="Q169" s="156"/>
      <c r="R169" s="173"/>
      <c r="S169" s="175"/>
      <c r="T169" s="157" t="s">
        <v>345</v>
      </c>
      <c r="U169" s="158"/>
      <c r="V169" s="128">
        <f>SUM(AK169:AK170)</f>
        <v>0</v>
      </c>
      <c r="W169" s="221"/>
      <c r="X169" s="176"/>
      <c r="Y169" s="178"/>
      <c r="Z169" s="180"/>
      <c r="AA169" s="180"/>
      <c r="AB169" s="182"/>
      <c r="AC169" s="159" t="s">
        <v>363</v>
      </c>
      <c r="AD169" s="161"/>
      <c r="AI169" s="30" t="s">
        <v>54</v>
      </c>
      <c r="AJ169" s="55">
        <f>(K160+K161+AJ166+AJ167+AJ168)</f>
        <v>0</v>
      </c>
      <c r="AK169" s="55">
        <f>(K166+K167+AK166+AK167+AK168)</f>
        <v>0</v>
      </c>
      <c r="AS169" s="129"/>
      <c r="AT169" s="129"/>
      <c r="AU169" s="129"/>
      <c r="AV169" s="129"/>
      <c r="AW169" s="129"/>
      <c r="AX169" s="129"/>
      <c r="CH169" s="148"/>
      <c r="CI169" s="151"/>
      <c r="CJ169" s="145"/>
      <c r="CK169" s="153"/>
    </row>
    <row r="170" spans="1:89" ht="11.05" customHeight="1" thickBot="1" x14ac:dyDescent="0.6">
      <c r="A170" s="198"/>
      <c r="B170" s="199"/>
      <c r="C170" s="163"/>
      <c r="D170" s="164"/>
      <c r="E170" s="165"/>
      <c r="F170" s="163"/>
      <c r="G170" s="164"/>
      <c r="H170" s="164"/>
      <c r="I170" s="164"/>
      <c r="J170" s="165"/>
      <c r="K170" s="111">
        <v>0</v>
      </c>
      <c r="L170" s="166" t="s">
        <v>364</v>
      </c>
      <c r="M170" s="167"/>
      <c r="N170" s="167"/>
      <c r="O170" s="167"/>
      <c r="P170" s="167"/>
      <c r="Q170" s="167"/>
      <c r="R170" s="174"/>
      <c r="S170" s="175"/>
      <c r="T170" s="157" t="s">
        <v>351</v>
      </c>
      <c r="U170" s="168"/>
      <c r="V170" s="130"/>
      <c r="W170" s="221"/>
      <c r="X170" s="177"/>
      <c r="Y170" s="179"/>
      <c r="Z170" s="181"/>
      <c r="AA170" s="181"/>
      <c r="AB170" s="183"/>
      <c r="AC170" s="160"/>
      <c r="AD170" s="162"/>
      <c r="AF170" s="131"/>
      <c r="AI170" s="30" t="s">
        <v>55</v>
      </c>
      <c r="AJ170" s="55">
        <f>AJ169*S162</f>
        <v>0</v>
      </c>
      <c r="AK170" s="55">
        <f>AK169*S168</f>
        <v>0</v>
      </c>
      <c r="AS170" s="132"/>
      <c r="AT170" s="132"/>
      <c r="AU170" s="132"/>
      <c r="AV170" s="132"/>
      <c r="AW170" s="132"/>
      <c r="AX170" s="132"/>
      <c r="BF170" s="5"/>
      <c r="CH170" s="148" t="s">
        <v>325</v>
      </c>
      <c r="CI170" s="151">
        <v>28.3</v>
      </c>
      <c r="CJ170" s="145">
        <f>CI170*1.1</f>
        <v>31.130000000000003</v>
      </c>
      <c r="CK170" s="153">
        <v>3</v>
      </c>
    </row>
    <row r="171" spans="1:89" ht="11.05" customHeight="1" x14ac:dyDescent="0.55000000000000004">
      <c r="X171" s="13"/>
      <c r="Y171" s="13"/>
      <c r="Z171" s="133"/>
      <c r="AA171" s="133"/>
      <c r="AB171" s="134"/>
      <c r="AC171" s="135"/>
      <c r="AD171" s="136"/>
      <c r="AF171" s="14"/>
      <c r="AI171" s="32" t="s">
        <v>51</v>
      </c>
      <c r="AJ171" s="55">
        <f>(AJ164*$AJ$16)+(AJ165*$AJ$10)</f>
        <v>0</v>
      </c>
      <c r="AK171" s="55">
        <f>(AK164*$AJ$16)+(AK165*$AJ$10)</f>
        <v>0</v>
      </c>
      <c r="AS171" s="116"/>
      <c r="AT171" s="116"/>
      <c r="AU171" s="116"/>
      <c r="AV171" s="116"/>
      <c r="AW171" s="116"/>
      <c r="AX171" s="116"/>
      <c r="BF171" s="5"/>
      <c r="CH171" s="147" t="s">
        <v>333</v>
      </c>
      <c r="CI171" s="145">
        <v>11</v>
      </c>
      <c r="CJ171" s="145">
        <f>CI171*1.1</f>
        <v>12.100000000000001</v>
      </c>
      <c r="CK171" s="153">
        <v>3</v>
      </c>
    </row>
    <row r="172" spans="1:89" ht="11.05" customHeight="1" x14ac:dyDescent="0.55000000000000004">
      <c r="AC172" s="13"/>
      <c r="AD172" s="13"/>
      <c r="AF172" s="14"/>
      <c r="AI172" s="137" t="s">
        <v>365</v>
      </c>
      <c r="AJ172" s="55">
        <f>IF(V164&lt;&gt;"",V164,V163)</f>
        <v>0</v>
      </c>
      <c r="AK172" s="55">
        <f>IF(V170&lt;&gt;"",V170,V169)</f>
        <v>0</v>
      </c>
      <c r="AS172" s="116"/>
      <c r="AT172" s="116"/>
      <c r="AU172" s="116"/>
      <c r="AV172" s="116"/>
      <c r="AW172" s="116"/>
      <c r="AX172" s="116"/>
      <c r="BF172" s="5"/>
      <c r="CK172" s="85"/>
    </row>
    <row r="173" spans="1:89" ht="11.05" customHeight="1" x14ac:dyDescent="0.55000000000000004">
      <c r="AC173" s="13"/>
      <c r="AD173" s="13"/>
      <c r="AZ173" s="5"/>
      <c r="BA173" s="5"/>
      <c r="BB173" s="5"/>
      <c r="BF173" s="5"/>
      <c r="CK173" s="85"/>
    </row>
    <row r="174" spans="1:89" ht="11.05" customHeight="1" x14ac:dyDescent="0.55000000000000004">
      <c r="AB174" s="13"/>
      <c r="AC174" s="13"/>
      <c r="AD174" s="13"/>
      <c r="AL174" s="138"/>
      <c r="AM174" s="138"/>
      <c r="AN174" s="138"/>
      <c r="AO174" s="138"/>
      <c r="AP174" s="138"/>
      <c r="AS174" s="139"/>
      <c r="AT174" s="139"/>
      <c r="AU174" s="139"/>
      <c r="AV174" s="139"/>
      <c r="AW174" s="139"/>
      <c r="AX174" s="139"/>
      <c r="AZ174" s="5"/>
      <c r="BA174" s="5"/>
      <c r="BB174" s="5"/>
      <c r="BF174" s="5"/>
      <c r="CK174" s="85"/>
    </row>
    <row r="175" spans="1:89" ht="11.05" customHeight="1" x14ac:dyDescent="0.55000000000000004">
      <c r="AB175" s="13"/>
      <c r="AC175" s="13"/>
      <c r="AD175" s="13"/>
      <c r="AH175" s="53"/>
      <c r="AZ175" s="5"/>
      <c r="BA175" s="5"/>
      <c r="BB175" s="5"/>
      <c r="BF175" s="5"/>
      <c r="CK175" s="85"/>
    </row>
    <row r="176" spans="1:89" ht="11.05" customHeight="1" x14ac:dyDescent="0.55000000000000004">
      <c r="AC176" s="13"/>
      <c r="AD176" s="13"/>
      <c r="AH176" s="53"/>
      <c r="AZ176" s="5"/>
      <c r="BA176" s="5"/>
      <c r="BB176" s="5"/>
      <c r="BF176" s="5"/>
      <c r="CK176" s="85"/>
    </row>
    <row r="177" spans="29:89" ht="11.05" customHeight="1" x14ac:dyDescent="0.55000000000000004">
      <c r="AL177" s="14"/>
      <c r="AM177" s="14"/>
      <c r="AN177" s="14"/>
      <c r="AO177" s="14"/>
      <c r="AP177" s="14"/>
      <c r="AS177" s="13"/>
      <c r="AT177" s="13"/>
      <c r="AU177" s="13"/>
      <c r="AV177" s="13"/>
      <c r="AW177" s="13"/>
      <c r="AX177" s="13"/>
      <c r="AZ177" s="5"/>
      <c r="BA177" s="5"/>
      <c r="BB177" s="5"/>
      <c r="BF177" s="5"/>
      <c r="CK177" s="85"/>
    </row>
    <row r="178" spans="29:89" ht="11.05" customHeight="1" x14ac:dyDescent="0.55000000000000004">
      <c r="AK178" s="14"/>
      <c r="AL178" s="14"/>
      <c r="AM178" s="14"/>
      <c r="AN178" s="14"/>
      <c r="AO178" s="14"/>
      <c r="AP178" s="14"/>
      <c r="AS178" s="13"/>
      <c r="AT178" s="13"/>
      <c r="AU178" s="13"/>
      <c r="AV178" s="13"/>
      <c r="AW178" s="13"/>
      <c r="AX178" s="13"/>
      <c r="AZ178" s="5"/>
      <c r="BA178" s="5"/>
      <c r="BB178" s="5"/>
      <c r="BF178" s="5"/>
      <c r="CK178" s="85"/>
    </row>
    <row r="179" spans="29:89" ht="11.05" customHeight="1" x14ac:dyDescent="0.55000000000000004">
      <c r="AK179" s="14"/>
      <c r="AL179" s="14"/>
      <c r="AM179" s="14"/>
      <c r="AN179" s="14"/>
      <c r="AO179" s="14"/>
      <c r="AP179" s="14"/>
      <c r="AS179" s="13"/>
      <c r="AT179" s="13"/>
      <c r="AU179" s="13"/>
      <c r="AV179" s="13"/>
      <c r="AW179" s="13"/>
      <c r="AX179" s="13"/>
      <c r="AZ179" s="5"/>
      <c r="BA179" s="5"/>
      <c r="BB179" s="5"/>
      <c r="BF179" s="5"/>
      <c r="CK179" s="85"/>
    </row>
    <row r="180" spans="29:89" ht="11.05" customHeight="1" x14ac:dyDescent="0.55000000000000004">
      <c r="AC180" s="13"/>
      <c r="AD180" s="13"/>
      <c r="AE180" s="13"/>
      <c r="AF180" s="13"/>
      <c r="AG180" s="14"/>
      <c r="AH180" s="14"/>
      <c r="AK180" s="14"/>
      <c r="AL180" s="14"/>
      <c r="AM180" s="14"/>
      <c r="AN180" s="14"/>
      <c r="AO180" s="14"/>
      <c r="AP180" s="14"/>
      <c r="AS180" s="13"/>
      <c r="AT180" s="13"/>
      <c r="AU180" s="13"/>
      <c r="AV180" s="13"/>
      <c r="AW180" s="13"/>
      <c r="AX180" s="13"/>
      <c r="AZ180" s="5"/>
      <c r="BA180" s="5"/>
      <c r="BB180" s="5"/>
      <c r="BF180" s="5"/>
      <c r="CK180" s="85"/>
    </row>
    <row r="181" spans="29:89" ht="11.05" customHeight="1" x14ac:dyDescent="0.55000000000000004">
      <c r="AE181" s="13"/>
      <c r="AF181" s="13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S181" s="13"/>
      <c r="AT181" s="13"/>
      <c r="AU181" s="13"/>
      <c r="AV181" s="13"/>
      <c r="AW181" s="13"/>
      <c r="AX181" s="13"/>
      <c r="AZ181" s="5"/>
      <c r="BA181" s="5"/>
      <c r="BB181" s="5"/>
      <c r="BF181" s="5"/>
      <c r="CK181" s="85"/>
    </row>
    <row r="182" spans="29:89" ht="11.05" customHeight="1" x14ac:dyDescent="0.55000000000000004">
      <c r="AE182" s="13"/>
      <c r="AF182" s="13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S182" s="13"/>
      <c r="AT182" s="13"/>
      <c r="AU182" s="13"/>
      <c r="AV182" s="13"/>
      <c r="AW182" s="13"/>
      <c r="AX182" s="13"/>
      <c r="CK182" s="85"/>
    </row>
    <row r="183" spans="29:89" ht="11.05" customHeight="1" x14ac:dyDescent="0.55000000000000004">
      <c r="AE183" s="13"/>
      <c r="AF183" s="13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S183" s="13"/>
      <c r="AT183" s="13"/>
      <c r="AU183" s="13"/>
      <c r="AV183" s="13"/>
      <c r="AW183" s="13"/>
      <c r="AX183" s="13"/>
      <c r="CK183" s="85"/>
    </row>
    <row r="184" spans="29:89" ht="11.05" customHeight="1" x14ac:dyDescent="0.55000000000000004">
      <c r="AE184" s="13"/>
      <c r="AF184" s="13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S184" s="13"/>
      <c r="AT184" s="13"/>
      <c r="AU184" s="13"/>
      <c r="AV184" s="13"/>
      <c r="AW184" s="13"/>
      <c r="AX184" s="13"/>
      <c r="CK184" s="85"/>
    </row>
    <row r="185" spans="29:89" ht="11.05" customHeight="1" x14ac:dyDescent="0.55000000000000004">
      <c r="AE185" s="140"/>
      <c r="AF185" s="140"/>
      <c r="AI185" s="14"/>
      <c r="AJ185" s="14"/>
      <c r="AK185" s="14"/>
      <c r="CK185" s="85"/>
    </row>
    <row r="186" spans="29:89" ht="11.05" customHeight="1" x14ac:dyDescent="0.55000000000000004">
      <c r="CK186" s="85"/>
    </row>
    <row r="187" spans="29:89" ht="11.05" customHeight="1" x14ac:dyDescent="0.55000000000000004">
      <c r="CK187" s="85"/>
    </row>
    <row r="188" spans="29:89" ht="11.05" customHeight="1" x14ac:dyDescent="0.55000000000000004">
      <c r="CK188" s="85"/>
    </row>
    <row r="189" spans="29:89" ht="11.05" customHeight="1" x14ac:dyDescent="0.55000000000000004">
      <c r="CK189" s="85"/>
    </row>
    <row r="190" spans="29:89" ht="11.05" customHeight="1" x14ac:dyDescent="0.55000000000000004">
      <c r="CK190" s="85"/>
    </row>
    <row r="191" spans="29:89" ht="11.05" customHeight="1" x14ac:dyDescent="0.55000000000000004">
      <c r="CK191" s="85"/>
    </row>
    <row r="192" spans="29:89" ht="11.05" customHeight="1" x14ac:dyDescent="0.55000000000000004">
      <c r="CK192" s="85"/>
    </row>
    <row r="193" spans="89:89" ht="11.05" customHeight="1" x14ac:dyDescent="0.55000000000000004">
      <c r="CK193" s="85"/>
    </row>
    <row r="194" spans="89:89" ht="11.05" customHeight="1" x14ac:dyDescent="0.55000000000000004">
      <c r="CK194" s="85"/>
    </row>
    <row r="195" spans="89:89" ht="11.05" customHeight="1" x14ac:dyDescent="0.55000000000000004">
      <c r="CK195" s="85"/>
    </row>
  </sheetData>
  <sheetProtection selectLockedCells="1"/>
  <mergeCells count="727">
    <mergeCell ref="CN10:CO10"/>
    <mergeCell ref="AD1:AD6"/>
    <mergeCell ref="X2:Y2"/>
    <mergeCell ref="Z2:AA2"/>
    <mergeCell ref="A3:A4"/>
    <mergeCell ref="B3:B4"/>
    <mergeCell ref="C3:C4"/>
    <mergeCell ref="D3:E4"/>
    <mergeCell ref="F3:G4"/>
    <mergeCell ref="H3:I4"/>
    <mergeCell ref="J3:J4"/>
    <mergeCell ref="Q1:Q2"/>
    <mergeCell ref="R1:S2"/>
    <mergeCell ref="T1:T2"/>
    <mergeCell ref="U1:W2"/>
    <mergeCell ref="X1:Y1"/>
    <mergeCell ref="Z1:AA1"/>
    <mergeCell ref="A1:A2"/>
    <mergeCell ref="B1:B2"/>
    <mergeCell ref="C1:C2"/>
    <mergeCell ref="D1:E2"/>
    <mergeCell ref="F1:G2"/>
    <mergeCell ref="H1:P2"/>
    <mergeCell ref="X3:Y3"/>
    <mergeCell ref="Z3:AA3"/>
    <mergeCell ref="X4:Y4"/>
    <mergeCell ref="A5:A6"/>
    <mergeCell ref="B5:E6"/>
    <mergeCell ref="F5:F6"/>
    <mergeCell ref="G5:G6"/>
    <mergeCell ref="H5:H6"/>
    <mergeCell ref="I5:I6"/>
    <mergeCell ref="J5:J6"/>
    <mergeCell ref="K3:L4"/>
    <mergeCell ref="M3:P4"/>
    <mergeCell ref="Q3:Q4"/>
    <mergeCell ref="R3:S4"/>
    <mergeCell ref="T3:T4"/>
    <mergeCell ref="U3:W4"/>
    <mergeCell ref="AC5:AC6"/>
    <mergeCell ref="B7:E7"/>
    <mergeCell ref="R7:S7"/>
    <mergeCell ref="T7:W7"/>
    <mergeCell ref="X7:Y7"/>
    <mergeCell ref="K5:K6"/>
    <mergeCell ref="R5:R6"/>
    <mergeCell ref="T5:W6"/>
    <mergeCell ref="X5:Y6"/>
    <mergeCell ref="Z5:Z6"/>
    <mergeCell ref="AA5:AA6"/>
    <mergeCell ref="B8:E8"/>
    <mergeCell ref="R8:S8"/>
    <mergeCell ref="T8:W8"/>
    <mergeCell ref="X8:Y8"/>
    <mergeCell ref="B9:E9"/>
    <mergeCell ref="R9:S9"/>
    <mergeCell ref="T9:W9"/>
    <mergeCell ref="X9:Y9"/>
    <mergeCell ref="AB5:AB6"/>
    <mergeCell ref="B12:E12"/>
    <mergeCell ref="R12:S12"/>
    <mergeCell ref="T12:W12"/>
    <mergeCell ref="X12:Y12"/>
    <mergeCell ref="B13:E13"/>
    <mergeCell ref="R13:S13"/>
    <mergeCell ref="T13:W13"/>
    <mergeCell ref="X13:Y13"/>
    <mergeCell ref="B10:E10"/>
    <mergeCell ref="R10:S10"/>
    <mergeCell ref="T10:W10"/>
    <mergeCell ref="X10:Y10"/>
    <mergeCell ref="B11:E11"/>
    <mergeCell ref="R11:S11"/>
    <mergeCell ref="T11:W11"/>
    <mergeCell ref="X11:Y11"/>
    <mergeCell ref="B16:E16"/>
    <mergeCell ref="R16:S16"/>
    <mergeCell ref="T16:W16"/>
    <mergeCell ref="X16:Y16"/>
    <mergeCell ref="B17:E17"/>
    <mergeCell ref="R17:S17"/>
    <mergeCell ref="T17:W17"/>
    <mergeCell ref="X17:Y17"/>
    <mergeCell ref="B14:E14"/>
    <mergeCell ref="R14:S14"/>
    <mergeCell ref="T14:W14"/>
    <mergeCell ref="X14:Y14"/>
    <mergeCell ref="B15:E15"/>
    <mergeCell ref="R15:S15"/>
    <mergeCell ref="T15:W15"/>
    <mergeCell ref="X15:Y15"/>
    <mergeCell ref="B20:E20"/>
    <mergeCell ref="R20:S20"/>
    <mergeCell ref="T20:W20"/>
    <mergeCell ref="X20:Y20"/>
    <mergeCell ref="B21:E21"/>
    <mergeCell ref="R21:S21"/>
    <mergeCell ref="T21:W21"/>
    <mergeCell ref="X21:Y21"/>
    <mergeCell ref="B18:E18"/>
    <mergeCell ref="R18:S18"/>
    <mergeCell ref="T18:W18"/>
    <mergeCell ref="X18:Y18"/>
    <mergeCell ref="B19:E19"/>
    <mergeCell ref="R19:S19"/>
    <mergeCell ref="T19:W19"/>
    <mergeCell ref="X19:Y19"/>
    <mergeCell ref="B24:E24"/>
    <mergeCell ref="R24:S24"/>
    <mergeCell ref="T24:W24"/>
    <mergeCell ref="X24:Y24"/>
    <mergeCell ref="B25:E25"/>
    <mergeCell ref="R25:S25"/>
    <mergeCell ref="T25:W25"/>
    <mergeCell ref="X25:Y25"/>
    <mergeCell ref="B22:E22"/>
    <mergeCell ref="R22:S22"/>
    <mergeCell ref="T22:W22"/>
    <mergeCell ref="X22:Y22"/>
    <mergeCell ref="B23:E23"/>
    <mergeCell ref="R23:S23"/>
    <mergeCell ref="T23:W23"/>
    <mergeCell ref="X23:Y23"/>
    <mergeCell ref="B28:E28"/>
    <mergeCell ref="R28:S28"/>
    <mergeCell ref="T28:W28"/>
    <mergeCell ref="X28:Y28"/>
    <mergeCell ref="B29:E29"/>
    <mergeCell ref="R29:S29"/>
    <mergeCell ref="T29:W29"/>
    <mergeCell ref="X29:Y29"/>
    <mergeCell ref="B26:E26"/>
    <mergeCell ref="R26:S26"/>
    <mergeCell ref="T26:W26"/>
    <mergeCell ref="X26:Y26"/>
    <mergeCell ref="B27:E27"/>
    <mergeCell ref="R27:S27"/>
    <mergeCell ref="T27:W27"/>
    <mergeCell ref="X27:Y27"/>
    <mergeCell ref="B32:E32"/>
    <mergeCell ref="R32:S32"/>
    <mergeCell ref="T32:W32"/>
    <mergeCell ref="X32:Y32"/>
    <mergeCell ref="B33:E33"/>
    <mergeCell ref="R33:S33"/>
    <mergeCell ref="T33:W33"/>
    <mergeCell ref="X33:Y33"/>
    <mergeCell ref="B30:E30"/>
    <mergeCell ref="R30:S30"/>
    <mergeCell ref="T30:W30"/>
    <mergeCell ref="X30:Y30"/>
    <mergeCell ref="B31:E31"/>
    <mergeCell ref="R31:S31"/>
    <mergeCell ref="T31:W31"/>
    <mergeCell ref="X31:Y31"/>
    <mergeCell ref="B36:E36"/>
    <mergeCell ref="R36:S36"/>
    <mergeCell ref="T36:W36"/>
    <mergeCell ref="X36:Y36"/>
    <mergeCell ref="B37:E37"/>
    <mergeCell ref="R37:S37"/>
    <mergeCell ref="T37:W37"/>
    <mergeCell ref="X37:Y37"/>
    <mergeCell ref="B34:E34"/>
    <mergeCell ref="R34:S34"/>
    <mergeCell ref="T34:W34"/>
    <mergeCell ref="X34:Y34"/>
    <mergeCell ref="B35:E35"/>
    <mergeCell ref="R35:S35"/>
    <mergeCell ref="T35:W35"/>
    <mergeCell ref="X35:Y35"/>
    <mergeCell ref="B40:E40"/>
    <mergeCell ref="R40:S40"/>
    <mergeCell ref="T40:W40"/>
    <mergeCell ref="X40:Y40"/>
    <mergeCell ref="B41:E41"/>
    <mergeCell ref="R41:S41"/>
    <mergeCell ref="T41:W41"/>
    <mergeCell ref="X41:Y41"/>
    <mergeCell ref="B38:E38"/>
    <mergeCell ref="R38:S38"/>
    <mergeCell ref="T38:W38"/>
    <mergeCell ref="X38:Y38"/>
    <mergeCell ref="B39:E39"/>
    <mergeCell ref="R39:S39"/>
    <mergeCell ref="T39:W39"/>
    <mergeCell ref="X39:Y39"/>
    <mergeCell ref="B44:E44"/>
    <mergeCell ref="R44:S44"/>
    <mergeCell ref="T44:W44"/>
    <mergeCell ref="X44:Y44"/>
    <mergeCell ref="B45:E45"/>
    <mergeCell ref="R45:S45"/>
    <mergeCell ref="T45:W45"/>
    <mergeCell ref="X45:Y45"/>
    <mergeCell ref="B42:E42"/>
    <mergeCell ref="R42:S42"/>
    <mergeCell ref="T42:W42"/>
    <mergeCell ref="X42:Y42"/>
    <mergeCell ref="B43:E43"/>
    <mergeCell ref="R43:S43"/>
    <mergeCell ref="T43:W43"/>
    <mergeCell ref="X43:Y43"/>
    <mergeCell ref="B48:E48"/>
    <mergeCell ref="R48:S48"/>
    <mergeCell ref="T48:W48"/>
    <mergeCell ref="X48:Y48"/>
    <mergeCell ref="B49:E49"/>
    <mergeCell ref="R49:S49"/>
    <mergeCell ref="T49:W49"/>
    <mergeCell ref="X49:Y49"/>
    <mergeCell ref="B46:E46"/>
    <mergeCell ref="R46:S46"/>
    <mergeCell ref="T46:W46"/>
    <mergeCell ref="X46:Y46"/>
    <mergeCell ref="B47:E47"/>
    <mergeCell ref="R47:S47"/>
    <mergeCell ref="T47:W47"/>
    <mergeCell ref="X47:Y47"/>
    <mergeCell ref="B52:E52"/>
    <mergeCell ref="R52:S52"/>
    <mergeCell ref="T52:W52"/>
    <mergeCell ref="X52:Y52"/>
    <mergeCell ref="B53:E53"/>
    <mergeCell ref="R53:S53"/>
    <mergeCell ref="T53:W53"/>
    <mergeCell ref="X53:Y53"/>
    <mergeCell ref="B50:E50"/>
    <mergeCell ref="R50:S50"/>
    <mergeCell ref="T50:W50"/>
    <mergeCell ref="X50:Y50"/>
    <mergeCell ref="B51:E51"/>
    <mergeCell ref="R51:S51"/>
    <mergeCell ref="T51:W51"/>
    <mergeCell ref="X51:Y51"/>
    <mergeCell ref="B56:E56"/>
    <mergeCell ref="R56:S56"/>
    <mergeCell ref="T56:W56"/>
    <mergeCell ref="X56:Y56"/>
    <mergeCell ref="B57:E57"/>
    <mergeCell ref="R57:S57"/>
    <mergeCell ref="T57:W57"/>
    <mergeCell ref="X57:Y57"/>
    <mergeCell ref="B54:E54"/>
    <mergeCell ref="R54:S54"/>
    <mergeCell ref="T54:W54"/>
    <mergeCell ref="X54:Y54"/>
    <mergeCell ref="B55:E55"/>
    <mergeCell ref="R55:S55"/>
    <mergeCell ref="T55:W55"/>
    <mergeCell ref="X55:Y55"/>
    <mergeCell ref="B60:E60"/>
    <mergeCell ref="R60:S60"/>
    <mergeCell ref="T60:W60"/>
    <mergeCell ref="X60:Y60"/>
    <mergeCell ref="B61:E61"/>
    <mergeCell ref="R61:S61"/>
    <mergeCell ref="T61:W61"/>
    <mergeCell ref="X61:Y61"/>
    <mergeCell ref="B58:E58"/>
    <mergeCell ref="R58:S58"/>
    <mergeCell ref="T58:W58"/>
    <mergeCell ref="X58:Y58"/>
    <mergeCell ref="B59:E59"/>
    <mergeCell ref="R59:S59"/>
    <mergeCell ref="T59:W59"/>
    <mergeCell ref="X59:Y59"/>
    <mergeCell ref="B64:E64"/>
    <mergeCell ref="R64:S64"/>
    <mergeCell ref="T64:W64"/>
    <mergeCell ref="X64:Y64"/>
    <mergeCell ref="B65:E65"/>
    <mergeCell ref="R65:S65"/>
    <mergeCell ref="T65:W65"/>
    <mergeCell ref="X65:Y65"/>
    <mergeCell ref="B62:E62"/>
    <mergeCell ref="R62:S62"/>
    <mergeCell ref="T62:W62"/>
    <mergeCell ref="X62:Y62"/>
    <mergeCell ref="B63:E63"/>
    <mergeCell ref="R63:S63"/>
    <mergeCell ref="T63:W63"/>
    <mergeCell ref="X63:Y63"/>
    <mergeCell ref="B68:E68"/>
    <mergeCell ref="R68:S68"/>
    <mergeCell ref="T68:W68"/>
    <mergeCell ref="X68:Y68"/>
    <mergeCell ref="B69:E69"/>
    <mergeCell ref="R69:S69"/>
    <mergeCell ref="T69:W69"/>
    <mergeCell ref="X69:Y69"/>
    <mergeCell ref="B66:E66"/>
    <mergeCell ref="R66:S66"/>
    <mergeCell ref="T66:W66"/>
    <mergeCell ref="X66:Y66"/>
    <mergeCell ref="B67:E67"/>
    <mergeCell ref="R67:S67"/>
    <mergeCell ref="T67:W67"/>
    <mergeCell ref="X67:Y67"/>
    <mergeCell ref="B72:E72"/>
    <mergeCell ref="R72:S72"/>
    <mergeCell ref="T72:W72"/>
    <mergeCell ref="X72:Y72"/>
    <mergeCell ref="B73:E73"/>
    <mergeCell ref="R73:S73"/>
    <mergeCell ref="T73:W73"/>
    <mergeCell ref="X73:Y73"/>
    <mergeCell ref="B70:E70"/>
    <mergeCell ref="R70:S70"/>
    <mergeCell ref="T70:W70"/>
    <mergeCell ref="X70:Y70"/>
    <mergeCell ref="B71:E71"/>
    <mergeCell ref="R71:S71"/>
    <mergeCell ref="T71:W71"/>
    <mergeCell ref="X71:Y71"/>
    <mergeCell ref="B76:E76"/>
    <mergeCell ref="R76:S76"/>
    <mergeCell ref="T76:W76"/>
    <mergeCell ref="X76:Y76"/>
    <mergeCell ref="B77:E77"/>
    <mergeCell ref="R77:S77"/>
    <mergeCell ref="T77:W77"/>
    <mergeCell ref="X77:Y77"/>
    <mergeCell ref="B74:E74"/>
    <mergeCell ref="R74:S74"/>
    <mergeCell ref="T74:W74"/>
    <mergeCell ref="X74:Y74"/>
    <mergeCell ref="B75:E75"/>
    <mergeCell ref="R75:S75"/>
    <mergeCell ref="T75:W75"/>
    <mergeCell ref="X75:Y75"/>
    <mergeCell ref="B80:E80"/>
    <mergeCell ref="R80:S80"/>
    <mergeCell ref="T80:W80"/>
    <mergeCell ref="X80:Y80"/>
    <mergeCell ref="B81:E81"/>
    <mergeCell ref="R81:S81"/>
    <mergeCell ref="T81:W81"/>
    <mergeCell ref="X81:Y81"/>
    <mergeCell ref="B78:E78"/>
    <mergeCell ref="R78:S78"/>
    <mergeCell ref="T78:W78"/>
    <mergeCell ref="X78:Y78"/>
    <mergeCell ref="B79:E79"/>
    <mergeCell ref="R79:S79"/>
    <mergeCell ref="T79:W79"/>
    <mergeCell ref="X79:Y79"/>
    <mergeCell ref="B84:E84"/>
    <mergeCell ref="R84:S84"/>
    <mergeCell ref="T84:W84"/>
    <mergeCell ref="X84:Y84"/>
    <mergeCell ref="B85:E85"/>
    <mergeCell ref="R85:S85"/>
    <mergeCell ref="T85:W85"/>
    <mergeCell ref="X85:Y85"/>
    <mergeCell ref="B82:E82"/>
    <mergeCell ref="R82:S82"/>
    <mergeCell ref="T82:W82"/>
    <mergeCell ref="X82:Y82"/>
    <mergeCell ref="B83:E83"/>
    <mergeCell ref="R83:S83"/>
    <mergeCell ref="T83:W83"/>
    <mergeCell ref="X83:Y83"/>
    <mergeCell ref="B88:E88"/>
    <mergeCell ref="R88:S88"/>
    <mergeCell ref="T88:W88"/>
    <mergeCell ref="X88:Y88"/>
    <mergeCell ref="B89:E89"/>
    <mergeCell ref="R89:S89"/>
    <mergeCell ref="T89:W89"/>
    <mergeCell ref="X89:Y89"/>
    <mergeCell ref="B86:E86"/>
    <mergeCell ref="R86:S86"/>
    <mergeCell ref="T86:W86"/>
    <mergeCell ref="X86:Y86"/>
    <mergeCell ref="B87:E87"/>
    <mergeCell ref="R87:S87"/>
    <mergeCell ref="T87:W87"/>
    <mergeCell ref="X87:Y87"/>
    <mergeCell ref="B92:E92"/>
    <mergeCell ref="R92:S92"/>
    <mergeCell ref="T92:W92"/>
    <mergeCell ref="X92:Y92"/>
    <mergeCell ref="B93:E93"/>
    <mergeCell ref="R93:S93"/>
    <mergeCell ref="T93:W93"/>
    <mergeCell ref="X93:Y93"/>
    <mergeCell ref="B90:E90"/>
    <mergeCell ref="R90:S90"/>
    <mergeCell ref="T90:W90"/>
    <mergeCell ref="X90:Y90"/>
    <mergeCell ref="B91:E91"/>
    <mergeCell ref="R91:S91"/>
    <mergeCell ref="T91:W91"/>
    <mergeCell ref="X91:Y91"/>
    <mergeCell ref="B96:E96"/>
    <mergeCell ref="R96:S96"/>
    <mergeCell ref="T96:W96"/>
    <mergeCell ref="X96:Y96"/>
    <mergeCell ref="B97:E97"/>
    <mergeCell ref="R97:S97"/>
    <mergeCell ref="T97:W97"/>
    <mergeCell ref="X97:Y97"/>
    <mergeCell ref="B94:E94"/>
    <mergeCell ref="R94:S94"/>
    <mergeCell ref="T94:W94"/>
    <mergeCell ref="X94:Y94"/>
    <mergeCell ref="B95:E95"/>
    <mergeCell ref="R95:S95"/>
    <mergeCell ref="T95:W95"/>
    <mergeCell ref="X95:Y95"/>
    <mergeCell ref="B100:E100"/>
    <mergeCell ref="R100:S100"/>
    <mergeCell ref="T100:W100"/>
    <mergeCell ref="X100:Y100"/>
    <mergeCell ref="B101:E101"/>
    <mergeCell ref="R101:S101"/>
    <mergeCell ref="T101:W101"/>
    <mergeCell ref="X101:Y101"/>
    <mergeCell ref="B98:E98"/>
    <mergeCell ref="R98:S98"/>
    <mergeCell ref="T98:W98"/>
    <mergeCell ref="X98:Y98"/>
    <mergeCell ref="B99:E99"/>
    <mergeCell ref="R99:S99"/>
    <mergeCell ref="T99:W99"/>
    <mergeCell ref="X99:Y99"/>
    <mergeCell ref="B104:E104"/>
    <mergeCell ref="R104:S104"/>
    <mergeCell ref="T104:W104"/>
    <mergeCell ref="X104:Y104"/>
    <mergeCell ref="B105:E105"/>
    <mergeCell ref="R105:S105"/>
    <mergeCell ref="T105:W105"/>
    <mergeCell ref="X105:Y105"/>
    <mergeCell ref="B102:E102"/>
    <mergeCell ref="R102:S102"/>
    <mergeCell ref="T102:W102"/>
    <mergeCell ref="X102:Y102"/>
    <mergeCell ref="B103:E103"/>
    <mergeCell ref="R103:S103"/>
    <mergeCell ref="T103:W103"/>
    <mergeCell ref="X103:Y103"/>
    <mergeCell ref="B108:E108"/>
    <mergeCell ref="R108:S108"/>
    <mergeCell ref="T108:W108"/>
    <mergeCell ref="X108:Y108"/>
    <mergeCell ref="B109:E109"/>
    <mergeCell ref="R109:S109"/>
    <mergeCell ref="T109:W109"/>
    <mergeCell ref="X109:Y109"/>
    <mergeCell ref="B106:E106"/>
    <mergeCell ref="R106:S106"/>
    <mergeCell ref="T106:W106"/>
    <mergeCell ref="X106:Y106"/>
    <mergeCell ref="B107:E107"/>
    <mergeCell ref="R107:S107"/>
    <mergeCell ref="T107:W107"/>
    <mergeCell ref="X107:Y107"/>
    <mergeCell ref="B112:E112"/>
    <mergeCell ref="R112:S112"/>
    <mergeCell ref="T112:W112"/>
    <mergeCell ref="X112:Y112"/>
    <mergeCell ref="B113:E113"/>
    <mergeCell ref="R113:S113"/>
    <mergeCell ref="T113:W113"/>
    <mergeCell ref="X113:Y113"/>
    <mergeCell ref="B110:E110"/>
    <mergeCell ref="R110:S110"/>
    <mergeCell ref="T110:W110"/>
    <mergeCell ref="X110:Y110"/>
    <mergeCell ref="B111:E111"/>
    <mergeCell ref="R111:S111"/>
    <mergeCell ref="T111:W111"/>
    <mergeCell ref="X111:Y111"/>
    <mergeCell ref="B116:E116"/>
    <mergeCell ref="R116:S116"/>
    <mergeCell ref="T116:W116"/>
    <mergeCell ref="X116:Y116"/>
    <mergeCell ref="B117:E117"/>
    <mergeCell ref="R117:S117"/>
    <mergeCell ref="T117:W117"/>
    <mergeCell ref="X117:Y117"/>
    <mergeCell ref="B114:E114"/>
    <mergeCell ref="R114:S114"/>
    <mergeCell ref="T114:W114"/>
    <mergeCell ref="X114:Y114"/>
    <mergeCell ref="B115:E115"/>
    <mergeCell ref="R115:S115"/>
    <mergeCell ref="T115:W115"/>
    <mergeCell ref="X115:Y115"/>
    <mergeCell ref="B120:E120"/>
    <mergeCell ref="R120:S120"/>
    <mergeCell ref="T120:W120"/>
    <mergeCell ref="X120:Y120"/>
    <mergeCell ref="B121:E121"/>
    <mergeCell ref="R121:S121"/>
    <mergeCell ref="T121:W121"/>
    <mergeCell ref="X121:Y121"/>
    <mergeCell ref="B118:E118"/>
    <mergeCell ref="R118:S118"/>
    <mergeCell ref="T118:W118"/>
    <mergeCell ref="X118:Y118"/>
    <mergeCell ref="B119:E119"/>
    <mergeCell ref="R119:S119"/>
    <mergeCell ref="T119:W119"/>
    <mergeCell ref="X119:Y119"/>
    <mergeCell ref="B124:E124"/>
    <mergeCell ref="R124:S124"/>
    <mergeCell ref="T124:W124"/>
    <mergeCell ref="X124:Y124"/>
    <mergeCell ref="B125:E125"/>
    <mergeCell ref="R125:S125"/>
    <mergeCell ref="T125:W125"/>
    <mergeCell ref="X125:Y125"/>
    <mergeCell ref="B122:E122"/>
    <mergeCell ref="R122:S122"/>
    <mergeCell ref="T122:W122"/>
    <mergeCell ref="X122:Y122"/>
    <mergeCell ref="B123:E123"/>
    <mergeCell ref="R123:S123"/>
    <mergeCell ref="T123:W123"/>
    <mergeCell ref="X123:Y123"/>
    <mergeCell ref="B128:E128"/>
    <mergeCell ref="R128:S128"/>
    <mergeCell ref="T128:W128"/>
    <mergeCell ref="X128:Y128"/>
    <mergeCell ref="B129:E129"/>
    <mergeCell ref="R129:S129"/>
    <mergeCell ref="T129:W129"/>
    <mergeCell ref="X129:Y129"/>
    <mergeCell ref="B126:E126"/>
    <mergeCell ref="R126:S126"/>
    <mergeCell ref="T126:W126"/>
    <mergeCell ref="X126:Y126"/>
    <mergeCell ref="B127:E127"/>
    <mergeCell ref="R127:S127"/>
    <mergeCell ref="T127:W127"/>
    <mergeCell ref="X127:Y127"/>
    <mergeCell ref="B132:E132"/>
    <mergeCell ref="R132:S132"/>
    <mergeCell ref="T132:W132"/>
    <mergeCell ref="X132:Y132"/>
    <mergeCell ref="B133:E133"/>
    <mergeCell ref="R133:S133"/>
    <mergeCell ref="T133:W133"/>
    <mergeCell ref="X133:Y133"/>
    <mergeCell ref="B130:E130"/>
    <mergeCell ref="R130:S130"/>
    <mergeCell ref="T130:W130"/>
    <mergeCell ref="X130:Y130"/>
    <mergeCell ref="B131:E131"/>
    <mergeCell ref="R131:S131"/>
    <mergeCell ref="T131:W131"/>
    <mergeCell ref="X131:Y131"/>
    <mergeCell ref="B136:E136"/>
    <mergeCell ref="R136:S136"/>
    <mergeCell ref="T136:W136"/>
    <mergeCell ref="X136:Y136"/>
    <mergeCell ref="B137:E137"/>
    <mergeCell ref="R137:S137"/>
    <mergeCell ref="T137:W137"/>
    <mergeCell ref="X137:Y137"/>
    <mergeCell ref="B134:E134"/>
    <mergeCell ref="R134:S134"/>
    <mergeCell ref="T134:W134"/>
    <mergeCell ref="X134:Y134"/>
    <mergeCell ref="B135:E135"/>
    <mergeCell ref="R135:S135"/>
    <mergeCell ref="T135:W135"/>
    <mergeCell ref="X135:Y135"/>
    <mergeCell ref="B140:E140"/>
    <mergeCell ref="R140:S140"/>
    <mergeCell ref="T140:W140"/>
    <mergeCell ref="X140:Y140"/>
    <mergeCell ref="B141:E141"/>
    <mergeCell ref="R141:S141"/>
    <mergeCell ref="T141:W141"/>
    <mergeCell ref="X141:Y141"/>
    <mergeCell ref="B138:E138"/>
    <mergeCell ref="R138:S138"/>
    <mergeCell ref="T138:W138"/>
    <mergeCell ref="X138:Y138"/>
    <mergeCell ref="B139:E139"/>
    <mergeCell ref="R139:S139"/>
    <mergeCell ref="T139:W139"/>
    <mergeCell ref="X139:Y139"/>
    <mergeCell ref="B144:E144"/>
    <mergeCell ref="R144:S144"/>
    <mergeCell ref="T144:W144"/>
    <mergeCell ref="X144:Y144"/>
    <mergeCell ref="B145:E145"/>
    <mergeCell ref="R145:S145"/>
    <mergeCell ref="T145:W145"/>
    <mergeCell ref="X145:Y145"/>
    <mergeCell ref="B142:E142"/>
    <mergeCell ref="R142:S142"/>
    <mergeCell ref="T142:W142"/>
    <mergeCell ref="X142:Y142"/>
    <mergeCell ref="B143:E143"/>
    <mergeCell ref="R143:S143"/>
    <mergeCell ref="T143:W143"/>
    <mergeCell ref="X143:Y143"/>
    <mergeCell ref="B148:E148"/>
    <mergeCell ref="R148:S148"/>
    <mergeCell ref="T148:W148"/>
    <mergeCell ref="X148:Y148"/>
    <mergeCell ref="B149:E149"/>
    <mergeCell ref="R149:S149"/>
    <mergeCell ref="T149:W149"/>
    <mergeCell ref="X149:Y149"/>
    <mergeCell ref="B146:E146"/>
    <mergeCell ref="R146:S146"/>
    <mergeCell ref="T146:W146"/>
    <mergeCell ref="X146:Y146"/>
    <mergeCell ref="B147:E147"/>
    <mergeCell ref="R147:S147"/>
    <mergeCell ref="T147:W147"/>
    <mergeCell ref="X147:Y147"/>
    <mergeCell ref="B152:E152"/>
    <mergeCell ref="R152:S152"/>
    <mergeCell ref="T152:W152"/>
    <mergeCell ref="X152:Y152"/>
    <mergeCell ref="B153:E153"/>
    <mergeCell ref="R153:S153"/>
    <mergeCell ref="T153:W153"/>
    <mergeCell ref="X153:Y153"/>
    <mergeCell ref="B150:E150"/>
    <mergeCell ref="R150:S150"/>
    <mergeCell ref="T150:W150"/>
    <mergeCell ref="X150:Y150"/>
    <mergeCell ref="B151:E151"/>
    <mergeCell ref="R151:S151"/>
    <mergeCell ref="T151:W151"/>
    <mergeCell ref="X151:Y151"/>
    <mergeCell ref="B156:E156"/>
    <mergeCell ref="R156:S156"/>
    <mergeCell ref="T156:W156"/>
    <mergeCell ref="X156:Y156"/>
    <mergeCell ref="B157:E157"/>
    <mergeCell ref="R157:S157"/>
    <mergeCell ref="T157:W157"/>
    <mergeCell ref="X157:Y157"/>
    <mergeCell ref="B154:E154"/>
    <mergeCell ref="R154:S154"/>
    <mergeCell ref="T154:W154"/>
    <mergeCell ref="X154:Y154"/>
    <mergeCell ref="B155:E155"/>
    <mergeCell ref="R155:S155"/>
    <mergeCell ref="T155:W155"/>
    <mergeCell ref="X155:Y155"/>
    <mergeCell ref="Z160:AA160"/>
    <mergeCell ref="AC160:AC161"/>
    <mergeCell ref="AD160:AD161"/>
    <mergeCell ref="C161:E161"/>
    <mergeCell ref="F161:J161"/>
    <mergeCell ref="L161:Q161"/>
    <mergeCell ref="Z161:AA161"/>
    <mergeCell ref="V158:W158"/>
    <mergeCell ref="X158:AD158"/>
    <mergeCell ref="A159:AD159"/>
    <mergeCell ref="A160:B164"/>
    <mergeCell ref="C160:E160"/>
    <mergeCell ref="F160:J160"/>
    <mergeCell ref="L160:Q160"/>
    <mergeCell ref="R160:R161"/>
    <mergeCell ref="S160:S161"/>
    <mergeCell ref="W160:W170"/>
    <mergeCell ref="C158:D158"/>
    <mergeCell ref="F158:H158"/>
    <mergeCell ref="J158:K158"/>
    <mergeCell ref="M158:P158"/>
    <mergeCell ref="Q158:R158"/>
    <mergeCell ref="T158:U158"/>
    <mergeCell ref="X164:X166"/>
    <mergeCell ref="Y164:Y166"/>
    <mergeCell ref="Z164:AA166"/>
    <mergeCell ref="AB164:AB166"/>
    <mergeCell ref="AC164:AC166"/>
    <mergeCell ref="AD164:AD166"/>
    <mergeCell ref="AC162:AC163"/>
    <mergeCell ref="AD162:AD163"/>
    <mergeCell ref="C163:E163"/>
    <mergeCell ref="F163:J163"/>
    <mergeCell ref="L163:Q163"/>
    <mergeCell ref="T163:U163"/>
    <mergeCell ref="Z163:AA163"/>
    <mergeCell ref="C162:E162"/>
    <mergeCell ref="F162:J162"/>
    <mergeCell ref="L162:Q162"/>
    <mergeCell ref="R162:R164"/>
    <mergeCell ref="S162:S164"/>
    <mergeCell ref="Z162:AA162"/>
    <mergeCell ref="C164:E164"/>
    <mergeCell ref="F164:J164"/>
    <mergeCell ref="L164:Q164"/>
    <mergeCell ref="T164:U164"/>
    <mergeCell ref="F166:J166"/>
    <mergeCell ref="L166:Q166"/>
    <mergeCell ref="R166:R167"/>
    <mergeCell ref="S166:S167"/>
    <mergeCell ref="F167:J167"/>
    <mergeCell ref="L167:Q167"/>
    <mergeCell ref="A166:B170"/>
    <mergeCell ref="C166:E166"/>
    <mergeCell ref="C167:E167"/>
    <mergeCell ref="C168:E168"/>
    <mergeCell ref="C169:E169"/>
    <mergeCell ref="L169:Q169"/>
    <mergeCell ref="T169:U169"/>
    <mergeCell ref="AC169:AC170"/>
    <mergeCell ref="AD169:AD170"/>
    <mergeCell ref="C170:E170"/>
    <mergeCell ref="F170:J170"/>
    <mergeCell ref="L170:Q170"/>
    <mergeCell ref="T170:U170"/>
    <mergeCell ref="F168:J168"/>
    <mergeCell ref="L168:Q168"/>
    <mergeCell ref="R168:R170"/>
    <mergeCell ref="S168:S170"/>
    <mergeCell ref="F169:J169"/>
    <mergeCell ref="X167:X170"/>
    <mergeCell ref="Y167:Y170"/>
    <mergeCell ref="Z167:AA170"/>
    <mergeCell ref="AB167:AB170"/>
    <mergeCell ref="AC167:AC168"/>
    <mergeCell ref="AD167:AD168"/>
  </mergeCells>
  <conditionalFormatting sqref="U162">
    <cfRule type="colorScale" priority="9">
      <colorScale>
        <cfvo type="num" val="0.13"/>
        <cfvo type="max"/>
        <color rgb="FFFF0000"/>
        <color rgb="FF98FB33"/>
      </colorScale>
    </cfRule>
  </conditionalFormatting>
  <conditionalFormatting sqref="U168">
    <cfRule type="colorScale" priority="3">
      <colorScale>
        <cfvo type="num" val="0.13"/>
        <cfvo type="max"/>
        <color rgb="FFFF0000"/>
        <color rgb="FF98FB33"/>
      </colorScale>
    </cfRule>
  </conditionalFormatting>
  <conditionalFormatting sqref="V164">
    <cfRule type="expression" dxfId="5" priority="7">
      <formula>($V$164/$V$163)&lt;=0.98</formula>
    </cfRule>
    <cfRule type="expression" dxfId="4" priority="8">
      <formula>($V$164/$V$163)&gt;=1.02</formula>
    </cfRule>
  </conditionalFormatting>
  <conditionalFormatting sqref="V170">
    <cfRule type="expression" dxfId="3" priority="1">
      <formula>($V$170/$V$169)&lt;=0.98</formula>
    </cfRule>
    <cfRule type="expression" dxfId="2" priority="2">
      <formula>($V$170/$V$169)&gt;=1.02</formula>
    </cfRule>
  </conditionalFormatting>
  <conditionalFormatting sqref="AB160">
    <cfRule type="colorScale" priority="11">
      <colorScale>
        <cfvo type="num" val="80"/>
        <cfvo type="max"/>
        <color rgb="FFFF0000"/>
        <color rgb="FFFFE5D5"/>
      </colorScale>
    </cfRule>
  </conditionalFormatting>
  <conditionalFormatting sqref="AB164">
    <cfRule type="colorScale" priority="10">
      <colorScale>
        <cfvo type="num" val="0.13"/>
        <cfvo type="max"/>
        <color rgb="FFFF0000"/>
        <color rgb="FF98FB33"/>
      </colorScale>
    </cfRule>
  </conditionalFormatting>
  <conditionalFormatting sqref="AD169">
    <cfRule type="expression" dxfId="1" priority="12">
      <formula>($AD$169/$AD$167)&gt;=1.02</formula>
    </cfRule>
    <cfRule type="expression" dxfId="0" priority="13">
      <formula>($AD$169/$AD$167)&lt;=0.98</formula>
    </cfRule>
  </conditionalFormatting>
  <dataValidations count="18">
    <dataValidation type="list" errorStyle="warning" allowBlank="1" showInputMessage="1" showErrorMessage="1" sqref="U1" xr:uid="{2CD189EF-FB83-3345-9600-32864DA9BA85}">
      <formula1>$BN$7:$BN$15</formula1>
    </dataValidation>
    <dataValidation type="list" errorStyle="warning" allowBlank="1" showInputMessage="1" showErrorMessage="1" sqref="K3" xr:uid="{2DE65FF1-0CBA-5E45-9411-A150C2CD38F6}">
      <formula1>$BR$7:$BR$11</formula1>
    </dataValidation>
    <dataValidation type="list" errorStyle="warning" allowBlank="1" showInputMessage="1" showErrorMessage="1" sqref="U3" xr:uid="{7D8F8EC1-9607-6847-A89F-58D43BC0DBC2}">
      <formula1>$BT$7:$BT$30</formula1>
    </dataValidation>
    <dataValidation type="list" errorStyle="warning" allowBlank="1" showInputMessage="1" showErrorMessage="1" sqref="H3" xr:uid="{E9491C60-B785-C348-9758-B1D0BBBB58D1}">
      <formula1>$BQ$7:$BQ$12</formula1>
    </dataValidation>
    <dataValidation type="list" errorStyle="warning" allowBlank="1" showInputMessage="1" showErrorMessage="1" sqref="B3" xr:uid="{E005D83C-8532-9744-AEE5-B367612E0F46}">
      <formula1>$BO$7:$BO$13</formula1>
    </dataValidation>
    <dataValidation type="list" errorStyle="warning" allowBlank="1" showInputMessage="1" showErrorMessage="1" sqref="D3" xr:uid="{8B5D8A0F-1893-AF4C-A85A-7C9E7E18E734}">
      <formula1>$BP$7:$BP$9</formula1>
    </dataValidation>
    <dataValidation type="list" errorStyle="warning" allowBlank="1" showInputMessage="1" showErrorMessage="1" sqref="R3" xr:uid="{24B5CCE4-871A-1045-8042-26E4215C6A9E}">
      <formula1>$BS$7:$BS$11</formula1>
    </dataValidation>
    <dataValidation type="list" errorStyle="information" allowBlank="1" showInputMessage="1" sqref="AB4 K162 K164 K168:K170" xr:uid="{0D059FBB-ACB2-DF4A-A6F9-AD2C39D1F973}">
      <formula1>$BX$7:$BX$26</formula1>
    </dataValidation>
    <dataValidation type="list" errorStyle="warning" allowBlank="1" showErrorMessage="1" sqref="F7:F157" xr:uid="{A9F7955A-7A72-B941-B06F-A30A0ED0593F}">
      <formula1>$BU$7:$BU$14</formula1>
    </dataValidation>
    <dataValidation type="list" errorStyle="warning" allowBlank="1" showErrorMessage="1" sqref="G7:G157" xr:uid="{A6E547C7-06EE-7947-933C-C2DC318942B3}">
      <formula1>$BV$7:$BV$18</formula1>
    </dataValidation>
    <dataValidation type="list" showInputMessage="1" showErrorMessage="1" sqref="AA7:AA157" xr:uid="{7E6805EC-9AF8-F947-94FE-9B512500821E}">
      <formula1>$CB$7:$CB$11</formula1>
    </dataValidation>
    <dataValidation type="list" allowBlank="1" showInputMessage="1" showErrorMessage="1" sqref="H7:H157" xr:uid="{99361817-C5B3-694F-943E-24181DE5EE4D}">
      <formula1>$BW$7:$BW$7</formula1>
    </dataValidation>
    <dataValidation type="list" errorStyle="warning" allowBlank="1" showInputMessage="1" sqref="AB7:AB157" xr:uid="{44652B2A-8CEE-6847-933B-FA9841FC08BD}">
      <formula1>$BY$7:$BY$14</formula1>
    </dataValidation>
    <dataValidation type="list" allowBlank="1" showInputMessage="1" showErrorMessage="1" sqref="X2:Y2" xr:uid="{18F6A463-5CBD-C644-84FF-9C4C875C6C90}">
      <formula1>$CE$7:$CE$8</formula1>
    </dataValidation>
    <dataValidation type="list" errorStyle="warning" allowBlank="1" showInputMessage="1" sqref="AC2" xr:uid="{9095D666-48B3-9A4E-989B-8466C5389470}">
      <formula1>$BX$7:$BX$26</formula1>
    </dataValidation>
    <dataValidation type="list" allowBlank="1" showInputMessage="1" showErrorMessage="1" sqref="Z2:AA2" xr:uid="{F4FDFDC3-6C98-E24B-94FF-69D38B3968AD}">
      <formula1>$CF$7:$CF$10</formula1>
    </dataValidation>
    <dataValidation type="list" showInputMessage="1" showErrorMessage="1" sqref="Z7:Z157" xr:uid="{2629201B-F71A-F644-94E7-91AA10BA5E13}">
      <formula1>$BZ$7:$BZ$11</formula1>
    </dataValidation>
    <dataValidation type="list" errorStyle="warning" allowBlank="1" showErrorMessage="1" sqref="R7:S157" xr:uid="{E7A9219E-4867-6A42-942C-1DF015EA4A9B}">
      <formula1>$CH$7:$CH$171</formula1>
    </dataValidation>
  </dataValidations>
  <pageMargins left="0.7" right="0.7" top="0.75" bottom="0.75" header="0.3" footer="0.3"/>
  <pageSetup pageOrder="overThenDown" orientation="portrait" r:id="rId1"/>
  <legacy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Attachment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Copeland - Pro Glass Works</dc:creator>
  <cp:lastModifiedBy>Matt Copeland - Pro Glass Works</cp:lastModifiedBy>
  <dcterms:created xsi:type="dcterms:W3CDTF">2025-01-14T20:05:53Z</dcterms:created>
  <dcterms:modified xsi:type="dcterms:W3CDTF">2025-02-11T16:52:20Z</dcterms:modified>
</cp:coreProperties>
</file>