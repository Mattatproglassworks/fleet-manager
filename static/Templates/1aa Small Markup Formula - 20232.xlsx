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glassworks-my.sharepoint.com/personal/kyle_proglassworks_com/Documents/PGW Shared Folder/aa PGW PROJECTS/1a Jeremy Hewison Accounts/"/>
    </mc:Choice>
  </mc:AlternateContent>
  <xr:revisionPtr revIDLastSave="54" documentId="8_{469F675D-D637-4584-892C-415884C97582}" xr6:coauthVersionLast="47" xr6:coauthVersionMax="47" xr10:uidLastSave="{D437D22E-FE8F-480B-ADC0-BEA7B1505C24}"/>
  <bookViews>
    <workbookView xWindow="22932" yWindow="-6276" windowWidth="41496" windowHeight="16776" xr2:uid="{48C99F8E-60CB-9444-912D-40E78420459F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9" i="1"/>
  <c r="D9" i="1"/>
  <c r="D5" i="1"/>
  <c r="B6" i="1"/>
  <c r="D6" i="1"/>
  <c r="B7" i="1"/>
  <c r="B8" i="1"/>
  <c r="D8" i="1"/>
</calcChain>
</file>

<file path=xl/sharedStrings.xml><?xml version="1.0" encoding="utf-8"?>
<sst xmlns="http://schemas.openxmlformats.org/spreadsheetml/2006/main" count="10" uniqueCount="10">
  <si>
    <t>MATERIALS</t>
  </si>
  <si>
    <t>LABOR</t>
  </si>
  <si>
    <t>Margin</t>
  </si>
  <si>
    <t>Markup</t>
  </si>
  <si>
    <t>OVERHEAD</t>
  </si>
  <si>
    <t>SALES</t>
  </si>
  <si>
    <t>PROFIT</t>
  </si>
  <si>
    <t>MARKUP SUB-TOTAL</t>
  </si>
  <si>
    <t>DJC SUB-TOTAL</t>
  </si>
  <si>
    <t>OTHER (Do not put any labor costs here.)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</si>
</sst>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rgb="FF000000"/>
      <name val="Calibri"/>
      <family val="2"/>
      <scheme val="minor"/>
    </font>
    <font>
      <sz val="10"/>
      <name val="Tahoma"/>
      <family val="2"/>
    </font>
    <font>
      <sz val="9"/>
      <color indexed="8"/>
      <name val="Arial"/>
      <family val="2"/>
    </font>
    <font>
      <b/>
      <sz val="8.5"/>
      <color theme="1"/>
      <name val="Calibri"/>
      <family val="2"/>
      <scheme val="minor"/>
    </font>
    <font>
      <sz val="8.5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32"/>
        <bgColor indexed="64"/>
      </patternFill>
    </fill>
    <fill>
      <patternFill patternType="solid">
        <fgColor rgb="FFFF65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AFF3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4" fillId="0" borderId="0" xfId="2" applyFont="1" applyAlignment="1">
      <alignment vertical="center"/>
    </xf>
    <xf numFmtId="165" fontId="5" fillId="5" borderId="6" xfId="1" applyNumberFormat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 applyProtection="1">
      <alignment vertical="center"/>
      <protection locked="0"/>
    </xf>
    <xf numFmtId="0" fontId="2" fillId="3" borderId="3" xfId="1" applyFont="1" applyFill="1" applyBorder="1" applyAlignment="1" applyProtection="1">
      <alignment vertical="center"/>
      <protection locked="0"/>
    </xf>
    <xf numFmtId="0" fontId="2" fillId="3" borderId="4" xfId="1" applyFont="1" applyFill="1" applyBorder="1" applyAlignment="1" applyProtection="1">
      <alignment vertical="center"/>
      <protection locked="0"/>
    </xf>
    <xf numFmtId="0" fontId="2" fillId="3" borderId="7" xfId="1" applyFont="1" applyFill="1" applyBorder="1" applyAlignment="1" applyProtection="1">
      <alignment horizontal="left" vertical="center"/>
      <protection locked="0"/>
    </xf>
    <xf numFmtId="0" fontId="2" fillId="3" borderId="6" xfId="1" applyFont="1" applyFill="1" applyBorder="1" applyAlignment="1" applyProtection="1">
      <alignment vertical="center"/>
      <protection locked="0"/>
    </xf>
    <xf numFmtId="164" fontId="6" fillId="2" borderId="1" xfId="1" applyNumberFormat="1" applyFont="1" applyFill="1" applyBorder="1" applyAlignment="1" applyProtection="1">
      <alignment horizontal="center" vertical="center"/>
      <protection locked="0"/>
    </xf>
    <xf numFmtId="164" fontId="6" fillId="2" borderId="5" xfId="1" applyNumberFormat="1" applyFont="1" applyFill="1" applyBorder="1" applyAlignment="1" applyProtection="1">
      <alignment horizontal="center" vertical="center"/>
      <protection locked="0"/>
    </xf>
    <xf numFmtId="164" fontId="6" fillId="3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165" fontId="5" fillId="8" borderId="6" xfId="1" applyNumberFormat="1" applyFont="1" applyFill="1" applyBorder="1" applyAlignment="1" applyProtection="1">
      <alignment horizontal="center" vertical="center"/>
      <protection locked="0"/>
    </xf>
    <xf numFmtId="164" fontId="5" fillId="7" borderId="12" xfId="1" applyNumberFormat="1" applyFont="1" applyFill="1" applyBorder="1" applyAlignment="1" applyProtection="1">
      <alignment horizontal="center" vertical="center"/>
      <protection locked="0"/>
    </xf>
    <xf numFmtId="0" fontId="2" fillId="3" borderId="13" xfId="1" applyFont="1" applyFill="1" applyBorder="1" applyAlignment="1" applyProtection="1">
      <alignment vertical="center"/>
      <protection locked="0"/>
    </xf>
    <xf numFmtId="0" fontId="2" fillId="4" borderId="6" xfId="1" applyFont="1" applyFill="1" applyBorder="1" applyAlignment="1" applyProtection="1">
      <alignment horizontal="center"/>
      <protection locked="0"/>
    </xf>
    <xf numFmtId="0" fontId="2" fillId="4" borderId="9" xfId="1" applyFont="1" applyFill="1" applyBorder="1" applyAlignment="1" applyProtection="1">
      <alignment horizontal="center"/>
      <protection locked="0"/>
    </xf>
    <xf numFmtId="0" fontId="2" fillId="3" borderId="6" xfId="1" applyFont="1" applyFill="1" applyBorder="1" applyAlignment="1" applyProtection="1">
      <alignment horizontal="left" vertical="center"/>
      <protection locked="0"/>
    </xf>
    <xf numFmtId="0" fontId="2" fillId="3" borderId="7" xfId="1" applyFont="1" applyFill="1" applyBorder="1" applyAlignment="1" applyProtection="1">
      <alignment horizontal="left" vertical="center"/>
      <protection locked="0"/>
    </xf>
    <xf numFmtId="0" fontId="2" fillId="3" borderId="8" xfId="1" applyFont="1" applyFill="1" applyBorder="1" applyAlignment="1" applyProtection="1">
      <alignment horizontal="left" vertical="center"/>
      <protection locked="0"/>
    </xf>
    <xf numFmtId="165" fontId="7" fillId="2" borderId="9" xfId="1" applyNumberFormat="1" applyFont="1" applyFill="1" applyBorder="1" applyAlignment="1" applyProtection="1">
      <alignment horizontal="center" vertical="center"/>
      <protection locked="0"/>
    </xf>
    <xf numFmtId="164" fontId="5" fillId="7" borderId="5" xfId="1" applyNumberFormat="1" applyFont="1" applyFill="1" applyBorder="1" applyAlignment="1" applyProtection="1">
      <alignment horizontal="center" vertical="center"/>
      <protection locked="0"/>
    </xf>
    <xf numFmtId="164" fontId="5" fillId="7" borderId="10" xfId="1" applyNumberFormat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2" fillId="3" borderId="14" xfId="1" applyFont="1" applyFill="1" applyBorder="1" applyAlignment="1" applyProtection="1">
      <alignment horizontal="center" vertical="center"/>
      <protection locked="0"/>
    </xf>
    <xf numFmtId="164" fontId="5" fillId="6" borderId="11" xfId="1" applyNumberFormat="1" applyFont="1" applyFill="1" applyBorder="1" applyAlignment="1" applyProtection="1">
      <alignment horizontal="center" vertical="center"/>
      <protection locked="0"/>
    </xf>
    <xf numFmtId="164" fontId="5" fillId="6" borderId="9" xfId="1" applyNumberFormat="1" applyFont="1" applyFill="1" applyBorder="1" applyAlignment="1" applyProtection="1">
      <alignment horizontal="center" vertical="center"/>
      <protection locked="0"/>
    </xf>
    <xf numFmtId="164" fontId="5" fillId="6" borderId="14" xfId="1" applyNumberFormat="1" applyFont="1" applyFill="1" applyBorder="1" applyAlignment="1" applyProtection="1">
      <alignment horizontal="center" vertical="center"/>
      <protection locked="0"/>
    </xf>
    <xf numFmtId="164" fontId="5" fillId="6" borderId="15" xfId="1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 2" xfId="2" xr:uid="{85822199-88B7-B54B-86F4-41A2FB02D8D5}"/>
    <cellStyle name="Normal 2 3" xfId="1" xr:uid="{CC5B25C6-912C-6449-A78A-1D9AF011A961}"/>
    <cellStyle name="Normal 3 2" xfId="3" xr:uid="{5CED0AD9-352F-3E49-A511-74BC8D56ABE8}"/>
  </cellStyles>
  <dxfs count="0"/>
  <tableStyles count="0" defaultTableStyle="TableStyleMedium2" defaultPivotStyle="PivotStyleLight16"/>
  <colors>
    <mruColors>
      <color rgb="FF9AFF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D443-75C2-7841-A7C2-431D38E3382B}">
  <dimension ref="B1:I10"/>
  <sheetViews>
    <sheetView tabSelected="1" zoomScale="175" zoomScaleNormal="175" workbookViewId="0">
      <selection activeCell="F9" sqref="F9"/>
    </sheetView>
  </sheetViews>
  <sheetFormatPr defaultColWidth="11.19921875" defaultRowHeight="15.6" x14ac:dyDescent="0.3"/>
  <cols>
    <col min="3" max="3" width="14.69921875" customWidth="1"/>
    <col min="6" max="6" width="17.59765625" customWidth="1"/>
  </cols>
  <sheetData>
    <row r="1" spans="2:9" ht="16.2" thickBot="1" x14ac:dyDescent="0.35"/>
    <row r="2" spans="2:9" x14ac:dyDescent="0.3">
      <c r="B2" s="8"/>
      <c r="C2" s="3" t="s">
        <v>0</v>
      </c>
      <c r="D2" s="4"/>
      <c r="E2" s="5"/>
      <c r="F2" s="1"/>
      <c r="G2" s="11"/>
    </row>
    <row r="3" spans="2:9" x14ac:dyDescent="0.3">
      <c r="B3" s="9"/>
      <c r="C3" s="17" t="s">
        <v>9</v>
      </c>
      <c r="D3" s="18"/>
      <c r="E3" s="19"/>
      <c r="F3" s="1"/>
      <c r="G3" s="1"/>
      <c r="H3" s="1"/>
      <c r="I3" s="1"/>
    </row>
    <row r="4" spans="2:9" x14ac:dyDescent="0.3">
      <c r="B4" s="9"/>
      <c r="C4" s="7" t="s">
        <v>1</v>
      </c>
      <c r="D4" s="15" t="s">
        <v>2</v>
      </c>
      <c r="E4" s="16" t="s">
        <v>3</v>
      </c>
      <c r="F4" s="1"/>
      <c r="G4" s="1"/>
      <c r="H4" s="1"/>
      <c r="I4" s="1"/>
    </row>
    <row r="5" spans="2:9" ht="16.95" customHeight="1" x14ac:dyDescent="0.3">
      <c r="B5" s="13">
        <f>SUM(B2:B4)</f>
        <v>0</v>
      </c>
      <c r="C5" s="14" t="s">
        <v>8</v>
      </c>
      <c r="D5" s="2">
        <f>IF(B5=0,0,(B5/D9))</f>
        <v>0</v>
      </c>
      <c r="E5" s="20">
        <v>1.75</v>
      </c>
      <c r="F5" s="1"/>
      <c r="G5" s="1"/>
      <c r="H5" s="1"/>
      <c r="I5" s="1"/>
    </row>
    <row r="6" spans="2:9" x14ac:dyDescent="0.3">
      <c r="B6" s="10">
        <f>((B4/40)*45)</f>
        <v>0</v>
      </c>
      <c r="C6" s="6" t="s">
        <v>4</v>
      </c>
      <c r="D6" s="2">
        <f>IF(B6=0,0,(B6/D9))</f>
        <v>0</v>
      </c>
      <c r="E6" s="20"/>
      <c r="F6" s="1"/>
      <c r="G6" s="1"/>
      <c r="H6" s="1"/>
      <c r="I6" s="1"/>
    </row>
    <row r="7" spans="2:9" x14ac:dyDescent="0.3">
      <c r="B7" s="10">
        <f>D9*D7</f>
        <v>0</v>
      </c>
      <c r="C7" s="6" t="s">
        <v>5</v>
      </c>
      <c r="D7" s="12">
        <v>0.1</v>
      </c>
      <c r="E7" s="20"/>
      <c r="F7" s="1"/>
      <c r="G7" s="1"/>
      <c r="H7" s="1"/>
      <c r="I7" s="1"/>
    </row>
    <row r="8" spans="2:9" x14ac:dyDescent="0.3">
      <c r="B8" s="10">
        <f>D9-B5-B6-B7</f>
        <v>0</v>
      </c>
      <c r="C8" s="6" t="s">
        <v>6</v>
      </c>
      <c r="D8" s="2">
        <f>IF(B8=0,0,(B8/D9))</f>
        <v>0</v>
      </c>
      <c r="E8" s="20"/>
      <c r="F8" s="1"/>
      <c r="G8" s="1"/>
      <c r="H8" s="1"/>
      <c r="I8" s="1"/>
    </row>
    <row r="9" spans="2:9" x14ac:dyDescent="0.3">
      <c r="B9" s="21">
        <f>B5*E5</f>
        <v>0</v>
      </c>
      <c r="C9" s="23" t="s">
        <v>7</v>
      </c>
      <c r="D9" s="25">
        <f>SUM(B5+B9)</f>
        <v>0</v>
      </c>
      <c r="E9" s="26"/>
      <c r="F9" s="1"/>
      <c r="G9" s="1"/>
      <c r="H9" s="1"/>
      <c r="I9" s="1"/>
    </row>
    <row r="10" spans="2:9" ht="16.2" thickBot="1" x14ac:dyDescent="0.35">
      <c r="B10" s="22"/>
      <c r="C10" s="24"/>
      <c r="D10" s="27"/>
      <c r="E10" s="28"/>
    </row>
  </sheetData>
  <mergeCells count="5">
    <mergeCell ref="C3:E3"/>
    <mergeCell ref="E5:E8"/>
    <mergeCell ref="B9:B10"/>
    <mergeCell ref="C9:C10"/>
    <mergeCell ref="D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Dasher</dc:creator>
  <cp:lastModifiedBy>Jeremy Hewison - Pro Glass Works</cp:lastModifiedBy>
  <dcterms:created xsi:type="dcterms:W3CDTF">2020-10-20T01:00:28Z</dcterms:created>
  <dcterms:modified xsi:type="dcterms:W3CDTF">2024-03-06T21:58:59Z</dcterms:modified>
</cp:coreProperties>
</file>