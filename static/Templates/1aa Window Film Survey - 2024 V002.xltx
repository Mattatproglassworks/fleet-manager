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1.xml" ContentType="application/vnd.openxmlformats-officedocument.spreadsheetml.comment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/>
  <workbookPr/>
  <mc:AlternateContent xmlns:mc="http://schemas.openxmlformats.org/markup-compatibility/2006">
    <mc:Choice Requires="x15">
      <x15ac:absPath xmlns:x15ac="http://schemas.microsoft.com/office/spreadsheetml/2010/11/ac" url="C:\Users\matt\Documents\Custom Office Templates\"/>
    </mc:Choice>
  </mc:AlternateContent>
  <xr:revisionPtr revIDLastSave="0" documentId="8_{7D1B9AD4-311F-4A9A-97AF-4650B27F57EC}" xr6:coauthVersionLast="47" xr6:coauthVersionMax="47" xr10:uidLastSave="{00000000-0000-0000-0000-000000000000}"/>
  <bookViews>
    <workbookView xWindow="-28898" yWindow="-98" windowWidth="28996" windowHeight="16395" xr2:uid="{00000000-000D-0000-FFFF-FFFF00000000}"/>
  </bookViews>
  <sheets>
    <sheet name="Page 1" sheetId="4" r:id="rId1"/>
    <sheet name="Page 2" sheetId="2" r:id="rId2"/>
    <sheet name="Totals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2" l="1" a="1"/>
  <c r="H1" i="2" s="1"/>
  <c r="CO7" i="4"/>
  <c r="CO8" i="4"/>
  <c r="CO9" i="4"/>
  <c r="CO10" i="4"/>
  <c r="CO11" i="4"/>
  <c r="CO12" i="4"/>
  <c r="CO13" i="4"/>
  <c r="CO14" i="4"/>
  <c r="CO15" i="4"/>
  <c r="CO16" i="4"/>
  <c r="CO17" i="4"/>
  <c r="CO18" i="4"/>
  <c r="CO19" i="4"/>
  <c r="CO20" i="4"/>
  <c r="CO21" i="4"/>
  <c r="CO22" i="4"/>
  <c r="CO23" i="4"/>
  <c r="CO24" i="4"/>
  <c r="CO25" i="4"/>
  <c r="CO26" i="4"/>
  <c r="CO27" i="4"/>
  <c r="CO28" i="4"/>
  <c r="CO29" i="4"/>
  <c r="CO30" i="4"/>
  <c r="CO31" i="4"/>
  <c r="CO32" i="4"/>
  <c r="CO33" i="4"/>
  <c r="CO34" i="4"/>
  <c r="CO35" i="4"/>
  <c r="CO36" i="4"/>
  <c r="CO37" i="4"/>
  <c r="CO38" i="4"/>
  <c r="CO39" i="4"/>
  <c r="CO40" i="4"/>
  <c r="CO41" i="4"/>
  <c r="CO42" i="4"/>
  <c r="CO43" i="4"/>
  <c r="CO44" i="4"/>
  <c r="CO45" i="4"/>
  <c r="CO46" i="4"/>
  <c r="CO47" i="4"/>
  <c r="CO48" i="4"/>
  <c r="CO49" i="4"/>
  <c r="CO50" i="4"/>
  <c r="CO51" i="4"/>
  <c r="CO52" i="4"/>
  <c r="CO53" i="4"/>
  <c r="CO54" i="4"/>
  <c r="CO55" i="4"/>
  <c r="CO56" i="4"/>
  <c r="CO57" i="4"/>
  <c r="CO58" i="4"/>
  <c r="CO59" i="4"/>
  <c r="CO60" i="4"/>
  <c r="CO61" i="4"/>
  <c r="CO62" i="4"/>
  <c r="CO63" i="4"/>
  <c r="CO64" i="4"/>
  <c r="CO65" i="4"/>
  <c r="CO66" i="4"/>
  <c r="CO67" i="4"/>
  <c r="CO68" i="4"/>
  <c r="CO69" i="4"/>
  <c r="CO70" i="4"/>
  <c r="CO71" i="4"/>
  <c r="CO72" i="4"/>
  <c r="CO73" i="4"/>
  <c r="CO74" i="4"/>
  <c r="CO75" i="4"/>
  <c r="CO76" i="4"/>
  <c r="CO77" i="4"/>
  <c r="CO78" i="4"/>
  <c r="CO79" i="4"/>
  <c r="CO80" i="4"/>
  <c r="CO81" i="4"/>
  <c r="CO82" i="4"/>
  <c r="CO83" i="4"/>
  <c r="CO84" i="4"/>
  <c r="CO85" i="4"/>
  <c r="CO86" i="4"/>
  <c r="CO87" i="4"/>
  <c r="CO88" i="4"/>
  <c r="CO89" i="4"/>
  <c r="CO90" i="4"/>
  <c r="CO91" i="4"/>
  <c r="CO92" i="4"/>
  <c r="CO93" i="4"/>
  <c r="CO94" i="4"/>
  <c r="CO95" i="4"/>
  <c r="CO96" i="4"/>
  <c r="CO97" i="4"/>
  <c r="CO98" i="4"/>
  <c r="CO99" i="4"/>
  <c r="CO100" i="4"/>
  <c r="CO101" i="4"/>
  <c r="CO102" i="4"/>
  <c r="CO103" i="4"/>
  <c r="CO104" i="4"/>
  <c r="CO105" i="4"/>
  <c r="CO106" i="4"/>
  <c r="CO107" i="4"/>
  <c r="CO108" i="4"/>
  <c r="CO109" i="4"/>
  <c r="CO110" i="4"/>
  <c r="CO111" i="4"/>
  <c r="CO112" i="4"/>
  <c r="CO113" i="4"/>
  <c r="CO114" i="4"/>
  <c r="CO115" i="4"/>
  <c r="CO116" i="4"/>
  <c r="CO117" i="4"/>
  <c r="CO118" i="4"/>
  <c r="CO119" i="4"/>
  <c r="CO120" i="4"/>
  <c r="CO121" i="4"/>
  <c r="CO122" i="4"/>
  <c r="CO123" i="4"/>
  <c r="CO124" i="4"/>
  <c r="CO125" i="4"/>
  <c r="CO126" i="4"/>
  <c r="CO127" i="4"/>
  <c r="CO128" i="4"/>
  <c r="CO129" i="4"/>
  <c r="CO130" i="4"/>
  <c r="CO131" i="4"/>
  <c r="CO132" i="4"/>
  <c r="CO133" i="4"/>
  <c r="CO134" i="4"/>
  <c r="CO135" i="4"/>
  <c r="CO136" i="4"/>
  <c r="CO137" i="4"/>
  <c r="CO138" i="4"/>
  <c r="CO139" i="4"/>
  <c r="CO140" i="4"/>
  <c r="CO141" i="4"/>
  <c r="CO142" i="4"/>
  <c r="CO143" i="4"/>
  <c r="CO144" i="4"/>
  <c r="CO145" i="4"/>
  <c r="CO146" i="4"/>
  <c r="CO147" i="4"/>
  <c r="CO148" i="4"/>
  <c r="CO149" i="4"/>
  <c r="CO150" i="4"/>
  <c r="CO151" i="4"/>
  <c r="CO152" i="4"/>
  <c r="CO153" i="4"/>
  <c r="CO154" i="4"/>
  <c r="CR11" i="4"/>
  <c r="CQ14" i="4"/>
  <c r="K4" i="3"/>
  <c r="K3" i="3"/>
  <c r="O158" i="4"/>
  <c r="BJ157" i="4"/>
  <c r="BI157" i="4"/>
  <c r="BH157" i="4"/>
  <c r="BF157" i="4"/>
  <c r="BC157" i="4"/>
  <c r="BB157" i="4"/>
  <c r="AY157" i="4"/>
  <c r="AX157" i="4"/>
  <c r="AZ157" i="4" s="1"/>
  <c r="AW157" i="4"/>
  <c r="AP157" i="4"/>
  <c r="AO157" i="4"/>
  <c r="AG157" i="4"/>
  <c r="X157" i="4"/>
  <c r="L157" i="4"/>
  <c r="Q157" i="4" s="1"/>
  <c r="BJ156" i="4"/>
  <c r="BI156" i="4"/>
  <c r="BH156" i="4"/>
  <c r="BF156" i="4"/>
  <c r="BC156" i="4"/>
  <c r="BB156" i="4"/>
  <c r="AY156" i="4"/>
  <c r="AX156" i="4"/>
  <c r="AZ156" i="4" s="1"/>
  <c r="AW156" i="4"/>
  <c r="AP156" i="4"/>
  <c r="AO156" i="4"/>
  <c r="AG156" i="4"/>
  <c r="X156" i="4"/>
  <c r="Q156" i="4"/>
  <c r="L156" i="4"/>
  <c r="BJ155" i="4"/>
  <c r="BI155" i="4"/>
  <c r="BH155" i="4"/>
  <c r="BF155" i="4"/>
  <c r="BC155" i="4"/>
  <c r="BB155" i="4"/>
  <c r="AY155" i="4"/>
  <c r="AX155" i="4"/>
  <c r="AZ155" i="4" s="1"/>
  <c r="AW155" i="4"/>
  <c r="AP155" i="4"/>
  <c r="AO155" i="4"/>
  <c r="AG155" i="4"/>
  <c r="X155" i="4"/>
  <c r="L155" i="4"/>
  <c r="Q155" i="4" s="1"/>
  <c r="CM154" i="4"/>
  <c r="BJ154" i="4"/>
  <c r="BI154" i="4"/>
  <c r="BG154" i="4" s="1"/>
  <c r="BH154" i="4"/>
  <c r="BF154" i="4"/>
  <c r="BC154" i="4"/>
  <c r="BB154" i="4"/>
  <c r="AY154" i="4"/>
  <c r="AX154" i="4"/>
  <c r="AZ154" i="4" s="1"/>
  <c r="AW154" i="4"/>
  <c r="AP154" i="4"/>
  <c r="AO154" i="4"/>
  <c r="AG154" i="4"/>
  <c r="X154" i="4"/>
  <c r="Q154" i="4"/>
  <c r="AK154" i="4" s="1"/>
  <c r="L154" i="4"/>
  <c r="CM153" i="4"/>
  <c r="BJ153" i="4"/>
  <c r="BI153" i="4"/>
  <c r="BH153" i="4"/>
  <c r="BF153" i="4"/>
  <c r="BG153" i="4" s="1"/>
  <c r="BC153" i="4"/>
  <c r="BB153" i="4"/>
  <c r="AY153" i="4"/>
  <c r="AX153" i="4"/>
  <c r="AZ153" i="4" s="1"/>
  <c r="AW153" i="4"/>
  <c r="AP153" i="4"/>
  <c r="AO153" i="4"/>
  <c r="AG153" i="4"/>
  <c r="X153" i="4"/>
  <c r="L153" i="4"/>
  <c r="Q153" i="4" s="1"/>
  <c r="CM152" i="4"/>
  <c r="BJ152" i="4"/>
  <c r="BI152" i="4"/>
  <c r="BH152" i="4"/>
  <c r="BF152" i="4"/>
  <c r="BC152" i="4"/>
  <c r="BB152" i="4"/>
  <c r="AY152" i="4"/>
  <c r="AX152" i="4"/>
  <c r="AW152" i="4"/>
  <c r="AP152" i="4"/>
  <c r="AO152" i="4"/>
  <c r="AG152" i="4"/>
  <c r="X152" i="4"/>
  <c r="L152" i="4"/>
  <c r="Q152" i="4" s="1"/>
  <c r="CM151" i="4"/>
  <c r="BJ151" i="4"/>
  <c r="BI151" i="4"/>
  <c r="BH151" i="4"/>
  <c r="BF151" i="4"/>
  <c r="BC151" i="4"/>
  <c r="BB151" i="4"/>
  <c r="AY151" i="4"/>
  <c r="AX151" i="4"/>
  <c r="AW151" i="4"/>
  <c r="AP151" i="4"/>
  <c r="AO151" i="4"/>
  <c r="AG151" i="4"/>
  <c r="X151" i="4"/>
  <c r="L151" i="4"/>
  <c r="Q151" i="4" s="1"/>
  <c r="CM150" i="4"/>
  <c r="BJ150" i="4"/>
  <c r="BI150" i="4"/>
  <c r="BH150" i="4"/>
  <c r="BF150" i="4"/>
  <c r="BG150" i="4" s="1"/>
  <c r="BC150" i="4"/>
  <c r="BB150" i="4"/>
  <c r="AY150" i="4"/>
  <c r="AX150" i="4"/>
  <c r="AW150" i="4"/>
  <c r="AP150" i="4"/>
  <c r="AO150" i="4"/>
  <c r="AG150" i="4"/>
  <c r="X150" i="4"/>
  <c r="Q150" i="4"/>
  <c r="L150" i="4"/>
  <c r="CM149" i="4"/>
  <c r="BJ149" i="4"/>
  <c r="BI149" i="4"/>
  <c r="BH149" i="4"/>
  <c r="BF149" i="4"/>
  <c r="BG149" i="4" s="1"/>
  <c r="BC149" i="4"/>
  <c r="BB149" i="4"/>
  <c r="AY149" i="4"/>
  <c r="AX149" i="4"/>
  <c r="AZ149" i="4" s="1"/>
  <c r="AW149" i="4"/>
  <c r="AP149" i="4"/>
  <c r="AO149" i="4"/>
  <c r="AG149" i="4"/>
  <c r="X149" i="4"/>
  <c r="L149" i="4"/>
  <c r="Q149" i="4" s="1"/>
  <c r="CM148" i="4"/>
  <c r="BJ148" i="4"/>
  <c r="BI148" i="4"/>
  <c r="BH148" i="4"/>
  <c r="BF148" i="4"/>
  <c r="BG148" i="4" s="1"/>
  <c r="BC148" i="4"/>
  <c r="BB148" i="4"/>
  <c r="AY148" i="4"/>
  <c r="AX148" i="4"/>
  <c r="AZ148" i="4" s="1"/>
  <c r="AW148" i="4"/>
  <c r="AP148" i="4"/>
  <c r="AO148" i="4"/>
  <c r="AG148" i="4"/>
  <c r="X148" i="4"/>
  <c r="L148" i="4"/>
  <c r="Q148" i="4" s="1"/>
  <c r="CM147" i="4"/>
  <c r="BJ147" i="4"/>
  <c r="BI147" i="4"/>
  <c r="BH147" i="4"/>
  <c r="BG147" i="4"/>
  <c r="BF147" i="4"/>
  <c r="BC147" i="4"/>
  <c r="BB147" i="4"/>
  <c r="AY147" i="4"/>
  <c r="AX147" i="4"/>
  <c r="AZ147" i="4" s="1"/>
  <c r="AW147" i="4"/>
  <c r="AP147" i="4"/>
  <c r="AO147" i="4"/>
  <c r="AG147" i="4"/>
  <c r="X147" i="4"/>
  <c r="L147" i="4"/>
  <c r="Q147" i="4" s="1"/>
  <c r="CM146" i="4"/>
  <c r="BJ146" i="4"/>
  <c r="BI146" i="4"/>
  <c r="BH146" i="4"/>
  <c r="BF146" i="4"/>
  <c r="BG146" i="4" s="1"/>
  <c r="BC146" i="4"/>
  <c r="BB146" i="4"/>
  <c r="AY146" i="4"/>
  <c r="AX146" i="4"/>
  <c r="AZ146" i="4" s="1"/>
  <c r="AW146" i="4"/>
  <c r="AP146" i="4"/>
  <c r="AO146" i="4"/>
  <c r="AG146" i="4"/>
  <c r="X146" i="4"/>
  <c r="L146" i="4"/>
  <c r="Q146" i="4" s="1"/>
  <c r="CM145" i="4"/>
  <c r="BJ145" i="4"/>
  <c r="BI145" i="4"/>
  <c r="BH145" i="4"/>
  <c r="BF145" i="4"/>
  <c r="BG145" i="4" s="1"/>
  <c r="BC145" i="4"/>
  <c r="BB145" i="4"/>
  <c r="AY145" i="4"/>
  <c r="AX145" i="4"/>
  <c r="AZ145" i="4" s="1"/>
  <c r="BA145" i="4" s="1"/>
  <c r="AM145" i="4" s="1"/>
  <c r="AW145" i="4"/>
  <c r="AP145" i="4"/>
  <c r="AO145" i="4"/>
  <c r="AG145" i="4"/>
  <c r="X145" i="4"/>
  <c r="L145" i="4"/>
  <c r="Q145" i="4" s="1"/>
  <c r="CM144" i="4"/>
  <c r="BJ144" i="4"/>
  <c r="BI144" i="4"/>
  <c r="BH144" i="4"/>
  <c r="BF144" i="4"/>
  <c r="BC144" i="4"/>
  <c r="BB144" i="4"/>
  <c r="AY144" i="4"/>
  <c r="AX144" i="4"/>
  <c r="AZ144" i="4" s="1"/>
  <c r="AW144" i="4"/>
  <c r="AP144" i="4"/>
  <c r="AO144" i="4"/>
  <c r="AG144" i="4"/>
  <c r="X144" i="4"/>
  <c r="L144" i="4"/>
  <c r="Q144" i="4" s="1"/>
  <c r="CM143" i="4"/>
  <c r="BJ143" i="4"/>
  <c r="BI143" i="4"/>
  <c r="BH143" i="4"/>
  <c r="BF143" i="4"/>
  <c r="BG143" i="4" s="1"/>
  <c r="BC143" i="4"/>
  <c r="BB143" i="4"/>
  <c r="AY143" i="4"/>
  <c r="AX143" i="4"/>
  <c r="AZ143" i="4" s="1"/>
  <c r="BA143" i="4" s="1"/>
  <c r="AW143" i="4"/>
  <c r="AP143" i="4"/>
  <c r="AO143" i="4"/>
  <c r="AG143" i="4"/>
  <c r="X143" i="4"/>
  <c r="L143" i="4"/>
  <c r="Q143" i="4" s="1"/>
  <c r="CM142" i="4"/>
  <c r="BJ142" i="4"/>
  <c r="BI142" i="4"/>
  <c r="BH142" i="4"/>
  <c r="BF142" i="4"/>
  <c r="BG142" i="4" s="1"/>
  <c r="BC142" i="4"/>
  <c r="BB142" i="4"/>
  <c r="AY142" i="4"/>
  <c r="AX142" i="4"/>
  <c r="AZ142" i="4" s="1"/>
  <c r="AW142" i="4"/>
  <c r="AP142" i="4"/>
  <c r="AO142" i="4"/>
  <c r="AG142" i="4"/>
  <c r="X142" i="4"/>
  <c r="L142" i="4"/>
  <c r="Q142" i="4" s="1"/>
  <c r="CM141" i="4"/>
  <c r="BJ141" i="4"/>
  <c r="BI141" i="4"/>
  <c r="BH141" i="4"/>
  <c r="BF141" i="4"/>
  <c r="BG141" i="4" s="1"/>
  <c r="BC141" i="4"/>
  <c r="BB141" i="4"/>
  <c r="AY141" i="4"/>
  <c r="AX141" i="4"/>
  <c r="AW141" i="4"/>
  <c r="AP141" i="4"/>
  <c r="AO141" i="4"/>
  <c r="AG141" i="4"/>
  <c r="X141" i="4"/>
  <c r="L141" i="4"/>
  <c r="Q141" i="4" s="1"/>
  <c r="CM140" i="4"/>
  <c r="BJ140" i="4"/>
  <c r="BI140" i="4"/>
  <c r="BH140" i="4"/>
  <c r="BF140" i="4"/>
  <c r="BG140" i="4" s="1"/>
  <c r="BC140" i="4"/>
  <c r="BB140" i="4"/>
  <c r="AY140" i="4"/>
  <c r="AX140" i="4"/>
  <c r="AZ140" i="4" s="1"/>
  <c r="AW140" i="4"/>
  <c r="AP140" i="4"/>
  <c r="AO140" i="4"/>
  <c r="AG140" i="4"/>
  <c r="X140" i="4"/>
  <c r="L140" i="4"/>
  <c r="Q140" i="4" s="1"/>
  <c r="CM139" i="4"/>
  <c r="BJ139" i="4"/>
  <c r="BI139" i="4"/>
  <c r="BH139" i="4"/>
  <c r="BF139" i="4"/>
  <c r="BG139" i="4" s="1"/>
  <c r="BC139" i="4"/>
  <c r="BB139" i="4"/>
  <c r="AY139" i="4"/>
  <c r="AX139" i="4"/>
  <c r="AW139" i="4"/>
  <c r="AP139" i="4"/>
  <c r="AO139" i="4"/>
  <c r="AG139" i="4"/>
  <c r="X139" i="4"/>
  <c r="L139" i="4"/>
  <c r="Q139" i="4" s="1"/>
  <c r="CM138" i="4"/>
  <c r="BJ138" i="4"/>
  <c r="BI138" i="4"/>
  <c r="BH138" i="4"/>
  <c r="BF138" i="4"/>
  <c r="BG138" i="4" s="1"/>
  <c r="BC138" i="4"/>
  <c r="BB138" i="4"/>
  <c r="AY138" i="4"/>
  <c r="AX138" i="4"/>
  <c r="AZ138" i="4" s="1"/>
  <c r="AW138" i="4"/>
  <c r="AP138" i="4"/>
  <c r="AO138" i="4"/>
  <c r="AG138" i="4"/>
  <c r="X138" i="4"/>
  <c r="L138" i="4"/>
  <c r="Q138" i="4" s="1"/>
  <c r="CM137" i="4"/>
  <c r="BJ137" i="4"/>
  <c r="BI137" i="4"/>
  <c r="BH137" i="4"/>
  <c r="BF137" i="4"/>
  <c r="BC137" i="4"/>
  <c r="BB137" i="4"/>
  <c r="AY137" i="4"/>
  <c r="AX137" i="4"/>
  <c r="AZ137" i="4" s="1"/>
  <c r="AW137" i="4"/>
  <c r="AP137" i="4"/>
  <c r="AO137" i="4"/>
  <c r="AG137" i="4"/>
  <c r="X137" i="4"/>
  <c r="L137" i="4"/>
  <c r="Q137" i="4" s="1"/>
  <c r="CM136" i="4"/>
  <c r="BJ136" i="4"/>
  <c r="BI136" i="4"/>
  <c r="BH136" i="4"/>
  <c r="BF136" i="4"/>
  <c r="BG136" i="4" s="1"/>
  <c r="BC136" i="4"/>
  <c r="BB136" i="4"/>
  <c r="AY136" i="4"/>
  <c r="AX136" i="4"/>
  <c r="AW136" i="4"/>
  <c r="AP136" i="4"/>
  <c r="AO136" i="4"/>
  <c r="AG136" i="4"/>
  <c r="X136" i="4"/>
  <c r="L136" i="4"/>
  <c r="Q136" i="4" s="1"/>
  <c r="CM135" i="4"/>
  <c r="BJ135" i="4"/>
  <c r="BI135" i="4"/>
  <c r="BH135" i="4"/>
  <c r="BF135" i="4"/>
  <c r="BG135" i="4" s="1"/>
  <c r="BC135" i="4"/>
  <c r="BB135" i="4"/>
  <c r="AY135" i="4"/>
  <c r="AX135" i="4"/>
  <c r="AZ135" i="4" s="1"/>
  <c r="AW135" i="4"/>
  <c r="AP135" i="4"/>
  <c r="AO135" i="4"/>
  <c r="AG135" i="4"/>
  <c r="X135" i="4"/>
  <c r="Q135" i="4"/>
  <c r="L135" i="4"/>
  <c r="CM134" i="4"/>
  <c r="BJ134" i="4"/>
  <c r="BI134" i="4"/>
  <c r="BH134" i="4"/>
  <c r="BF134" i="4"/>
  <c r="BC134" i="4"/>
  <c r="BB134" i="4"/>
  <c r="AY134" i="4"/>
  <c r="AX134" i="4"/>
  <c r="AW134" i="4"/>
  <c r="AP134" i="4"/>
  <c r="AO134" i="4"/>
  <c r="AG134" i="4"/>
  <c r="X134" i="4"/>
  <c r="L134" i="4"/>
  <c r="Q134" i="4" s="1"/>
  <c r="CM133" i="4"/>
  <c r="BJ133" i="4"/>
  <c r="BI133" i="4"/>
  <c r="BH133" i="4"/>
  <c r="BF133" i="4"/>
  <c r="BC133" i="4"/>
  <c r="BB133" i="4"/>
  <c r="AY133" i="4"/>
  <c r="AX133" i="4"/>
  <c r="AW133" i="4"/>
  <c r="AP133" i="4"/>
  <c r="AO133" i="4"/>
  <c r="AG133" i="4"/>
  <c r="X133" i="4"/>
  <c r="L133" i="4"/>
  <c r="Q133" i="4" s="1"/>
  <c r="CM132" i="4"/>
  <c r="BJ132" i="4"/>
  <c r="BI132" i="4"/>
  <c r="BG132" i="4" s="1"/>
  <c r="BH132" i="4"/>
  <c r="BF132" i="4"/>
  <c r="BC132" i="4"/>
  <c r="BB132" i="4"/>
  <c r="AY132" i="4"/>
  <c r="AX132" i="4"/>
  <c r="AZ132" i="4" s="1"/>
  <c r="AW132" i="4"/>
  <c r="AP132" i="4"/>
  <c r="AO132" i="4"/>
  <c r="AG132" i="4"/>
  <c r="X132" i="4"/>
  <c r="L132" i="4"/>
  <c r="Q132" i="4" s="1"/>
  <c r="CM131" i="4"/>
  <c r="BJ131" i="4"/>
  <c r="BI131" i="4"/>
  <c r="BH131" i="4"/>
  <c r="BG131" i="4"/>
  <c r="BF131" i="4"/>
  <c r="BC131" i="4"/>
  <c r="BB131" i="4"/>
  <c r="AY131" i="4"/>
  <c r="AX131" i="4"/>
  <c r="AW131" i="4"/>
  <c r="AP131" i="4"/>
  <c r="AO131" i="4"/>
  <c r="AG131" i="4"/>
  <c r="X131" i="4"/>
  <c r="L131" i="4"/>
  <c r="Q131" i="4" s="1"/>
  <c r="CM130" i="4"/>
  <c r="BJ130" i="4"/>
  <c r="BI130" i="4"/>
  <c r="BH130" i="4"/>
  <c r="BG130" i="4"/>
  <c r="BF130" i="4"/>
  <c r="BC130" i="4"/>
  <c r="BB130" i="4"/>
  <c r="AY130" i="4"/>
  <c r="AX130" i="4"/>
  <c r="AW130" i="4"/>
  <c r="AP130" i="4"/>
  <c r="AO130" i="4"/>
  <c r="AG130" i="4"/>
  <c r="X130" i="4"/>
  <c r="L130" i="4"/>
  <c r="Q130" i="4" s="1"/>
  <c r="CM129" i="4"/>
  <c r="BJ129" i="4"/>
  <c r="BI129" i="4"/>
  <c r="BH129" i="4"/>
  <c r="BF129" i="4"/>
  <c r="BG129" i="4" s="1"/>
  <c r="BC129" i="4"/>
  <c r="BB129" i="4"/>
  <c r="AY129" i="4"/>
  <c r="AX129" i="4"/>
  <c r="AZ129" i="4" s="1"/>
  <c r="AW129" i="4"/>
  <c r="AP129" i="4"/>
  <c r="AO129" i="4"/>
  <c r="AG129" i="4"/>
  <c r="X129" i="4"/>
  <c r="AK129" i="4" s="1"/>
  <c r="L129" i="4"/>
  <c r="Q129" i="4" s="1"/>
  <c r="CM128" i="4"/>
  <c r="BJ128" i="4"/>
  <c r="BI128" i="4"/>
  <c r="BH128" i="4"/>
  <c r="BF128" i="4"/>
  <c r="BG128" i="4" s="1"/>
  <c r="BC128" i="4"/>
  <c r="BB128" i="4"/>
  <c r="AY128" i="4"/>
  <c r="AX128" i="4"/>
  <c r="AW128" i="4"/>
  <c r="AP128" i="4"/>
  <c r="AO128" i="4"/>
  <c r="AG128" i="4"/>
  <c r="X128" i="4"/>
  <c r="L128" i="4"/>
  <c r="Q128" i="4" s="1"/>
  <c r="CM127" i="4"/>
  <c r="BJ127" i="4"/>
  <c r="BI127" i="4"/>
  <c r="BG127" i="4" s="1"/>
  <c r="BH127" i="4"/>
  <c r="BF127" i="4"/>
  <c r="BC127" i="4"/>
  <c r="BB127" i="4"/>
  <c r="AY127" i="4"/>
  <c r="AX127" i="4"/>
  <c r="AZ127" i="4" s="1"/>
  <c r="AW127" i="4"/>
  <c r="AP127" i="4"/>
  <c r="AO127" i="4"/>
  <c r="AG127" i="4"/>
  <c r="X127" i="4"/>
  <c r="L127" i="4"/>
  <c r="Q127" i="4" s="1"/>
  <c r="CM126" i="4"/>
  <c r="BJ126" i="4"/>
  <c r="BI126" i="4"/>
  <c r="BH126" i="4"/>
  <c r="BF126" i="4"/>
  <c r="BG126" i="4" s="1"/>
  <c r="BC126" i="4"/>
  <c r="BB126" i="4"/>
  <c r="AY126" i="4"/>
  <c r="AX126" i="4"/>
  <c r="AZ126" i="4" s="1"/>
  <c r="AW126" i="4"/>
  <c r="AP126" i="4"/>
  <c r="AO126" i="4"/>
  <c r="AG126" i="4"/>
  <c r="X126" i="4"/>
  <c r="Q126" i="4"/>
  <c r="L126" i="4"/>
  <c r="CM125" i="4"/>
  <c r="BJ125" i="4"/>
  <c r="BI125" i="4"/>
  <c r="BH125" i="4"/>
  <c r="BF125" i="4"/>
  <c r="BG125" i="4" s="1"/>
  <c r="BC125" i="4"/>
  <c r="BB125" i="4"/>
  <c r="AY125" i="4"/>
  <c r="AX125" i="4"/>
  <c r="AW125" i="4"/>
  <c r="AP125" i="4"/>
  <c r="AO125" i="4"/>
  <c r="AG125" i="4"/>
  <c r="X125" i="4"/>
  <c r="L125" i="4"/>
  <c r="Q125" i="4" s="1"/>
  <c r="CM124" i="4"/>
  <c r="BJ124" i="4"/>
  <c r="BI124" i="4"/>
  <c r="BH124" i="4"/>
  <c r="BF124" i="4"/>
  <c r="BG124" i="4" s="1"/>
  <c r="BC124" i="4"/>
  <c r="BB124" i="4"/>
  <c r="AY124" i="4"/>
  <c r="AX124" i="4"/>
  <c r="AW124" i="4"/>
  <c r="AP124" i="4"/>
  <c r="AO124" i="4"/>
  <c r="AG124" i="4"/>
  <c r="X124" i="4"/>
  <c r="L124" i="4"/>
  <c r="Q124" i="4" s="1"/>
  <c r="CM123" i="4"/>
  <c r="BJ123" i="4"/>
  <c r="BI123" i="4"/>
  <c r="BH123" i="4"/>
  <c r="BF123" i="4"/>
  <c r="BG123" i="4" s="1"/>
  <c r="BC123" i="4"/>
  <c r="BB123" i="4"/>
  <c r="AY123" i="4"/>
  <c r="AX123" i="4"/>
  <c r="AZ123" i="4" s="1"/>
  <c r="AW123" i="4"/>
  <c r="AP123" i="4"/>
  <c r="AO123" i="4"/>
  <c r="AG123" i="4"/>
  <c r="X123" i="4"/>
  <c r="L123" i="4"/>
  <c r="Q123" i="4" s="1"/>
  <c r="CM122" i="4"/>
  <c r="BJ122" i="4"/>
  <c r="BI122" i="4"/>
  <c r="BH122" i="4"/>
  <c r="BF122" i="4"/>
  <c r="BG122" i="4" s="1"/>
  <c r="BC122" i="4"/>
  <c r="BB122" i="4"/>
  <c r="AY122" i="4"/>
  <c r="AX122" i="4"/>
  <c r="AZ122" i="4" s="1"/>
  <c r="AW122" i="4"/>
  <c r="AP122" i="4"/>
  <c r="AO122" i="4"/>
  <c r="AG122" i="4"/>
  <c r="X122" i="4"/>
  <c r="L122" i="4"/>
  <c r="Q122" i="4" s="1"/>
  <c r="CM121" i="4"/>
  <c r="BJ121" i="4"/>
  <c r="BI121" i="4"/>
  <c r="BH121" i="4"/>
  <c r="BG121" i="4"/>
  <c r="BF121" i="4"/>
  <c r="BC121" i="4"/>
  <c r="BB121" i="4"/>
  <c r="AY121" i="4"/>
  <c r="AX121" i="4"/>
  <c r="AW121" i="4"/>
  <c r="AP121" i="4"/>
  <c r="AO121" i="4"/>
  <c r="AG121" i="4"/>
  <c r="X121" i="4"/>
  <c r="L121" i="4"/>
  <c r="Q121" i="4" s="1"/>
  <c r="CM120" i="4"/>
  <c r="BJ120" i="4"/>
  <c r="BI120" i="4"/>
  <c r="BG120" i="4" s="1"/>
  <c r="BH120" i="4"/>
  <c r="BF120" i="4"/>
  <c r="BC120" i="4"/>
  <c r="BB120" i="4"/>
  <c r="AY120" i="4"/>
  <c r="AX120" i="4"/>
  <c r="AW120" i="4"/>
  <c r="AP120" i="4"/>
  <c r="AO120" i="4"/>
  <c r="AG120" i="4"/>
  <c r="X120" i="4"/>
  <c r="L120" i="4"/>
  <c r="Q120" i="4" s="1"/>
  <c r="CM119" i="4"/>
  <c r="BJ119" i="4"/>
  <c r="BI119" i="4"/>
  <c r="BH119" i="4"/>
  <c r="BF119" i="4"/>
  <c r="BC119" i="4"/>
  <c r="BB119" i="4"/>
  <c r="AY119" i="4"/>
  <c r="AX119" i="4"/>
  <c r="AZ119" i="4" s="1"/>
  <c r="AW119" i="4"/>
  <c r="AP119" i="4"/>
  <c r="AO119" i="4"/>
  <c r="AG119" i="4"/>
  <c r="X119" i="4"/>
  <c r="L119" i="4"/>
  <c r="Q119" i="4" s="1"/>
  <c r="CM118" i="4"/>
  <c r="BJ118" i="4"/>
  <c r="BI118" i="4"/>
  <c r="BH118" i="4"/>
  <c r="BG118" i="4"/>
  <c r="BF118" i="4"/>
  <c r="BC118" i="4"/>
  <c r="BB118" i="4"/>
  <c r="AY118" i="4"/>
  <c r="AX118" i="4"/>
  <c r="AZ118" i="4" s="1"/>
  <c r="AW118" i="4"/>
  <c r="AP118" i="4"/>
  <c r="AO118" i="4"/>
  <c r="AG118" i="4"/>
  <c r="X118" i="4"/>
  <c r="L118" i="4"/>
  <c r="Q118" i="4" s="1"/>
  <c r="CM117" i="4"/>
  <c r="BJ117" i="4"/>
  <c r="BI117" i="4"/>
  <c r="BH117" i="4"/>
  <c r="BF117" i="4"/>
  <c r="BG117" i="4" s="1"/>
  <c r="BC117" i="4"/>
  <c r="BB117" i="4"/>
  <c r="AY117" i="4"/>
  <c r="AX117" i="4"/>
  <c r="AZ117" i="4" s="1"/>
  <c r="AW117" i="4"/>
  <c r="AP117" i="4"/>
  <c r="AO117" i="4"/>
  <c r="AG117" i="4"/>
  <c r="X117" i="4"/>
  <c r="L117" i="4"/>
  <c r="Q117" i="4" s="1"/>
  <c r="CM116" i="4"/>
  <c r="BJ116" i="4"/>
  <c r="BI116" i="4"/>
  <c r="BH116" i="4"/>
  <c r="BF116" i="4"/>
  <c r="BC116" i="4"/>
  <c r="BB116" i="4"/>
  <c r="AY116" i="4"/>
  <c r="AX116" i="4"/>
  <c r="AZ116" i="4" s="1"/>
  <c r="AW116" i="4"/>
  <c r="AP116" i="4"/>
  <c r="AO116" i="4"/>
  <c r="AG116" i="4"/>
  <c r="X116" i="4"/>
  <c r="L116" i="4"/>
  <c r="Q116" i="4" s="1"/>
  <c r="CM115" i="4"/>
  <c r="BJ115" i="4"/>
  <c r="BI115" i="4"/>
  <c r="BH115" i="4"/>
  <c r="BF115" i="4"/>
  <c r="BG115" i="4" s="1"/>
  <c r="BC115" i="4"/>
  <c r="BB115" i="4"/>
  <c r="AY115" i="4"/>
  <c r="AX115" i="4"/>
  <c r="AZ115" i="4" s="1"/>
  <c r="AW115" i="4"/>
  <c r="AP115" i="4"/>
  <c r="AO115" i="4"/>
  <c r="AG115" i="4"/>
  <c r="X115" i="4"/>
  <c r="L115" i="4"/>
  <c r="Q115" i="4" s="1"/>
  <c r="CM114" i="4"/>
  <c r="BJ114" i="4"/>
  <c r="BI114" i="4"/>
  <c r="BH114" i="4"/>
  <c r="BG114" i="4"/>
  <c r="BF114" i="4"/>
  <c r="BC114" i="4"/>
  <c r="BB114" i="4"/>
  <c r="AY114" i="4"/>
  <c r="AX114" i="4"/>
  <c r="AW114" i="4"/>
  <c r="AP114" i="4"/>
  <c r="AO114" i="4"/>
  <c r="AG114" i="4"/>
  <c r="X114" i="4"/>
  <c r="L114" i="4"/>
  <c r="Q114" i="4" s="1"/>
  <c r="CM113" i="4"/>
  <c r="BJ113" i="4"/>
  <c r="BI113" i="4"/>
  <c r="BH113" i="4"/>
  <c r="BF113" i="4"/>
  <c r="BG113" i="4" s="1"/>
  <c r="BC113" i="4"/>
  <c r="BB113" i="4"/>
  <c r="AY113" i="4"/>
  <c r="AX113" i="4"/>
  <c r="AW113" i="4"/>
  <c r="AP113" i="4"/>
  <c r="AO113" i="4"/>
  <c r="AG113" i="4"/>
  <c r="X113" i="4"/>
  <c r="L113" i="4"/>
  <c r="Q113" i="4" s="1"/>
  <c r="CM112" i="4"/>
  <c r="BJ112" i="4"/>
  <c r="BI112" i="4"/>
  <c r="BH112" i="4"/>
  <c r="BF112" i="4"/>
  <c r="BG112" i="4" s="1"/>
  <c r="BC112" i="4"/>
  <c r="BB112" i="4"/>
  <c r="AY112" i="4"/>
  <c r="AX112" i="4"/>
  <c r="AZ112" i="4" s="1"/>
  <c r="BA112" i="4" s="1"/>
  <c r="AW112" i="4"/>
  <c r="AP112" i="4"/>
  <c r="AO112" i="4"/>
  <c r="AG112" i="4"/>
  <c r="X112" i="4"/>
  <c r="L112" i="4"/>
  <c r="Q112" i="4" s="1"/>
  <c r="CM111" i="4"/>
  <c r="BJ111" i="4"/>
  <c r="BI111" i="4"/>
  <c r="BH111" i="4"/>
  <c r="BF111" i="4"/>
  <c r="BG111" i="4" s="1"/>
  <c r="BC111" i="4"/>
  <c r="BB111" i="4"/>
  <c r="AY111" i="4"/>
  <c r="AX111" i="4"/>
  <c r="AZ111" i="4" s="1"/>
  <c r="BA111" i="4" s="1"/>
  <c r="AW111" i="4"/>
  <c r="AP111" i="4"/>
  <c r="AO111" i="4"/>
  <c r="AG111" i="4"/>
  <c r="X111" i="4"/>
  <c r="Q111" i="4"/>
  <c r="L111" i="4"/>
  <c r="CM110" i="4"/>
  <c r="BJ110" i="4"/>
  <c r="BI110" i="4"/>
  <c r="BH110" i="4"/>
  <c r="BF110" i="4"/>
  <c r="BG110" i="4" s="1"/>
  <c r="BC110" i="4"/>
  <c r="BB110" i="4"/>
  <c r="AY110" i="4"/>
  <c r="AX110" i="4"/>
  <c r="AW110" i="4"/>
  <c r="AP110" i="4"/>
  <c r="AO110" i="4"/>
  <c r="AG110" i="4"/>
  <c r="X110" i="4"/>
  <c r="L110" i="4"/>
  <c r="Q110" i="4" s="1"/>
  <c r="CM109" i="4"/>
  <c r="BJ109" i="4"/>
  <c r="BI109" i="4"/>
  <c r="BG109" i="4" s="1"/>
  <c r="BH109" i="4"/>
  <c r="BF109" i="4"/>
  <c r="BC109" i="4"/>
  <c r="BB109" i="4"/>
  <c r="AY109" i="4"/>
  <c r="AX109" i="4"/>
  <c r="AZ109" i="4" s="1"/>
  <c r="AW109" i="4"/>
  <c r="AP109" i="4"/>
  <c r="AO109" i="4"/>
  <c r="AG109" i="4"/>
  <c r="X109" i="4"/>
  <c r="L109" i="4"/>
  <c r="Q109" i="4" s="1"/>
  <c r="CM108" i="4"/>
  <c r="BJ108" i="4"/>
  <c r="BI108" i="4"/>
  <c r="BH108" i="4"/>
  <c r="BF108" i="4"/>
  <c r="BC108" i="4"/>
  <c r="BB108" i="4"/>
  <c r="AY108" i="4"/>
  <c r="AX108" i="4"/>
  <c r="AZ108" i="4" s="1"/>
  <c r="AW108" i="4"/>
  <c r="AP108" i="4"/>
  <c r="AO108" i="4"/>
  <c r="AG108" i="4"/>
  <c r="X108" i="4"/>
  <c r="L108" i="4"/>
  <c r="Q108" i="4" s="1"/>
  <c r="CM107" i="4"/>
  <c r="BJ107" i="4"/>
  <c r="BI107" i="4"/>
  <c r="BH107" i="4"/>
  <c r="BF107" i="4"/>
  <c r="BG107" i="4" s="1"/>
  <c r="BC107" i="4"/>
  <c r="BB107" i="4"/>
  <c r="AY107" i="4"/>
  <c r="AX107" i="4"/>
  <c r="AZ107" i="4" s="1"/>
  <c r="AW107" i="4"/>
  <c r="AP107" i="4"/>
  <c r="AO107" i="4"/>
  <c r="AG107" i="4"/>
  <c r="X107" i="4"/>
  <c r="L107" i="4"/>
  <c r="Q107" i="4" s="1"/>
  <c r="CM106" i="4"/>
  <c r="BJ106" i="4"/>
  <c r="BI106" i="4"/>
  <c r="BH106" i="4"/>
  <c r="BF106" i="4"/>
  <c r="BG106" i="4" s="1"/>
  <c r="BC106" i="4"/>
  <c r="BB106" i="4"/>
  <c r="AY106" i="4"/>
  <c r="AX106" i="4"/>
  <c r="AZ106" i="4" s="1"/>
  <c r="AW106" i="4"/>
  <c r="AP106" i="4"/>
  <c r="AO106" i="4"/>
  <c r="AG106" i="4"/>
  <c r="X106" i="4"/>
  <c r="L106" i="4"/>
  <c r="Q106" i="4" s="1"/>
  <c r="CM105" i="4"/>
  <c r="BJ105" i="4"/>
  <c r="BI105" i="4"/>
  <c r="BH105" i="4"/>
  <c r="BF105" i="4"/>
  <c r="BC105" i="4"/>
  <c r="BB105" i="4"/>
  <c r="AY105" i="4"/>
  <c r="AX105" i="4"/>
  <c r="AZ105" i="4" s="1"/>
  <c r="AW105" i="4"/>
  <c r="AP105" i="4"/>
  <c r="AO105" i="4"/>
  <c r="AG105" i="4"/>
  <c r="X105" i="4"/>
  <c r="L105" i="4"/>
  <c r="Q105" i="4" s="1"/>
  <c r="CM104" i="4"/>
  <c r="BJ104" i="4"/>
  <c r="BI104" i="4"/>
  <c r="BH104" i="4"/>
  <c r="BF104" i="4"/>
  <c r="BC104" i="4"/>
  <c r="BB104" i="4"/>
  <c r="AY104" i="4"/>
  <c r="AX104" i="4"/>
  <c r="AZ104" i="4" s="1"/>
  <c r="AW104" i="4"/>
  <c r="AP104" i="4"/>
  <c r="AO104" i="4"/>
  <c r="AG104" i="4"/>
  <c r="X104" i="4"/>
  <c r="L104" i="4"/>
  <c r="Q104" i="4" s="1"/>
  <c r="CM103" i="4"/>
  <c r="BJ103" i="4"/>
  <c r="BI103" i="4"/>
  <c r="BH103" i="4"/>
  <c r="BF103" i="4"/>
  <c r="BG103" i="4" s="1"/>
  <c r="BC103" i="4"/>
  <c r="BB103" i="4"/>
  <c r="AY103" i="4"/>
  <c r="AX103" i="4"/>
  <c r="AZ103" i="4" s="1"/>
  <c r="AW103" i="4"/>
  <c r="AP103" i="4"/>
  <c r="AO103" i="4"/>
  <c r="AG103" i="4"/>
  <c r="X103" i="4"/>
  <c r="L103" i="4"/>
  <c r="Q103" i="4" s="1"/>
  <c r="CM102" i="4"/>
  <c r="BJ102" i="4"/>
  <c r="BI102" i="4"/>
  <c r="BH102" i="4"/>
  <c r="BF102" i="4"/>
  <c r="BG102" i="4" s="1"/>
  <c r="BC102" i="4"/>
  <c r="BB102" i="4"/>
  <c r="AY102" i="4"/>
  <c r="AX102" i="4"/>
  <c r="AW102" i="4"/>
  <c r="AP102" i="4"/>
  <c r="AO102" i="4"/>
  <c r="AG102" i="4"/>
  <c r="X102" i="4"/>
  <c r="L102" i="4"/>
  <c r="Q102" i="4" s="1"/>
  <c r="CM101" i="4"/>
  <c r="BJ101" i="4"/>
  <c r="BI101" i="4"/>
  <c r="BH101" i="4"/>
  <c r="BF101" i="4"/>
  <c r="BG101" i="4" s="1"/>
  <c r="BC101" i="4"/>
  <c r="BB101" i="4"/>
  <c r="AY101" i="4"/>
  <c r="AX101" i="4"/>
  <c r="AW101" i="4"/>
  <c r="AP101" i="4"/>
  <c r="AO101" i="4"/>
  <c r="AG101" i="4"/>
  <c r="X101" i="4"/>
  <c r="L101" i="4"/>
  <c r="Q101" i="4" s="1"/>
  <c r="CM100" i="4"/>
  <c r="BJ100" i="4"/>
  <c r="BI100" i="4"/>
  <c r="BH100" i="4"/>
  <c r="BF100" i="4"/>
  <c r="BG100" i="4" s="1"/>
  <c r="BC100" i="4"/>
  <c r="BB100" i="4"/>
  <c r="AY100" i="4"/>
  <c r="AX100" i="4"/>
  <c r="AZ100" i="4" s="1"/>
  <c r="AW100" i="4"/>
  <c r="AP100" i="4"/>
  <c r="AO100" i="4"/>
  <c r="AG100" i="4"/>
  <c r="X100" i="4"/>
  <c r="L100" i="4"/>
  <c r="Q100" i="4" s="1"/>
  <c r="CM99" i="4"/>
  <c r="BJ99" i="4"/>
  <c r="BI99" i="4"/>
  <c r="BH99" i="4"/>
  <c r="BF99" i="4"/>
  <c r="BC99" i="4"/>
  <c r="BB99" i="4"/>
  <c r="AY99" i="4"/>
  <c r="AX99" i="4"/>
  <c r="AW99" i="4"/>
  <c r="AP99" i="4"/>
  <c r="AO99" i="4"/>
  <c r="AG99" i="4"/>
  <c r="X99" i="4"/>
  <c r="L99" i="4"/>
  <c r="Q99" i="4" s="1"/>
  <c r="CM98" i="4"/>
  <c r="BJ98" i="4"/>
  <c r="BI98" i="4"/>
  <c r="BH98" i="4"/>
  <c r="BF98" i="4"/>
  <c r="BG98" i="4" s="1"/>
  <c r="BC98" i="4"/>
  <c r="BB98" i="4"/>
  <c r="AY98" i="4"/>
  <c r="AX98" i="4"/>
  <c r="AW98" i="4"/>
  <c r="AP98" i="4"/>
  <c r="AO98" i="4"/>
  <c r="AG98" i="4"/>
  <c r="X98" i="4"/>
  <c r="Q98" i="4"/>
  <c r="L98" i="4"/>
  <c r="CM97" i="4"/>
  <c r="BJ97" i="4"/>
  <c r="BI97" i="4"/>
  <c r="BH97" i="4"/>
  <c r="BF97" i="4"/>
  <c r="BG97" i="4" s="1"/>
  <c r="BC97" i="4"/>
  <c r="BB97" i="4"/>
  <c r="AY97" i="4"/>
  <c r="AX97" i="4"/>
  <c r="AW97" i="4"/>
  <c r="AP97" i="4"/>
  <c r="AO97" i="4"/>
  <c r="AG97" i="4"/>
  <c r="X97" i="4"/>
  <c r="L97" i="4"/>
  <c r="Q97" i="4" s="1"/>
  <c r="CM96" i="4"/>
  <c r="BJ96" i="4"/>
  <c r="BI96" i="4"/>
  <c r="BH96" i="4"/>
  <c r="BF96" i="4"/>
  <c r="BC96" i="4"/>
  <c r="BB96" i="4"/>
  <c r="AY96" i="4"/>
  <c r="AX96" i="4"/>
  <c r="AW96" i="4"/>
  <c r="AP96" i="4"/>
  <c r="AO96" i="4"/>
  <c r="AG96" i="4"/>
  <c r="X96" i="4"/>
  <c r="L96" i="4"/>
  <c r="Q96" i="4" s="1"/>
  <c r="CM95" i="4"/>
  <c r="BJ95" i="4"/>
  <c r="BI95" i="4"/>
  <c r="BG95" i="4" s="1"/>
  <c r="BH95" i="4"/>
  <c r="BF95" i="4"/>
  <c r="BC95" i="4"/>
  <c r="BB95" i="4"/>
  <c r="AY95" i="4"/>
  <c r="AX95" i="4"/>
  <c r="AZ95" i="4" s="1"/>
  <c r="AW95" i="4"/>
  <c r="AP95" i="4"/>
  <c r="AO95" i="4"/>
  <c r="AG95" i="4"/>
  <c r="X95" i="4"/>
  <c r="L95" i="4"/>
  <c r="Q95" i="4" s="1"/>
  <c r="CM94" i="4"/>
  <c r="BJ94" i="4"/>
  <c r="BI94" i="4"/>
  <c r="BH94" i="4"/>
  <c r="BF94" i="4"/>
  <c r="BG94" i="4" s="1"/>
  <c r="BC94" i="4"/>
  <c r="BB94" i="4"/>
  <c r="AY94" i="4"/>
  <c r="AX94" i="4"/>
  <c r="AZ94" i="4" s="1"/>
  <c r="AW94" i="4"/>
  <c r="AP94" i="4"/>
  <c r="AO94" i="4"/>
  <c r="AG94" i="4"/>
  <c r="X94" i="4"/>
  <c r="L94" i="4"/>
  <c r="Q94" i="4" s="1"/>
  <c r="CM93" i="4"/>
  <c r="BJ93" i="4"/>
  <c r="BI93" i="4"/>
  <c r="BH93" i="4"/>
  <c r="BG93" i="4"/>
  <c r="BF93" i="4"/>
  <c r="BC93" i="4"/>
  <c r="BB93" i="4"/>
  <c r="AY93" i="4"/>
  <c r="AX93" i="4"/>
  <c r="AW93" i="4"/>
  <c r="AP93" i="4"/>
  <c r="AO93" i="4"/>
  <c r="AG93" i="4"/>
  <c r="X93" i="4"/>
  <c r="L93" i="4"/>
  <c r="Q93" i="4" s="1"/>
  <c r="CM92" i="4"/>
  <c r="BJ92" i="4"/>
  <c r="BI92" i="4"/>
  <c r="BH92" i="4"/>
  <c r="BF92" i="4"/>
  <c r="BG92" i="4" s="1"/>
  <c r="BC92" i="4"/>
  <c r="BB92" i="4"/>
  <c r="AY92" i="4"/>
  <c r="AX92" i="4"/>
  <c r="AW92" i="4"/>
  <c r="AP92" i="4"/>
  <c r="AO92" i="4"/>
  <c r="AG92" i="4"/>
  <c r="X92" i="4"/>
  <c r="L92" i="4"/>
  <c r="Q92" i="4" s="1"/>
  <c r="CM91" i="4"/>
  <c r="BJ91" i="4"/>
  <c r="BI91" i="4"/>
  <c r="BH91" i="4"/>
  <c r="BF91" i="4"/>
  <c r="BC91" i="4"/>
  <c r="BB91" i="4"/>
  <c r="AY91" i="4"/>
  <c r="AX91" i="4"/>
  <c r="AZ91" i="4" s="1"/>
  <c r="AW91" i="4"/>
  <c r="AP91" i="4"/>
  <c r="AO91" i="4"/>
  <c r="AG91" i="4"/>
  <c r="X91" i="4"/>
  <c r="Q91" i="4"/>
  <c r="L91" i="4"/>
  <c r="CM90" i="4"/>
  <c r="BJ90" i="4"/>
  <c r="BI90" i="4"/>
  <c r="BH90" i="4"/>
  <c r="BF90" i="4"/>
  <c r="BC90" i="4"/>
  <c r="BB90" i="4"/>
  <c r="AY90" i="4"/>
  <c r="AX90" i="4"/>
  <c r="AW90" i="4"/>
  <c r="AP90" i="4"/>
  <c r="AO90" i="4"/>
  <c r="AG90" i="4"/>
  <c r="X90" i="4"/>
  <c r="L90" i="4"/>
  <c r="Q90" i="4" s="1"/>
  <c r="CM89" i="4"/>
  <c r="BJ89" i="4"/>
  <c r="BI89" i="4"/>
  <c r="BH89" i="4"/>
  <c r="BF89" i="4"/>
  <c r="BG89" i="4" s="1"/>
  <c r="BC89" i="4"/>
  <c r="BB89" i="4"/>
  <c r="AY89" i="4"/>
  <c r="AX89" i="4"/>
  <c r="AZ89" i="4" s="1"/>
  <c r="AW89" i="4"/>
  <c r="AP89" i="4"/>
  <c r="AO89" i="4"/>
  <c r="AG89" i="4"/>
  <c r="X89" i="4"/>
  <c r="L89" i="4"/>
  <c r="Q89" i="4" s="1"/>
  <c r="CM88" i="4"/>
  <c r="BJ88" i="4"/>
  <c r="BI88" i="4"/>
  <c r="BH88" i="4"/>
  <c r="BF88" i="4"/>
  <c r="BC88" i="4"/>
  <c r="BB88" i="4"/>
  <c r="AY88" i="4"/>
  <c r="AX88" i="4"/>
  <c r="AW88" i="4"/>
  <c r="AP88" i="4"/>
  <c r="AO88" i="4"/>
  <c r="AG88" i="4"/>
  <c r="X88" i="4"/>
  <c r="L88" i="4"/>
  <c r="Q88" i="4" s="1"/>
  <c r="CM87" i="4"/>
  <c r="BJ87" i="4"/>
  <c r="BI87" i="4"/>
  <c r="BH87" i="4"/>
  <c r="BF87" i="4"/>
  <c r="BC87" i="4"/>
  <c r="BB87" i="4"/>
  <c r="AY87" i="4"/>
  <c r="AX87" i="4"/>
  <c r="AZ87" i="4" s="1"/>
  <c r="BA87" i="4" s="1"/>
  <c r="BD87" i="4" s="1"/>
  <c r="AW87" i="4"/>
  <c r="AP87" i="4"/>
  <c r="AO87" i="4"/>
  <c r="AG87" i="4"/>
  <c r="X87" i="4"/>
  <c r="L87" i="4"/>
  <c r="Q87" i="4" s="1"/>
  <c r="CM86" i="4"/>
  <c r="BJ86" i="4"/>
  <c r="BI86" i="4"/>
  <c r="BG86" i="4" s="1"/>
  <c r="BH86" i="4"/>
  <c r="BF86" i="4"/>
  <c r="BC86" i="4"/>
  <c r="BB86" i="4"/>
  <c r="AY86" i="4"/>
  <c r="AX86" i="4"/>
  <c r="AW86" i="4"/>
  <c r="AP86" i="4"/>
  <c r="AO86" i="4"/>
  <c r="AG86" i="4"/>
  <c r="X86" i="4"/>
  <c r="L86" i="4"/>
  <c r="Q86" i="4" s="1"/>
  <c r="CM85" i="4"/>
  <c r="BJ85" i="4"/>
  <c r="BI85" i="4"/>
  <c r="BH85" i="4"/>
  <c r="BF85" i="4"/>
  <c r="BC85" i="4"/>
  <c r="BB85" i="4"/>
  <c r="AY85" i="4"/>
  <c r="AX85" i="4"/>
  <c r="AZ85" i="4" s="1"/>
  <c r="AW85" i="4"/>
  <c r="AP85" i="4"/>
  <c r="AO85" i="4"/>
  <c r="AG85" i="4"/>
  <c r="X85" i="4"/>
  <c r="L85" i="4"/>
  <c r="Q85" i="4" s="1"/>
  <c r="CM84" i="4"/>
  <c r="BJ84" i="4"/>
  <c r="BI84" i="4"/>
  <c r="BH84" i="4"/>
  <c r="BF84" i="4"/>
  <c r="BG84" i="4" s="1"/>
  <c r="BC84" i="4"/>
  <c r="BB84" i="4"/>
  <c r="AY84" i="4"/>
  <c r="AX84" i="4"/>
  <c r="AZ84" i="4" s="1"/>
  <c r="AW84" i="4"/>
  <c r="AP84" i="4"/>
  <c r="AO84" i="4"/>
  <c r="AG84" i="4"/>
  <c r="X84" i="4"/>
  <c r="L84" i="4"/>
  <c r="Q84" i="4" s="1"/>
  <c r="CM83" i="4"/>
  <c r="BJ83" i="4"/>
  <c r="BI83" i="4"/>
  <c r="BH83" i="4"/>
  <c r="BF83" i="4"/>
  <c r="BG83" i="4" s="1"/>
  <c r="BC83" i="4"/>
  <c r="BB83" i="4"/>
  <c r="AY83" i="4"/>
  <c r="AX83" i="4"/>
  <c r="AZ83" i="4" s="1"/>
  <c r="AW83" i="4"/>
  <c r="AP83" i="4"/>
  <c r="AO83" i="4"/>
  <c r="AG83" i="4"/>
  <c r="X83" i="4"/>
  <c r="L83" i="4"/>
  <c r="Q83" i="4" s="1"/>
  <c r="CM82" i="4"/>
  <c r="BJ82" i="4"/>
  <c r="BI82" i="4"/>
  <c r="BH82" i="4"/>
  <c r="BF82" i="4"/>
  <c r="BG82" i="4" s="1"/>
  <c r="BC82" i="4"/>
  <c r="BB82" i="4"/>
  <c r="AY82" i="4"/>
  <c r="AX82" i="4"/>
  <c r="AZ82" i="4" s="1"/>
  <c r="AW82" i="4"/>
  <c r="AP82" i="4"/>
  <c r="AO82" i="4"/>
  <c r="AG82" i="4"/>
  <c r="X82" i="4"/>
  <c r="L82" i="4"/>
  <c r="Q82" i="4" s="1"/>
  <c r="CM81" i="4"/>
  <c r="BJ81" i="4"/>
  <c r="BI81" i="4"/>
  <c r="BH81" i="4"/>
  <c r="BF81" i="4"/>
  <c r="BC81" i="4"/>
  <c r="BB81" i="4"/>
  <c r="AY81" i="4"/>
  <c r="AX81" i="4"/>
  <c r="AZ81" i="4" s="1"/>
  <c r="AW81" i="4"/>
  <c r="AP81" i="4"/>
  <c r="AO81" i="4"/>
  <c r="AG81" i="4"/>
  <c r="X81" i="4"/>
  <c r="Q81" i="4"/>
  <c r="L81" i="4"/>
  <c r="CM80" i="4"/>
  <c r="BJ80" i="4"/>
  <c r="BI80" i="4"/>
  <c r="BH80" i="4"/>
  <c r="BF80" i="4"/>
  <c r="BG80" i="4" s="1"/>
  <c r="BC80" i="4"/>
  <c r="BB80" i="4"/>
  <c r="AY80" i="4"/>
  <c r="AX80" i="4"/>
  <c r="AZ80" i="4" s="1"/>
  <c r="AW80" i="4"/>
  <c r="AP80" i="4"/>
  <c r="AO80" i="4"/>
  <c r="AG80" i="4"/>
  <c r="X80" i="4"/>
  <c r="L80" i="4"/>
  <c r="Q80" i="4" s="1"/>
  <c r="CM79" i="4"/>
  <c r="BJ79" i="4"/>
  <c r="BI79" i="4"/>
  <c r="BH79" i="4"/>
  <c r="BF79" i="4"/>
  <c r="BC79" i="4"/>
  <c r="BB79" i="4"/>
  <c r="AY79" i="4"/>
  <c r="AX79" i="4"/>
  <c r="AW79" i="4"/>
  <c r="AP79" i="4"/>
  <c r="AO79" i="4"/>
  <c r="AG79" i="4"/>
  <c r="X79" i="4"/>
  <c r="L79" i="4"/>
  <c r="Q79" i="4" s="1"/>
  <c r="CM78" i="4"/>
  <c r="BJ78" i="4"/>
  <c r="BI78" i="4"/>
  <c r="BH78" i="4"/>
  <c r="BF78" i="4"/>
  <c r="BG78" i="4" s="1"/>
  <c r="BC78" i="4"/>
  <c r="BB78" i="4"/>
  <c r="AY78" i="4"/>
  <c r="AX78" i="4"/>
  <c r="AZ78" i="4" s="1"/>
  <c r="AW78" i="4"/>
  <c r="AP78" i="4"/>
  <c r="AO78" i="4"/>
  <c r="AG78" i="4"/>
  <c r="X78" i="4"/>
  <c r="L78" i="4"/>
  <c r="Q78" i="4" s="1"/>
  <c r="CM77" i="4"/>
  <c r="BJ77" i="4"/>
  <c r="BI77" i="4"/>
  <c r="BH77" i="4"/>
  <c r="BF77" i="4"/>
  <c r="BG77" i="4" s="1"/>
  <c r="BC77" i="4"/>
  <c r="BB77" i="4"/>
  <c r="AY77" i="4"/>
  <c r="AX77" i="4"/>
  <c r="AZ77" i="4" s="1"/>
  <c r="AW77" i="4"/>
  <c r="AP77" i="4"/>
  <c r="AO77" i="4"/>
  <c r="AG77" i="4"/>
  <c r="X77" i="4"/>
  <c r="L77" i="4"/>
  <c r="Q77" i="4" s="1"/>
  <c r="CM76" i="4"/>
  <c r="BJ76" i="4"/>
  <c r="BI76" i="4"/>
  <c r="BG76" i="4" s="1"/>
  <c r="BH76" i="4"/>
  <c r="BF76" i="4"/>
  <c r="BC76" i="4"/>
  <c r="BB76" i="4"/>
  <c r="AY76" i="4"/>
  <c r="AX76" i="4"/>
  <c r="AZ76" i="4" s="1"/>
  <c r="AW76" i="4"/>
  <c r="AP76" i="4"/>
  <c r="AO76" i="4"/>
  <c r="AG76" i="4"/>
  <c r="X76" i="4"/>
  <c r="Q76" i="4"/>
  <c r="L76" i="4"/>
  <c r="CM75" i="4"/>
  <c r="BJ75" i="4"/>
  <c r="BI75" i="4"/>
  <c r="BH75" i="4"/>
  <c r="BF75" i="4"/>
  <c r="BC75" i="4"/>
  <c r="BB75" i="4"/>
  <c r="AY75" i="4"/>
  <c r="AX75" i="4"/>
  <c r="AW75" i="4"/>
  <c r="AP75" i="4"/>
  <c r="AO75" i="4"/>
  <c r="AG75" i="4"/>
  <c r="X75" i="4"/>
  <c r="Q75" i="4"/>
  <c r="L75" i="4"/>
  <c r="CM74" i="4"/>
  <c r="BJ74" i="4"/>
  <c r="BI74" i="4"/>
  <c r="BH74" i="4"/>
  <c r="BG74" i="4"/>
  <c r="BF74" i="4"/>
  <c r="BC74" i="4"/>
  <c r="BB74" i="4"/>
  <c r="AY74" i="4"/>
  <c r="AX74" i="4"/>
  <c r="AZ74" i="4" s="1"/>
  <c r="AW74" i="4"/>
  <c r="AP74" i="4"/>
  <c r="AO74" i="4"/>
  <c r="AG74" i="4"/>
  <c r="X74" i="4"/>
  <c r="L74" i="4"/>
  <c r="Q74" i="4" s="1"/>
  <c r="CM73" i="4"/>
  <c r="BJ73" i="4"/>
  <c r="BI73" i="4"/>
  <c r="BH73" i="4"/>
  <c r="BF73" i="4"/>
  <c r="BC73" i="4"/>
  <c r="BB73" i="4"/>
  <c r="AY73" i="4"/>
  <c r="AX73" i="4"/>
  <c r="AZ73" i="4" s="1"/>
  <c r="AW73" i="4"/>
  <c r="AP73" i="4"/>
  <c r="AO73" i="4"/>
  <c r="AG73" i="4"/>
  <c r="X73" i="4"/>
  <c r="L73" i="4"/>
  <c r="Q73" i="4" s="1"/>
  <c r="CM72" i="4"/>
  <c r="BJ72" i="4"/>
  <c r="BI72" i="4"/>
  <c r="BH72" i="4"/>
  <c r="BF72" i="4"/>
  <c r="BG72" i="4" s="1"/>
  <c r="BC72" i="4"/>
  <c r="BB72" i="4"/>
  <c r="AY72" i="4"/>
  <c r="AX72" i="4"/>
  <c r="AZ72" i="4" s="1"/>
  <c r="AW72" i="4"/>
  <c r="AP72" i="4"/>
  <c r="AO72" i="4"/>
  <c r="AG72" i="4"/>
  <c r="X72" i="4"/>
  <c r="L72" i="4"/>
  <c r="Q72" i="4" s="1"/>
  <c r="CM71" i="4"/>
  <c r="BJ71" i="4"/>
  <c r="BI71" i="4"/>
  <c r="BH71" i="4"/>
  <c r="BF71" i="4"/>
  <c r="BG71" i="4" s="1"/>
  <c r="BC71" i="4"/>
  <c r="BB71" i="4"/>
  <c r="AY71" i="4"/>
  <c r="AX71" i="4"/>
  <c r="AW71" i="4"/>
  <c r="AP71" i="4"/>
  <c r="AO71" i="4"/>
  <c r="AG71" i="4"/>
  <c r="X71" i="4"/>
  <c r="L71" i="4"/>
  <c r="Q71" i="4" s="1"/>
  <c r="CM70" i="4"/>
  <c r="BJ70" i="4"/>
  <c r="BI70" i="4"/>
  <c r="BH70" i="4"/>
  <c r="BF70" i="4"/>
  <c r="BG70" i="4" s="1"/>
  <c r="BC70" i="4"/>
  <c r="BB70" i="4"/>
  <c r="AY70" i="4"/>
  <c r="AX70" i="4"/>
  <c r="AW70" i="4"/>
  <c r="AP70" i="4"/>
  <c r="AO70" i="4"/>
  <c r="AG70" i="4"/>
  <c r="X70" i="4"/>
  <c r="L70" i="4"/>
  <c r="Q70" i="4" s="1"/>
  <c r="CM69" i="4"/>
  <c r="BJ69" i="4"/>
  <c r="BI69" i="4"/>
  <c r="BH69" i="4"/>
  <c r="BF69" i="4"/>
  <c r="BG69" i="4" s="1"/>
  <c r="BC69" i="4"/>
  <c r="BB69" i="4"/>
  <c r="AY69" i="4"/>
  <c r="AX69" i="4"/>
  <c r="AZ69" i="4" s="1"/>
  <c r="AW69" i="4"/>
  <c r="AP69" i="4"/>
  <c r="AO69" i="4"/>
  <c r="AG69" i="4"/>
  <c r="X69" i="4"/>
  <c r="L69" i="4"/>
  <c r="Q69" i="4" s="1"/>
  <c r="CM68" i="4"/>
  <c r="BJ68" i="4"/>
  <c r="BI68" i="4"/>
  <c r="BH68" i="4"/>
  <c r="BF68" i="4"/>
  <c r="BG68" i="4" s="1"/>
  <c r="BC68" i="4"/>
  <c r="BB68" i="4"/>
  <c r="AY68" i="4"/>
  <c r="AX68" i="4"/>
  <c r="AZ68" i="4" s="1"/>
  <c r="BA68" i="4" s="1"/>
  <c r="AW68" i="4"/>
  <c r="AP68" i="4"/>
  <c r="AO68" i="4"/>
  <c r="AG68" i="4"/>
  <c r="X68" i="4"/>
  <c r="L68" i="4"/>
  <c r="Q68" i="4" s="1"/>
  <c r="CM67" i="4"/>
  <c r="BJ67" i="4"/>
  <c r="BI67" i="4"/>
  <c r="BH67" i="4"/>
  <c r="BG67" i="4"/>
  <c r="BF67" i="4"/>
  <c r="BC67" i="4"/>
  <c r="BB67" i="4"/>
  <c r="AY67" i="4"/>
  <c r="AX67" i="4"/>
  <c r="AW67" i="4"/>
  <c r="AP67" i="4"/>
  <c r="AO67" i="4"/>
  <c r="AG67" i="4"/>
  <c r="X67" i="4"/>
  <c r="L67" i="4"/>
  <c r="Q67" i="4" s="1"/>
  <c r="CM66" i="4"/>
  <c r="BJ66" i="4"/>
  <c r="BI66" i="4"/>
  <c r="BH66" i="4"/>
  <c r="BF66" i="4"/>
  <c r="BG66" i="4" s="1"/>
  <c r="BC66" i="4"/>
  <c r="BB66" i="4"/>
  <c r="AY66" i="4"/>
  <c r="AX66" i="4"/>
  <c r="AW66" i="4"/>
  <c r="AP66" i="4"/>
  <c r="AO66" i="4"/>
  <c r="AG66" i="4"/>
  <c r="X66" i="4"/>
  <c r="Q66" i="4"/>
  <c r="L66" i="4"/>
  <c r="CM65" i="4"/>
  <c r="BJ65" i="4"/>
  <c r="BI65" i="4"/>
  <c r="BH65" i="4"/>
  <c r="BF65" i="4"/>
  <c r="BG65" i="4" s="1"/>
  <c r="BC65" i="4"/>
  <c r="BB65" i="4"/>
  <c r="AY65" i="4"/>
  <c r="AX65" i="4"/>
  <c r="AW65" i="4"/>
  <c r="AP65" i="4"/>
  <c r="AO65" i="4"/>
  <c r="AG65" i="4"/>
  <c r="X65" i="4"/>
  <c r="L65" i="4"/>
  <c r="Q65" i="4" s="1"/>
  <c r="CM64" i="4"/>
  <c r="BJ64" i="4"/>
  <c r="BI64" i="4"/>
  <c r="BH64" i="4"/>
  <c r="BF64" i="4"/>
  <c r="BC64" i="4"/>
  <c r="BB64" i="4"/>
  <c r="AY64" i="4"/>
  <c r="AX64" i="4"/>
  <c r="AW64" i="4"/>
  <c r="AP64" i="4"/>
  <c r="AO64" i="4"/>
  <c r="AG64" i="4"/>
  <c r="X64" i="4"/>
  <c r="L64" i="4"/>
  <c r="Q64" i="4" s="1"/>
  <c r="CM63" i="4"/>
  <c r="BJ63" i="4"/>
  <c r="BI63" i="4"/>
  <c r="BG63" i="4" s="1"/>
  <c r="BH63" i="4"/>
  <c r="BF63" i="4"/>
  <c r="BC63" i="4"/>
  <c r="BB63" i="4"/>
  <c r="AY63" i="4"/>
  <c r="AX63" i="4"/>
  <c r="AZ63" i="4" s="1"/>
  <c r="AW63" i="4"/>
  <c r="AP63" i="4"/>
  <c r="AO63" i="4"/>
  <c r="AG63" i="4"/>
  <c r="X63" i="4"/>
  <c r="L63" i="4"/>
  <c r="Q63" i="4" s="1"/>
  <c r="CM62" i="4"/>
  <c r="BJ62" i="4"/>
  <c r="BI62" i="4"/>
  <c r="BH62" i="4"/>
  <c r="BF62" i="4"/>
  <c r="BG62" i="4" s="1"/>
  <c r="BC62" i="4"/>
  <c r="BB62" i="4"/>
  <c r="AY62" i="4"/>
  <c r="AX62" i="4"/>
  <c r="AW62" i="4"/>
  <c r="AP62" i="4"/>
  <c r="AO62" i="4"/>
  <c r="AG62" i="4"/>
  <c r="X62" i="4"/>
  <c r="L62" i="4"/>
  <c r="Q62" i="4" s="1"/>
  <c r="CM61" i="4"/>
  <c r="BJ61" i="4"/>
  <c r="BI61" i="4"/>
  <c r="BH61" i="4"/>
  <c r="BF61" i="4"/>
  <c r="BG61" i="4" s="1"/>
  <c r="BC61" i="4"/>
  <c r="BB61" i="4"/>
  <c r="AY61" i="4"/>
  <c r="AX61" i="4"/>
  <c r="AZ61" i="4" s="1"/>
  <c r="AW61" i="4"/>
  <c r="AP61" i="4"/>
  <c r="AO61" i="4"/>
  <c r="AG61" i="4"/>
  <c r="X61" i="4"/>
  <c r="Q61" i="4"/>
  <c r="L61" i="4"/>
  <c r="CM60" i="4"/>
  <c r="BJ60" i="4"/>
  <c r="BI60" i="4"/>
  <c r="BH60" i="4"/>
  <c r="BF60" i="4"/>
  <c r="BG60" i="4" s="1"/>
  <c r="BC60" i="4"/>
  <c r="BB60" i="4"/>
  <c r="AY60" i="4"/>
  <c r="AX60" i="4"/>
  <c r="AZ60" i="4" s="1"/>
  <c r="AW60" i="4"/>
  <c r="AP60" i="4"/>
  <c r="AO60" i="4"/>
  <c r="AG60" i="4"/>
  <c r="X60" i="4"/>
  <c r="L60" i="4"/>
  <c r="Q60" i="4" s="1"/>
  <c r="CM59" i="4"/>
  <c r="BJ59" i="4"/>
  <c r="BI59" i="4"/>
  <c r="BH59" i="4"/>
  <c r="BF59" i="4"/>
  <c r="BG59" i="4" s="1"/>
  <c r="BC59" i="4"/>
  <c r="BB59" i="4"/>
  <c r="AY59" i="4"/>
  <c r="AX59" i="4"/>
  <c r="AZ59" i="4" s="1"/>
  <c r="AW59" i="4"/>
  <c r="AP59" i="4"/>
  <c r="AO59" i="4"/>
  <c r="AG59" i="4"/>
  <c r="X59" i="4"/>
  <c r="L59" i="4"/>
  <c r="Q59" i="4" s="1"/>
  <c r="CM58" i="4"/>
  <c r="BJ58" i="4"/>
  <c r="BI58" i="4"/>
  <c r="BH58" i="4"/>
  <c r="BF58" i="4"/>
  <c r="BG58" i="4" s="1"/>
  <c r="BC58" i="4"/>
  <c r="BB58" i="4"/>
  <c r="AY58" i="4"/>
  <c r="AX58" i="4"/>
  <c r="AW58" i="4"/>
  <c r="AP58" i="4"/>
  <c r="AO58" i="4"/>
  <c r="AG58" i="4"/>
  <c r="X58" i="4"/>
  <c r="L58" i="4"/>
  <c r="Q58" i="4" s="1"/>
  <c r="CM57" i="4"/>
  <c r="BJ57" i="4"/>
  <c r="BI57" i="4"/>
  <c r="BH57" i="4"/>
  <c r="BF57" i="4"/>
  <c r="BG57" i="4" s="1"/>
  <c r="BC57" i="4"/>
  <c r="BB57" i="4"/>
  <c r="AY57" i="4"/>
  <c r="AX57" i="4"/>
  <c r="AZ57" i="4" s="1"/>
  <c r="AW57" i="4"/>
  <c r="AP57" i="4"/>
  <c r="AO57" i="4"/>
  <c r="AG57" i="4"/>
  <c r="X57" i="4"/>
  <c r="L57" i="4"/>
  <c r="Q57" i="4" s="1"/>
  <c r="CM56" i="4"/>
  <c r="BJ56" i="4"/>
  <c r="BI56" i="4"/>
  <c r="BH56" i="4"/>
  <c r="BF56" i="4"/>
  <c r="BC56" i="4"/>
  <c r="BB56" i="4"/>
  <c r="AY56" i="4"/>
  <c r="AX56" i="4"/>
  <c r="AW56" i="4"/>
  <c r="AP56" i="4"/>
  <c r="AO56" i="4"/>
  <c r="AG56" i="4"/>
  <c r="X56" i="4"/>
  <c r="L56" i="4"/>
  <c r="Q56" i="4" s="1"/>
  <c r="CM55" i="4"/>
  <c r="BJ55" i="4"/>
  <c r="BI55" i="4"/>
  <c r="BH55" i="4"/>
  <c r="BF55" i="4"/>
  <c r="BC55" i="4"/>
  <c r="BB55" i="4"/>
  <c r="AY55" i="4"/>
  <c r="AX55" i="4"/>
  <c r="AZ55" i="4" s="1"/>
  <c r="BA55" i="4" s="1"/>
  <c r="AW55" i="4"/>
  <c r="AP55" i="4"/>
  <c r="AO55" i="4"/>
  <c r="AG55" i="4"/>
  <c r="X55" i="4"/>
  <c r="L55" i="4"/>
  <c r="Q55" i="4" s="1"/>
  <c r="CM54" i="4"/>
  <c r="BJ54" i="4"/>
  <c r="BI54" i="4"/>
  <c r="BG54" i="4" s="1"/>
  <c r="BH54" i="4"/>
  <c r="BF54" i="4"/>
  <c r="BC54" i="4"/>
  <c r="BB54" i="4"/>
  <c r="AY54" i="4"/>
  <c r="AX54" i="4"/>
  <c r="AZ54" i="4" s="1"/>
  <c r="AW54" i="4"/>
  <c r="AP54" i="4"/>
  <c r="AO54" i="4"/>
  <c r="AG54" i="4"/>
  <c r="X54" i="4"/>
  <c r="L54" i="4"/>
  <c r="Q54" i="4" s="1"/>
  <c r="CM53" i="4"/>
  <c r="BJ53" i="4"/>
  <c r="BI53" i="4"/>
  <c r="BH53" i="4"/>
  <c r="BF53" i="4"/>
  <c r="BG53" i="4" s="1"/>
  <c r="BC53" i="4"/>
  <c r="BB53" i="4"/>
  <c r="AY53" i="4"/>
  <c r="AX53" i="4"/>
  <c r="AZ53" i="4" s="1"/>
  <c r="AW53" i="4"/>
  <c r="AP53" i="4"/>
  <c r="AO53" i="4"/>
  <c r="AG53" i="4"/>
  <c r="X53" i="4"/>
  <c r="L53" i="4"/>
  <c r="Q53" i="4" s="1"/>
  <c r="CM52" i="4"/>
  <c r="BJ52" i="4"/>
  <c r="BI52" i="4"/>
  <c r="BG52" i="4" s="1"/>
  <c r="BH52" i="4"/>
  <c r="BF52" i="4"/>
  <c r="BC52" i="4"/>
  <c r="BB52" i="4"/>
  <c r="AY52" i="4"/>
  <c r="AX52" i="4"/>
  <c r="AZ52" i="4" s="1"/>
  <c r="AW52" i="4"/>
  <c r="AP52" i="4"/>
  <c r="AO52" i="4"/>
  <c r="AG52" i="4"/>
  <c r="X52" i="4"/>
  <c r="L52" i="4"/>
  <c r="Q52" i="4" s="1"/>
  <c r="CM51" i="4"/>
  <c r="BJ51" i="4"/>
  <c r="BI51" i="4"/>
  <c r="BH51" i="4"/>
  <c r="BF51" i="4"/>
  <c r="BC51" i="4"/>
  <c r="BB51" i="4"/>
  <c r="AY51" i="4"/>
  <c r="AX51" i="4"/>
  <c r="AW51" i="4"/>
  <c r="AP51" i="4"/>
  <c r="AO51" i="4"/>
  <c r="AG51" i="4"/>
  <c r="X51" i="4"/>
  <c r="L51" i="4"/>
  <c r="Q51" i="4" s="1"/>
  <c r="CM50" i="4"/>
  <c r="BJ50" i="4"/>
  <c r="BI50" i="4"/>
  <c r="BH50" i="4"/>
  <c r="BF50" i="4"/>
  <c r="BG50" i="4" s="1"/>
  <c r="BC50" i="4"/>
  <c r="BB50" i="4"/>
  <c r="AY50" i="4"/>
  <c r="AX50" i="4"/>
  <c r="AW50" i="4"/>
  <c r="AP50" i="4"/>
  <c r="AO50" i="4"/>
  <c r="AG50" i="4"/>
  <c r="X50" i="4"/>
  <c r="L50" i="4"/>
  <c r="Q50" i="4" s="1"/>
  <c r="CM49" i="4"/>
  <c r="BJ49" i="4"/>
  <c r="BI49" i="4"/>
  <c r="BH49" i="4"/>
  <c r="BF49" i="4"/>
  <c r="BG49" i="4" s="1"/>
  <c r="BC49" i="4"/>
  <c r="BB49" i="4"/>
  <c r="AY49" i="4"/>
  <c r="AX49" i="4"/>
  <c r="AZ49" i="4" s="1"/>
  <c r="BA49" i="4" s="1"/>
  <c r="AW49" i="4"/>
  <c r="AP49" i="4"/>
  <c r="AO49" i="4"/>
  <c r="AG49" i="4"/>
  <c r="X49" i="4"/>
  <c r="L49" i="4"/>
  <c r="Q49" i="4" s="1"/>
  <c r="CM48" i="4"/>
  <c r="BJ48" i="4"/>
  <c r="BI48" i="4"/>
  <c r="BH48" i="4"/>
  <c r="BF48" i="4"/>
  <c r="BG48" i="4" s="1"/>
  <c r="BC48" i="4"/>
  <c r="BB48" i="4"/>
  <c r="AY48" i="4"/>
  <c r="AX48" i="4"/>
  <c r="AZ48" i="4" s="1"/>
  <c r="AW48" i="4"/>
  <c r="AP48" i="4"/>
  <c r="AO48" i="4"/>
  <c r="AG48" i="4"/>
  <c r="X48" i="4"/>
  <c r="L48" i="4"/>
  <c r="Q48" i="4" s="1"/>
  <c r="CM47" i="4"/>
  <c r="BJ47" i="4"/>
  <c r="BI47" i="4"/>
  <c r="BH47" i="4"/>
  <c r="BF47" i="4"/>
  <c r="BG47" i="4" s="1"/>
  <c r="BC47" i="4"/>
  <c r="BB47" i="4"/>
  <c r="AY47" i="4"/>
  <c r="AX47" i="4"/>
  <c r="AW47" i="4"/>
  <c r="AP47" i="4"/>
  <c r="AO47" i="4"/>
  <c r="AG47" i="4"/>
  <c r="X47" i="4"/>
  <c r="L47" i="4"/>
  <c r="Q47" i="4" s="1"/>
  <c r="CM46" i="4"/>
  <c r="BJ46" i="4"/>
  <c r="BI46" i="4"/>
  <c r="BH46" i="4"/>
  <c r="BF46" i="4"/>
  <c r="BG46" i="4" s="1"/>
  <c r="BC46" i="4"/>
  <c r="BB46" i="4"/>
  <c r="AY46" i="4"/>
  <c r="AX46" i="4"/>
  <c r="AZ46" i="4" s="1"/>
  <c r="AW46" i="4"/>
  <c r="AP46" i="4"/>
  <c r="AO46" i="4"/>
  <c r="AG46" i="4"/>
  <c r="X46" i="4"/>
  <c r="L46" i="4"/>
  <c r="Q46" i="4" s="1"/>
  <c r="CM45" i="4"/>
  <c r="BJ45" i="4"/>
  <c r="BI45" i="4"/>
  <c r="BH45" i="4"/>
  <c r="BF45" i="4"/>
  <c r="BG45" i="4" s="1"/>
  <c r="BC45" i="4"/>
  <c r="BB45" i="4"/>
  <c r="AY45" i="4"/>
  <c r="AX45" i="4"/>
  <c r="AW45" i="4"/>
  <c r="AP45" i="4"/>
  <c r="AO45" i="4"/>
  <c r="AG45" i="4"/>
  <c r="X45" i="4"/>
  <c r="L45" i="4"/>
  <c r="Q45" i="4" s="1"/>
  <c r="CM44" i="4"/>
  <c r="BJ44" i="4"/>
  <c r="BI44" i="4"/>
  <c r="BH44" i="4"/>
  <c r="BF44" i="4"/>
  <c r="BG44" i="4" s="1"/>
  <c r="BC44" i="4"/>
  <c r="BB44" i="4"/>
  <c r="AY44" i="4"/>
  <c r="AX44" i="4"/>
  <c r="AZ44" i="4" s="1"/>
  <c r="AW44" i="4"/>
  <c r="AP44" i="4"/>
  <c r="AO44" i="4"/>
  <c r="AG44" i="4"/>
  <c r="X44" i="4"/>
  <c r="L44" i="4"/>
  <c r="Q44" i="4" s="1"/>
  <c r="CM43" i="4"/>
  <c r="BJ43" i="4"/>
  <c r="BI43" i="4"/>
  <c r="BH43" i="4"/>
  <c r="BF43" i="4"/>
  <c r="BC43" i="4"/>
  <c r="BB43" i="4"/>
  <c r="AY43" i="4"/>
  <c r="AX43" i="4"/>
  <c r="AW43" i="4"/>
  <c r="AP43" i="4"/>
  <c r="AO43" i="4"/>
  <c r="AG43" i="4"/>
  <c r="X43" i="4"/>
  <c r="L43" i="4"/>
  <c r="Q43" i="4" s="1"/>
  <c r="CM42" i="4"/>
  <c r="BJ42" i="4"/>
  <c r="BI42" i="4"/>
  <c r="BH42" i="4"/>
  <c r="BF42" i="4"/>
  <c r="BG42" i="4" s="1"/>
  <c r="BC42" i="4"/>
  <c r="BB42" i="4"/>
  <c r="AY42" i="4"/>
  <c r="AX42" i="4"/>
  <c r="AW42" i="4"/>
  <c r="AP42" i="4"/>
  <c r="AO42" i="4"/>
  <c r="AG42" i="4"/>
  <c r="X42" i="4"/>
  <c r="L42" i="4"/>
  <c r="Q42" i="4" s="1"/>
  <c r="CM41" i="4"/>
  <c r="BJ41" i="4"/>
  <c r="BI41" i="4"/>
  <c r="BH41" i="4"/>
  <c r="BF41" i="4"/>
  <c r="BC41" i="4"/>
  <c r="BB41" i="4"/>
  <c r="AY41" i="4"/>
  <c r="AX41" i="4"/>
  <c r="AZ41" i="4" s="1"/>
  <c r="BA41" i="4" s="1"/>
  <c r="AW41" i="4"/>
  <c r="AP41" i="4"/>
  <c r="AO41" i="4"/>
  <c r="AG41" i="4"/>
  <c r="X41" i="4"/>
  <c r="L41" i="4"/>
  <c r="Q41" i="4" s="1"/>
  <c r="CM40" i="4"/>
  <c r="BJ40" i="4"/>
  <c r="BI40" i="4"/>
  <c r="BH40" i="4"/>
  <c r="BF40" i="4"/>
  <c r="BC40" i="4"/>
  <c r="BB40" i="4"/>
  <c r="AY40" i="4"/>
  <c r="AX40" i="4"/>
  <c r="AZ40" i="4" s="1"/>
  <c r="AW40" i="4"/>
  <c r="AP40" i="4"/>
  <c r="AO40" i="4"/>
  <c r="AG40" i="4"/>
  <c r="X40" i="4"/>
  <c r="L40" i="4"/>
  <c r="Q40" i="4" s="1"/>
  <c r="CM39" i="4"/>
  <c r="BJ39" i="4"/>
  <c r="BI39" i="4"/>
  <c r="BH39" i="4"/>
  <c r="BF39" i="4"/>
  <c r="BG39" i="4" s="1"/>
  <c r="BC39" i="4"/>
  <c r="BB39" i="4"/>
  <c r="AY39" i="4"/>
  <c r="AX39" i="4"/>
  <c r="AW39" i="4"/>
  <c r="AP39" i="4"/>
  <c r="AO39" i="4"/>
  <c r="AG39" i="4"/>
  <c r="X39" i="4"/>
  <c r="L39" i="4"/>
  <c r="Q39" i="4" s="1"/>
  <c r="CM38" i="4"/>
  <c r="BJ38" i="4"/>
  <c r="BI38" i="4"/>
  <c r="BH38" i="4"/>
  <c r="BF38" i="4"/>
  <c r="BG38" i="4" s="1"/>
  <c r="BC38" i="4"/>
  <c r="BB38" i="4"/>
  <c r="AY38" i="4"/>
  <c r="AX38" i="4"/>
  <c r="AZ38" i="4" s="1"/>
  <c r="AW38" i="4"/>
  <c r="AP38" i="4"/>
  <c r="AO38" i="4"/>
  <c r="AG38" i="4"/>
  <c r="L38" i="4"/>
  <c r="Q38" i="4" s="1"/>
  <c r="CM37" i="4"/>
  <c r="BJ37" i="4"/>
  <c r="BI37" i="4"/>
  <c r="BH37" i="4"/>
  <c r="BF37" i="4"/>
  <c r="BC37" i="4"/>
  <c r="BB37" i="4"/>
  <c r="AY37" i="4"/>
  <c r="AX37" i="4"/>
  <c r="AW37" i="4"/>
  <c r="AP37" i="4"/>
  <c r="AO37" i="4"/>
  <c r="AG37" i="4"/>
  <c r="L37" i="4"/>
  <c r="Q37" i="4" s="1"/>
  <c r="CM36" i="4"/>
  <c r="BJ36" i="4"/>
  <c r="BI36" i="4"/>
  <c r="BH36" i="4"/>
  <c r="BF36" i="4"/>
  <c r="BC36" i="4"/>
  <c r="BB36" i="4"/>
  <c r="AY36" i="4"/>
  <c r="AX36" i="4"/>
  <c r="AW36" i="4"/>
  <c r="AP36" i="4"/>
  <c r="AO36" i="4"/>
  <c r="AG36" i="4"/>
  <c r="L36" i="4"/>
  <c r="Q36" i="4" s="1"/>
  <c r="CM35" i="4"/>
  <c r="BJ35" i="4"/>
  <c r="BI35" i="4"/>
  <c r="BH35" i="4"/>
  <c r="BF35" i="4"/>
  <c r="BG35" i="4" s="1"/>
  <c r="BC35" i="4"/>
  <c r="BB35" i="4"/>
  <c r="AY35" i="4"/>
  <c r="AX35" i="4"/>
  <c r="AZ35" i="4" s="1"/>
  <c r="AW35" i="4"/>
  <c r="AP35" i="4"/>
  <c r="AO35" i="4"/>
  <c r="AG35" i="4"/>
  <c r="L35" i="4"/>
  <c r="Q35" i="4" s="1"/>
  <c r="CM34" i="4"/>
  <c r="BJ34" i="4"/>
  <c r="BI34" i="4"/>
  <c r="BH34" i="4"/>
  <c r="BF34" i="4"/>
  <c r="BG34" i="4" s="1"/>
  <c r="BC34" i="4"/>
  <c r="BB34" i="4"/>
  <c r="AY34" i="4"/>
  <c r="AX34" i="4"/>
  <c r="AZ34" i="4" s="1"/>
  <c r="AW34" i="4"/>
  <c r="AP34" i="4"/>
  <c r="AO34" i="4"/>
  <c r="AG34" i="4"/>
  <c r="L34" i="4"/>
  <c r="Q34" i="4" s="1"/>
  <c r="CM33" i="4"/>
  <c r="BJ33" i="4"/>
  <c r="BI33" i="4"/>
  <c r="BH33" i="4"/>
  <c r="BF33" i="4"/>
  <c r="BC33" i="4"/>
  <c r="BB33" i="4"/>
  <c r="AY33" i="4"/>
  <c r="AX33" i="4"/>
  <c r="AZ33" i="4" s="1"/>
  <c r="AW33" i="4"/>
  <c r="BA33" i="4" s="1"/>
  <c r="AP33" i="4"/>
  <c r="AO33" i="4"/>
  <c r="AG33" i="4"/>
  <c r="L33" i="4"/>
  <c r="Q33" i="4" s="1"/>
  <c r="CM32" i="4"/>
  <c r="BJ32" i="4"/>
  <c r="BI32" i="4"/>
  <c r="BH32" i="4"/>
  <c r="BF32" i="4"/>
  <c r="BC32" i="4"/>
  <c r="BB32" i="4"/>
  <c r="AY32" i="4"/>
  <c r="AX32" i="4"/>
  <c r="AW32" i="4"/>
  <c r="AP32" i="4"/>
  <c r="AO32" i="4"/>
  <c r="AG32" i="4"/>
  <c r="Q32" i="4"/>
  <c r="L32" i="4"/>
  <c r="CM31" i="4"/>
  <c r="BJ31" i="4"/>
  <c r="BI31" i="4"/>
  <c r="BH31" i="4"/>
  <c r="BF31" i="4"/>
  <c r="BG31" i="4" s="1"/>
  <c r="BC31" i="4"/>
  <c r="BB31" i="4"/>
  <c r="AY31" i="4"/>
  <c r="AX31" i="4"/>
  <c r="AW31" i="4"/>
  <c r="AP31" i="4"/>
  <c r="AO31" i="4"/>
  <c r="AG31" i="4"/>
  <c r="X31" i="4"/>
  <c r="L31" i="4"/>
  <c r="Q31" i="4" s="1"/>
  <c r="CM30" i="4"/>
  <c r="BJ30" i="4"/>
  <c r="BI30" i="4"/>
  <c r="BH30" i="4"/>
  <c r="BF30" i="4"/>
  <c r="BC30" i="4"/>
  <c r="BB30" i="4"/>
  <c r="AY30" i="4"/>
  <c r="AX30" i="4"/>
  <c r="AZ30" i="4" s="1"/>
  <c r="AW30" i="4"/>
  <c r="AP30" i="4"/>
  <c r="AO30" i="4"/>
  <c r="AG30" i="4"/>
  <c r="X30" i="4"/>
  <c r="L30" i="4"/>
  <c r="Q30" i="4" s="1"/>
  <c r="CM29" i="4"/>
  <c r="BJ29" i="4"/>
  <c r="BI29" i="4"/>
  <c r="BH29" i="4"/>
  <c r="BF29" i="4"/>
  <c r="BG29" i="4" s="1"/>
  <c r="BC29" i="4"/>
  <c r="BB29" i="4"/>
  <c r="AY29" i="4"/>
  <c r="AX29" i="4"/>
  <c r="AW29" i="4"/>
  <c r="AP29" i="4"/>
  <c r="AO29" i="4"/>
  <c r="AG29" i="4"/>
  <c r="X29" i="4"/>
  <c r="L29" i="4"/>
  <c r="Q29" i="4" s="1"/>
  <c r="CM28" i="4"/>
  <c r="BJ28" i="4"/>
  <c r="BI28" i="4"/>
  <c r="BH28" i="4"/>
  <c r="BF28" i="4"/>
  <c r="BC28" i="4"/>
  <c r="BB28" i="4"/>
  <c r="AY28" i="4"/>
  <c r="AX28" i="4"/>
  <c r="AZ28" i="4" s="1"/>
  <c r="AW28" i="4"/>
  <c r="AP28" i="4"/>
  <c r="AO28" i="4"/>
  <c r="AG28" i="4"/>
  <c r="X28" i="4"/>
  <c r="L28" i="4"/>
  <c r="Q28" i="4" s="1"/>
  <c r="CM27" i="4"/>
  <c r="BJ27" i="4"/>
  <c r="BI27" i="4"/>
  <c r="BH27" i="4"/>
  <c r="BF27" i="4"/>
  <c r="BC27" i="4"/>
  <c r="BB27" i="4"/>
  <c r="AY27" i="4"/>
  <c r="AX27" i="4"/>
  <c r="AW27" i="4"/>
  <c r="AP27" i="4"/>
  <c r="AO27" i="4"/>
  <c r="AG27" i="4"/>
  <c r="X27" i="4"/>
  <c r="L27" i="4"/>
  <c r="Q27" i="4" s="1"/>
  <c r="CM26" i="4"/>
  <c r="BJ26" i="4"/>
  <c r="BI26" i="4"/>
  <c r="BH26" i="4"/>
  <c r="BF26" i="4"/>
  <c r="BC26" i="4"/>
  <c r="BB26" i="4"/>
  <c r="AY26" i="4"/>
  <c r="AX26" i="4"/>
  <c r="AZ26" i="4" s="1"/>
  <c r="AW26" i="4"/>
  <c r="AP26" i="4"/>
  <c r="AO26" i="4"/>
  <c r="AG26" i="4"/>
  <c r="X26" i="4"/>
  <c r="L26" i="4"/>
  <c r="Q26" i="4" s="1"/>
  <c r="CM25" i="4"/>
  <c r="BJ25" i="4"/>
  <c r="BI25" i="4"/>
  <c r="BH25" i="4"/>
  <c r="BF25" i="4"/>
  <c r="BC25" i="4"/>
  <c r="BB25" i="4"/>
  <c r="AY25" i="4"/>
  <c r="AX25" i="4"/>
  <c r="AZ25" i="4" s="1"/>
  <c r="AW25" i="4"/>
  <c r="AP25" i="4"/>
  <c r="AO25" i="4"/>
  <c r="AG25" i="4"/>
  <c r="X25" i="4"/>
  <c r="L25" i="4"/>
  <c r="Q25" i="4" s="1"/>
  <c r="CM24" i="4"/>
  <c r="BJ24" i="4"/>
  <c r="BI24" i="4"/>
  <c r="BH24" i="4"/>
  <c r="BF24" i="4"/>
  <c r="BC24" i="4"/>
  <c r="BB24" i="4"/>
  <c r="AY24" i="4"/>
  <c r="AX24" i="4"/>
  <c r="AW24" i="4"/>
  <c r="AP24" i="4"/>
  <c r="AO24" i="4"/>
  <c r="AG24" i="4"/>
  <c r="X24" i="4"/>
  <c r="L24" i="4"/>
  <c r="Q24" i="4" s="1"/>
  <c r="CM23" i="4"/>
  <c r="BJ23" i="4"/>
  <c r="BI23" i="4"/>
  <c r="BH23" i="4"/>
  <c r="BF23" i="4"/>
  <c r="BC23" i="4"/>
  <c r="BB23" i="4"/>
  <c r="AY23" i="4"/>
  <c r="AX23" i="4"/>
  <c r="AZ23" i="4" s="1"/>
  <c r="AW23" i="4"/>
  <c r="AP23" i="4"/>
  <c r="AO23" i="4"/>
  <c r="AG23" i="4"/>
  <c r="X23" i="4"/>
  <c r="L23" i="4"/>
  <c r="Q23" i="4" s="1"/>
  <c r="CM22" i="4"/>
  <c r="BJ22" i="4"/>
  <c r="BI22" i="4"/>
  <c r="BH22" i="4"/>
  <c r="BF22" i="4"/>
  <c r="BC22" i="4"/>
  <c r="BB22" i="4"/>
  <c r="AY22" i="4"/>
  <c r="AX22" i="4"/>
  <c r="AW22" i="4"/>
  <c r="AP22" i="4"/>
  <c r="AO22" i="4"/>
  <c r="AG22" i="4"/>
  <c r="X22" i="4"/>
  <c r="L22" i="4"/>
  <c r="Q22" i="4" s="1"/>
  <c r="CM21" i="4"/>
  <c r="BJ21" i="4"/>
  <c r="BI21" i="4"/>
  <c r="BH21" i="4"/>
  <c r="BF21" i="4"/>
  <c r="BC21" i="4"/>
  <c r="BB21" i="4"/>
  <c r="AY21" i="4"/>
  <c r="AX21" i="4"/>
  <c r="AZ21" i="4" s="1"/>
  <c r="AW21" i="4"/>
  <c r="BA21" i="4" s="1"/>
  <c r="AP21" i="4"/>
  <c r="AO21" i="4"/>
  <c r="AG21" i="4"/>
  <c r="X21" i="4"/>
  <c r="L21" i="4"/>
  <c r="Q21" i="4" s="1"/>
  <c r="CM20" i="4"/>
  <c r="BJ20" i="4"/>
  <c r="BI20" i="4"/>
  <c r="BH20" i="4"/>
  <c r="BF20" i="4"/>
  <c r="BC20" i="4"/>
  <c r="BB20" i="4"/>
  <c r="AY20" i="4"/>
  <c r="AX20" i="4"/>
  <c r="AW20" i="4"/>
  <c r="AP20" i="4"/>
  <c r="AO20" i="4"/>
  <c r="AG20" i="4"/>
  <c r="L20" i="4"/>
  <c r="Q20" i="4" s="1"/>
  <c r="CM19" i="4"/>
  <c r="BJ19" i="4"/>
  <c r="BI19" i="4"/>
  <c r="BH19" i="4"/>
  <c r="BF19" i="4"/>
  <c r="BC19" i="4"/>
  <c r="BB19" i="4"/>
  <c r="AY19" i="4"/>
  <c r="AX19" i="4"/>
  <c r="AW19" i="4"/>
  <c r="AP19" i="4"/>
  <c r="AO19" i="4"/>
  <c r="AG19" i="4"/>
  <c r="X19" i="4"/>
  <c r="L19" i="4"/>
  <c r="Q19" i="4" s="1"/>
  <c r="CM18" i="4"/>
  <c r="BJ18" i="4"/>
  <c r="BI18" i="4"/>
  <c r="BH18" i="4"/>
  <c r="BF18" i="4"/>
  <c r="BC18" i="4"/>
  <c r="BB18" i="4"/>
  <c r="AY18" i="4"/>
  <c r="AX18" i="4"/>
  <c r="AZ18" i="4" s="1"/>
  <c r="AW18" i="4"/>
  <c r="AP18" i="4"/>
  <c r="AO18" i="4"/>
  <c r="AG18" i="4"/>
  <c r="X18" i="4"/>
  <c r="L18" i="4"/>
  <c r="Q18" i="4" s="1"/>
  <c r="CM17" i="4"/>
  <c r="BJ17" i="4"/>
  <c r="BI17" i="4"/>
  <c r="BH17" i="4"/>
  <c r="BF17" i="4"/>
  <c r="BC17" i="4"/>
  <c r="BB17" i="4"/>
  <c r="AY17" i="4"/>
  <c r="AX17" i="4"/>
  <c r="AW17" i="4"/>
  <c r="AP17" i="4"/>
  <c r="AO17" i="4"/>
  <c r="AG17" i="4"/>
  <c r="L17" i="4"/>
  <c r="Q17" i="4" s="1"/>
  <c r="CM16" i="4"/>
  <c r="BJ16" i="4"/>
  <c r="BI16" i="4"/>
  <c r="BH16" i="4"/>
  <c r="BF16" i="4"/>
  <c r="BC16" i="4"/>
  <c r="BB16" i="4"/>
  <c r="AY16" i="4"/>
  <c r="AX16" i="4"/>
  <c r="AZ16" i="4" s="1"/>
  <c r="AW16" i="4"/>
  <c r="AP16" i="4"/>
  <c r="AO16" i="4"/>
  <c r="AG16" i="4"/>
  <c r="X16" i="4"/>
  <c r="L16" i="4"/>
  <c r="Q16" i="4" s="1"/>
  <c r="CM15" i="4"/>
  <c r="BJ15" i="4"/>
  <c r="BI15" i="4"/>
  <c r="BH15" i="4"/>
  <c r="BF15" i="4"/>
  <c r="BC15" i="4"/>
  <c r="BB15" i="4"/>
  <c r="AY15" i="4"/>
  <c r="AX15" i="4"/>
  <c r="AW15" i="4"/>
  <c r="AP15" i="4"/>
  <c r="AO15" i="4"/>
  <c r="AG15" i="4"/>
  <c r="X15" i="4"/>
  <c r="L15" i="4"/>
  <c r="Q15" i="4" s="1"/>
  <c r="CM14" i="4"/>
  <c r="BJ14" i="4"/>
  <c r="BI14" i="4"/>
  <c r="BH14" i="4"/>
  <c r="BF14" i="4"/>
  <c r="BC14" i="4"/>
  <c r="BB14" i="4"/>
  <c r="AY14" i="4"/>
  <c r="AX14" i="4"/>
  <c r="AZ14" i="4" s="1"/>
  <c r="AW14" i="4"/>
  <c r="AP14" i="4"/>
  <c r="AO14" i="4"/>
  <c r="AG14" i="4"/>
  <c r="L14" i="4"/>
  <c r="Q14" i="4" s="1"/>
  <c r="CM13" i="4"/>
  <c r="BJ13" i="4"/>
  <c r="BI13" i="4"/>
  <c r="BH13" i="4"/>
  <c r="BF13" i="4"/>
  <c r="BC13" i="4"/>
  <c r="BB13" i="4"/>
  <c r="AY13" i="4"/>
  <c r="AX13" i="4"/>
  <c r="AZ13" i="4" s="1"/>
  <c r="AW13" i="4"/>
  <c r="AP13" i="4"/>
  <c r="AO13" i="4"/>
  <c r="AI13" i="4"/>
  <c r="AG13" i="4"/>
  <c r="L13" i="4"/>
  <c r="Q13" i="4" s="1"/>
  <c r="CM12" i="4"/>
  <c r="BJ12" i="4"/>
  <c r="BI12" i="4"/>
  <c r="BH12" i="4"/>
  <c r="BF12" i="4"/>
  <c r="BC12" i="4"/>
  <c r="BB12" i="4"/>
  <c r="AY12" i="4"/>
  <c r="AX12" i="4"/>
  <c r="AW12" i="4"/>
  <c r="AP12" i="4"/>
  <c r="AO12" i="4"/>
  <c r="AG12" i="4"/>
  <c r="L12" i="4"/>
  <c r="Q12" i="4" s="1"/>
  <c r="CM11" i="4"/>
  <c r="BJ11" i="4"/>
  <c r="BI11" i="4"/>
  <c r="BH11" i="4"/>
  <c r="BF11" i="4"/>
  <c r="BC11" i="4"/>
  <c r="BB11" i="4"/>
  <c r="AY11" i="4"/>
  <c r="AX11" i="4"/>
  <c r="AW11" i="4"/>
  <c r="AP11" i="4"/>
  <c r="AO11" i="4"/>
  <c r="AG11" i="4"/>
  <c r="X11" i="4"/>
  <c r="L11" i="4"/>
  <c r="Q11" i="4" s="1"/>
  <c r="CM10" i="4"/>
  <c r="BJ10" i="4"/>
  <c r="BI10" i="4"/>
  <c r="BH10" i="4"/>
  <c r="BF10" i="4"/>
  <c r="BC10" i="4"/>
  <c r="BB10" i="4"/>
  <c r="AY10" i="4"/>
  <c r="AX10" i="4"/>
  <c r="AZ10" i="4" s="1"/>
  <c r="AW10" i="4"/>
  <c r="AP10" i="4"/>
  <c r="AO10" i="4"/>
  <c r="AG10" i="4"/>
  <c r="L10" i="4"/>
  <c r="Q10" i="4" s="1"/>
  <c r="CM9" i="4"/>
  <c r="BJ9" i="4"/>
  <c r="BI9" i="4"/>
  <c r="BH9" i="4"/>
  <c r="BF9" i="4"/>
  <c r="BC9" i="4"/>
  <c r="BB9" i="4"/>
  <c r="AY9" i="4"/>
  <c r="AX9" i="4"/>
  <c r="AZ9" i="4" s="1"/>
  <c r="AW9" i="4"/>
  <c r="AP9" i="4"/>
  <c r="AO9" i="4"/>
  <c r="AG9" i="4"/>
  <c r="X9" i="4"/>
  <c r="L9" i="4"/>
  <c r="Q9" i="4" s="1"/>
  <c r="AK9" i="4" s="1"/>
  <c r="CM8" i="4"/>
  <c r="BO8" i="4"/>
  <c r="W167" i="4" s="1"/>
  <c r="BM8" i="4"/>
  <c r="BN8" i="4" s="1"/>
  <c r="BJ8" i="4"/>
  <c r="BI8" i="4"/>
  <c r="BH8" i="4"/>
  <c r="BF8" i="4"/>
  <c r="BG8" i="4" s="1"/>
  <c r="BC8" i="4"/>
  <c r="BB8" i="4"/>
  <c r="AY8" i="4"/>
  <c r="AX8" i="4"/>
  <c r="AZ8" i="4" s="1"/>
  <c r="AW8" i="4"/>
  <c r="AP8" i="4"/>
  <c r="AO8" i="4"/>
  <c r="AG8" i="4"/>
  <c r="L8" i="4"/>
  <c r="Q8" i="4" s="1"/>
  <c r="CM7" i="4"/>
  <c r="BO7" i="4"/>
  <c r="W160" i="4" s="1"/>
  <c r="BM7" i="4"/>
  <c r="BJ7" i="4"/>
  <c r="BI7" i="4"/>
  <c r="BH7" i="4"/>
  <c r="BF7" i="4"/>
  <c r="BC7" i="4"/>
  <c r="BB7" i="4"/>
  <c r="AY7" i="4"/>
  <c r="AX7" i="4"/>
  <c r="AZ7" i="4" s="1"/>
  <c r="AW7" i="4"/>
  <c r="AP7" i="4"/>
  <c r="AO7" i="4"/>
  <c r="AG7" i="4"/>
  <c r="X7" i="4"/>
  <c r="L7" i="4"/>
  <c r="Q7" i="4" s="1"/>
  <c r="AB2" i="4"/>
  <c r="H1" i="4" a="1"/>
  <c r="H1" i="4" s="1"/>
  <c r="AB2" i="2"/>
  <c r="L7" i="2"/>
  <c r="Q7" i="2" s="1"/>
  <c r="X7" i="2"/>
  <c r="AG7" i="2"/>
  <c r="AO7" i="2"/>
  <c r="AP7" i="2"/>
  <c r="AW7" i="2"/>
  <c r="AX7" i="2"/>
  <c r="AZ7" i="2" s="1"/>
  <c r="AY7" i="2"/>
  <c r="BB7" i="2"/>
  <c r="BC7" i="2"/>
  <c r="BF7" i="2"/>
  <c r="BH7" i="2"/>
  <c r="BI7" i="2"/>
  <c r="BJ7" i="2"/>
  <c r="BM7" i="2"/>
  <c r="BN7" i="2"/>
  <c r="BO7" i="2"/>
  <c r="CM7" i="2"/>
  <c r="CO7" i="2"/>
  <c r="L8" i="2"/>
  <c r="Q8" i="2"/>
  <c r="X8" i="2"/>
  <c r="AK8" i="2" s="1"/>
  <c r="AG8" i="2"/>
  <c r="AO8" i="2"/>
  <c r="AP8" i="2"/>
  <c r="AW8" i="2"/>
  <c r="AX8" i="2"/>
  <c r="AZ8" i="2"/>
  <c r="AY8" i="2"/>
  <c r="BB8" i="2"/>
  <c r="BC8" i="2"/>
  <c r="BF8" i="2"/>
  <c r="BH8" i="2"/>
  <c r="BI8" i="2"/>
  <c r="BJ8" i="2"/>
  <c r="BM8" i="2"/>
  <c r="BN8" i="2"/>
  <c r="BO8" i="2"/>
  <c r="CM8" i="2"/>
  <c r="CO8" i="2"/>
  <c r="L9" i="2"/>
  <c r="Q9" i="2" s="1"/>
  <c r="X9" i="2"/>
  <c r="AG9" i="2"/>
  <c r="AO9" i="2"/>
  <c r="AP9" i="2"/>
  <c r="AW9" i="2"/>
  <c r="AX9" i="2"/>
  <c r="AY9" i="2"/>
  <c r="BB9" i="2"/>
  <c r="BC9" i="2"/>
  <c r="BF9" i="2"/>
  <c r="BH9" i="2"/>
  <c r="BI9" i="2"/>
  <c r="BG9" i="2"/>
  <c r="BJ9" i="2"/>
  <c r="CM9" i="2"/>
  <c r="CO9" i="2"/>
  <c r="L10" i="2"/>
  <c r="Q10" i="2" s="1"/>
  <c r="X10" i="2"/>
  <c r="AG10" i="2"/>
  <c r="AO10" i="2"/>
  <c r="AP10" i="2"/>
  <c r="AW10" i="2"/>
  <c r="AX10" i="2"/>
  <c r="AY10" i="2"/>
  <c r="BB10" i="2"/>
  <c r="BC10" i="2"/>
  <c r="BF10" i="2"/>
  <c r="BH10" i="2"/>
  <c r="BI10" i="2"/>
  <c r="BJ10" i="2"/>
  <c r="CM10" i="2"/>
  <c r="CO10" i="2"/>
  <c r="L11" i="2"/>
  <c r="Q11" i="2" s="1"/>
  <c r="X11" i="2"/>
  <c r="AG11" i="2"/>
  <c r="AO11" i="2"/>
  <c r="AP11" i="2"/>
  <c r="AW11" i="2"/>
  <c r="AX11" i="2"/>
  <c r="AZ11" i="2" s="1"/>
  <c r="AY11" i="2"/>
  <c r="BB11" i="2"/>
  <c r="BC11" i="2"/>
  <c r="BF11" i="2"/>
  <c r="BH11" i="2"/>
  <c r="BI11" i="2"/>
  <c r="BJ11" i="2"/>
  <c r="CM11" i="2"/>
  <c r="CO11" i="2"/>
  <c r="CR11" i="2"/>
  <c r="L12" i="2"/>
  <c r="Q12" i="2" s="1"/>
  <c r="X12" i="2"/>
  <c r="AG12" i="2"/>
  <c r="AO12" i="2"/>
  <c r="AP12" i="2"/>
  <c r="AW12" i="2"/>
  <c r="AX12" i="2"/>
  <c r="AY12" i="2"/>
  <c r="BB12" i="2"/>
  <c r="BC12" i="2"/>
  <c r="BF12" i="2"/>
  <c r="BH12" i="2"/>
  <c r="BI12" i="2"/>
  <c r="BJ12" i="2"/>
  <c r="CM12" i="2"/>
  <c r="CO12" i="2"/>
  <c r="L13" i="2"/>
  <c r="Q13" i="2" s="1"/>
  <c r="X13" i="2"/>
  <c r="AG13" i="2"/>
  <c r="AI13" i="2"/>
  <c r="AO13" i="2"/>
  <c r="AP13" i="2"/>
  <c r="AW13" i="2"/>
  <c r="AX13" i="2"/>
  <c r="AY13" i="2"/>
  <c r="BB13" i="2"/>
  <c r="BC13" i="2"/>
  <c r="BF13" i="2"/>
  <c r="BH13" i="2"/>
  <c r="BI13" i="2"/>
  <c r="BJ13" i="2"/>
  <c r="CM13" i="2"/>
  <c r="CO13" i="2"/>
  <c r="L14" i="2"/>
  <c r="Q14" i="2" s="1"/>
  <c r="X14" i="2"/>
  <c r="AG14" i="2"/>
  <c r="AO14" i="2"/>
  <c r="AP14" i="2"/>
  <c r="AW14" i="2"/>
  <c r="AX14" i="2"/>
  <c r="AZ14" i="2" s="1"/>
  <c r="AY14" i="2"/>
  <c r="BB14" i="2"/>
  <c r="BC14" i="2"/>
  <c r="BF14" i="2"/>
  <c r="BH14" i="2"/>
  <c r="BI14" i="2"/>
  <c r="BJ14" i="2"/>
  <c r="CM14" i="2"/>
  <c r="CO14" i="2"/>
  <c r="L15" i="2"/>
  <c r="Q15" i="2" s="1"/>
  <c r="X15" i="2"/>
  <c r="AG15" i="2"/>
  <c r="AO15" i="2"/>
  <c r="AP15" i="2"/>
  <c r="AW15" i="2"/>
  <c r="AX15" i="2"/>
  <c r="AZ15" i="2" s="1"/>
  <c r="AY15" i="2"/>
  <c r="BB15" i="2"/>
  <c r="BC15" i="2"/>
  <c r="BF15" i="2"/>
  <c r="BI15" i="2"/>
  <c r="BH15" i="2"/>
  <c r="BJ15" i="2"/>
  <c r="CM15" i="2"/>
  <c r="CO15" i="2"/>
  <c r="L16" i="2"/>
  <c r="Q16" i="2" s="1"/>
  <c r="X16" i="2"/>
  <c r="AG16" i="2"/>
  <c r="AO16" i="2"/>
  <c r="AP16" i="2"/>
  <c r="AW16" i="2"/>
  <c r="AX16" i="2"/>
  <c r="AY16" i="2"/>
  <c r="BB16" i="2"/>
  <c r="BC16" i="2"/>
  <c r="BF16" i="2"/>
  <c r="BI16" i="2"/>
  <c r="BH16" i="2"/>
  <c r="BJ16" i="2"/>
  <c r="CM16" i="2"/>
  <c r="CO16" i="2"/>
  <c r="L17" i="2"/>
  <c r="Q17" i="2" s="1"/>
  <c r="X17" i="2"/>
  <c r="AG17" i="2"/>
  <c r="AO17" i="2"/>
  <c r="AP17" i="2"/>
  <c r="AW17" i="2"/>
  <c r="AX17" i="2"/>
  <c r="AZ17" i="2" s="1"/>
  <c r="AY17" i="2"/>
  <c r="BB17" i="2"/>
  <c r="BC17" i="2"/>
  <c r="BF17" i="2"/>
  <c r="BI17" i="2"/>
  <c r="BH17" i="2"/>
  <c r="BJ17" i="2"/>
  <c r="CM17" i="2"/>
  <c r="CO17" i="2"/>
  <c r="L18" i="2"/>
  <c r="Q18" i="2" s="1"/>
  <c r="X18" i="2"/>
  <c r="AG18" i="2"/>
  <c r="AO18" i="2"/>
  <c r="AP18" i="2"/>
  <c r="AW18" i="2"/>
  <c r="AX18" i="2"/>
  <c r="AY18" i="2"/>
  <c r="BB18" i="2"/>
  <c r="BC18" i="2"/>
  <c r="BF18" i="2"/>
  <c r="BI18" i="2"/>
  <c r="BH18" i="2"/>
  <c r="BJ18" i="2"/>
  <c r="CM18" i="2"/>
  <c r="CO18" i="2"/>
  <c r="L19" i="2"/>
  <c r="Q19" i="2" s="1"/>
  <c r="X19" i="2"/>
  <c r="AG19" i="2"/>
  <c r="AO19" i="2"/>
  <c r="AP19" i="2"/>
  <c r="AW19" i="2"/>
  <c r="AX19" i="2"/>
  <c r="AZ19" i="2" s="1"/>
  <c r="AY19" i="2"/>
  <c r="BB19" i="2"/>
  <c r="BC19" i="2"/>
  <c r="BF19" i="2"/>
  <c r="BI19" i="2"/>
  <c r="BH19" i="2"/>
  <c r="BJ19" i="2"/>
  <c r="CM19" i="2"/>
  <c r="CO19" i="2"/>
  <c r="L20" i="2"/>
  <c r="Q20" i="2" s="1"/>
  <c r="X20" i="2"/>
  <c r="AG20" i="2"/>
  <c r="AO20" i="2"/>
  <c r="AP20" i="2"/>
  <c r="AW20" i="2"/>
  <c r="AX20" i="2"/>
  <c r="AZ20" i="2" s="1"/>
  <c r="BA20" i="2" s="1"/>
  <c r="BD20" i="2" s="1"/>
  <c r="AY20" i="2"/>
  <c r="BB20" i="2"/>
  <c r="BC20" i="2"/>
  <c r="BF20" i="2"/>
  <c r="BI20" i="2"/>
  <c r="BH20" i="2"/>
  <c r="BJ20" i="2"/>
  <c r="CM20" i="2"/>
  <c r="CO20" i="2"/>
  <c r="L21" i="2"/>
  <c r="Q21" i="2" s="1"/>
  <c r="X21" i="2"/>
  <c r="AG21" i="2"/>
  <c r="AO21" i="2"/>
  <c r="AP21" i="2"/>
  <c r="AW21" i="2"/>
  <c r="AX21" i="2"/>
  <c r="AZ21" i="2" s="1"/>
  <c r="BA21" i="2" s="1"/>
  <c r="BD21" i="2" s="1"/>
  <c r="AY21" i="2"/>
  <c r="BB21" i="2"/>
  <c r="BC21" i="2"/>
  <c r="BF21" i="2"/>
  <c r="BH21" i="2"/>
  <c r="BI21" i="2"/>
  <c r="BJ21" i="2"/>
  <c r="CM21" i="2"/>
  <c r="CO21" i="2"/>
  <c r="L22" i="2"/>
  <c r="Q22" i="2" s="1"/>
  <c r="X22" i="2"/>
  <c r="AG22" i="2"/>
  <c r="AO22" i="2"/>
  <c r="AP22" i="2"/>
  <c r="AW22" i="2"/>
  <c r="AX22" i="2"/>
  <c r="AZ22" i="2" s="1"/>
  <c r="AY22" i="2"/>
  <c r="BI22" i="2"/>
  <c r="BB22" i="2"/>
  <c r="BC22" i="2"/>
  <c r="BF22" i="2"/>
  <c r="BH22" i="2"/>
  <c r="BJ22" i="2"/>
  <c r="CM22" i="2"/>
  <c r="CO22" i="2"/>
  <c r="L23" i="2"/>
  <c r="Q23" i="2" s="1"/>
  <c r="X23" i="2"/>
  <c r="AG23" i="2"/>
  <c r="AO23" i="2"/>
  <c r="AP23" i="2"/>
  <c r="AW23" i="2"/>
  <c r="AX23" i="2"/>
  <c r="AZ23" i="2" s="1"/>
  <c r="AY23" i="2"/>
  <c r="BB23" i="2"/>
  <c r="BC23" i="2"/>
  <c r="BF23" i="2"/>
  <c r="BI23" i="2"/>
  <c r="BH23" i="2"/>
  <c r="BJ23" i="2"/>
  <c r="CM23" i="2"/>
  <c r="CO23" i="2"/>
  <c r="L24" i="2"/>
  <c r="Q24" i="2" s="1"/>
  <c r="X24" i="2"/>
  <c r="AG24" i="2"/>
  <c r="AO24" i="2"/>
  <c r="AP24" i="2"/>
  <c r="AW24" i="2"/>
  <c r="AX24" i="2"/>
  <c r="AY24" i="2"/>
  <c r="BB24" i="2"/>
  <c r="BC24" i="2"/>
  <c r="BF24" i="2"/>
  <c r="BI24" i="2"/>
  <c r="BH24" i="2"/>
  <c r="BJ24" i="2"/>
  <c r="CM24" i="2"/>
  <c r="CO24" i="2"/>
  <c r="L25" i="2"/>
  <c r="Q25" i="2"/>
  <c r="X25" i="2"/>
  <c r="AG25" i="2"/>
  <c r="AO25" i="2"/>
  <c r="AP25" i="2"/>
  <c r="AW25" i="2"/>
  <c r="AX25" i="2"/>
  <c r="AZ25" i="2" s="1"/>
  <c r="AY25" i="2"/>
  <c r="BB25" i="2"/>
  <c r="BC25" i="2"/>
  <c r="BF25" i="2"/>
  <c r="BH25" i="2"/>
  <c r="BI25" i="2"/>
  <c r="BJ25" i="2"/>
  <c r="CM25" i="2"/>
  <c r="CO25" i="2"/>
  <c r="L26" i="2"/>
  <c r="Q26" i="2" s="1"/>
  <c r="X26" i="2"/>
  <c r="AG26" i="2"/>
  <c r="AO26" i="2"/>
  <c r="AP26" i="2"/>
  <c r="AW26" i="2"/>
  <c r="AX26" i="2"/>
  <c r="AY26" i="2"/>
  <c r="BB26" i="2"/>
  <c r="BC26" i="2"/>
  <c r="BF26" i="2"/>
  <c r="BI26" i="2"/>
  <c r="BH26" i="2"/>
  <c r="BJ26" i="2"/>
  <c r="CM26" i="2"/>
  <c r="CO26" i="2"/>
  <c r="L27" i="2"/>
  <c r="Q27" i="2" s="1"/>
  <c r="X27" i="2"/>
  <c r="AG27" i="2"/>
  <c r="AO27" i="2"/>
  <c r="AP27" i="2"/>
  <c r="AW27" i="2"/>
  <c r="AX27" i="2"/>
  <c r="AZ27" i="2" s="1"/>
  <c r="AY27" i="2"/>
  <c r="BB27" i="2"/>
  <c r="BC27" i="2"/>
  <c r="BF27" i="2"/>
  <c r="BI27" i="2"/>
  <c r="BH27" i="2"/>
  <c r="BJ27" i="2"/>
  <c r="CM27" i="2"/>
  <c r="CO27" i="2"/>
  <c r="L28" i="2"/>
  <c r="Q28" i="2" s="1"/>
  <c r="X28" i="2"/>
  <c r="AG28" i="2"/>
  <c r="AO28" i="2"/>
  <c r="AP28" i="2"/>
  <c r="AW28" i="2"/>
  <c r="AX28" i="2"/>
  <c r="AZ28" i="2" s="1"/>
  <c r="AY28" i="2"/>
  <c r="BB28" i="2"/>
  <c r="BC28" i="2"/>
  <c r="BF28" i="2"/>
  <c r="BI28" i="2"/>
  <c r="BH28" i="2"/>
  <c r="BJ28" i="2"/>
  <c r="CM28" i="2"/>
  <c r="CO28" i="2"/>
  <c r="L29" i="2"/>
  <c r="Q29" i="2" s="1"/>
  <c r="X29" i="2"/>
  <c r="AG29" i="2"/>
  <c r="AO29" i="2"/>
  <c r="AP29" i="2"/>
  <c r="AW29" i="2"/>
  <c r="AX29" i="2"/>
  <c r="AZ29" i="2" s="1"/>
  <c r="AY29" i="2"/>
  <c r="BB29" i="2"/>
  <c r="BC29" i="2"/>
  <c r="BF29" i="2"/>
  <c r="BI29" i="2"/>
  <c r="BH29" i="2"/>
  <c r="BJ29" i="2"/>
  <c r="CM29" i="2"/>
  <c r="CO29" i="2"/>
  <c r="L30" i="2"/>
  <c r="Q30" i="2" s="1"/>
  <c r="X30" i="2"/>
  <c r="AG30" i="2"/>
  <c r="AO30" i="2"/>
  <c r="AP30" i="2"/>
  <c r="AW30" i="2"/>
  <c r="AX30" i="2"/>
  <c r="AZ30" i="2" s="1"/>
  <c r="AY30" i="2"/>
  <c r="BB30" i="2"/>
  <c r="BC30" i="2"/>
  <c r="BF30" i="2"/>
  <c r="BI30" i="2"/>
  <c r="BG30" i="2"/>
  <c r="BH30" i="2"/>
  <c r="BJ30" i="2"/>
  <c r="CM30" i="2"/>
  <c r="CO30" i="2"/>
  <c r="L31" i="2"/>
  <c r="Q31" i="2" s="1"/>
  <c r="X31" i="2"/>
  <c r="AG31" i="2"/>
  <c r="AO31" i="2"/>
  <c r="AP31" i="2"/>
  <c r="AW31" i="2"/>
  <c r="AX31" i="2"/>
  <c r="AY31" i="2"/>
  <c r="AZ31" i="2"/>
  <c r="BB31" i="2"/>
  <c r="BC31" i="2"/>
  <c r="BF31" i="2"/>
  <c r="BH31" i="2"/>
  <c r="BI31" i="2"/>
  <c r="BJ31" i="2"/>
  <c r="CM31" i="2"/>
  <c r="CO31" i="2"/>
  <c r="L32" i="2"/>
  <c r="Q32" i="2" s="1"/>
  <c r="X32" i="2"/>
  <c r="AG32" i="2"/>
  <c r="AO32" i="2"/>
  <c r="AP32" i="2"/>
  <c r="AW32" i="2"/>
  <c r="AX32" i="2"/>
  <c r="AZ32" i="2" s="1"/>
  <c r="AY32" i="2"/>
  <c r="BB32" i="2"/>
  <c r="BC32" i="2"/>
  <c r="BF32" i="2"/>
  <c r="BH32" i="2"/>
  <c r="BI32" i="2"/>
  <c r="BJ32" i="2"/>
  <c r="CM32" i="2"/>
  <c r="CO32" i="2"/>
  <c r="L33" i="2"/>
  <c r="Q33" i="2" s="1"/>
  <c r="X33" i="2"/>
  <c r="AG33" i="2"/>
  <c r="AO33" i="2"/>
  <c r="AP33" i="2"/>
  <c r="AW33" i="2"/>
  <c r="AX33" i="2"/>
  <c r="AZ33" i="2" s="1"/>
  <c r="AY33" i="2"/>
  <c r="BB33" i="2"/>
  <c r="BC33" i="2"/>
  <c r="BF33" i="2"/>
  <c r="BH33" i="2"/>
  <c r="BI33" i="2"/>
  <c r="BJ33" i="2"/>
  <c r="CM33" i="2"/>
  <c r="CO33" i="2"/>
  <c r="L34" i="2"/>
  <c r="Q34" i="2" s="1"/>
  <c r="X34" i="2"/>
  <c r="AG34" i="2"/>
  <c r="AO34" i="2"/>
  <c r="AP34" i="2"/>
  <c r="AW34" i="2"/>
  <c r="AX34" i="2"/>
  <c r="AY34" i="2"/>
  <c r="BB34" i="2"/>
  <c r="BC34" i="2"/>
  <c r="BF34" i="2"/>
  <c r="BH34" i="2"/>
  <c r="BI34" i="2"/>
  <c r="BJ34" i="2"/>
  <c r="CM34" i="2"/>
  <c r="CO34" i="2"/>
  <c r="L35" i="2"/>
  <c r="Q35" i="2" s="1"/>
  <c r="X35" i="2"/>
  <c r="AG35" i="2"/>
  <c r="AO35" i="2"/>
  <c r="AP35" i="2"/>
  <c r="AW35" i="2"/>
  <c r="AX35" i="2"/>
  <c r="AZ35" i="2" s="1"/>
  <c r="AY35" i="2"/>
  <c r="BB35" i="2"/>
  <c r="BC35" i="2"/>
  <c r="BF35" i="2"/>
  <c r="BH35" i="2"/>
  <c r="BI35" i="2"/>
  <c r="BJ35" i="2"/>
  <c r="CM35" i="2"/>
  <c r="CO35" i="2"/>
  <c r="L36" i="2"/>
  <c r="Q36" i="2" s="1"/>
  <c r="X36" i="2"/>
  <c r="AG36" i="2"/>
  <c r="AO36" i="2"/>
  <c r="AP36" i="2"/>
  <c r="AW36" i="2"/>
  <c r="AX36" i="2"/>
  <c r="AZ36" i="2" s="1"/>
  <c r="AY36" i="2"/>
  <c r="BB36" i="2"/>
  <c r="BC36" i="2"/>
  <c r="BF36" i="2"/>
  <c r="BH36" i="2"/>
  <c r="BI36" i="2"/>
  <c r="BJ36" i="2"/>
  <c r="CM36" i="2"/>
  <c r="CO36" i="2"/>
  <c r="L37" i="2"/>
  <c r="Q37" i="2" s="1"/>
  <c r="X37" i="2"/>
  <c r="AG37" i="2"/>
  <c r="AO37" i="2"/>
  <c r="AP37" i="2"/>
  <c r="AW37" i="2"/>
  <c r="AX37" i="2"/>
  <c r="AZ37" i="2" s="1"/>
  <c r="AY37" i="2"/>
  <c r="BB37" i="2"/>
  <c r="BC37" i="2"/>
  <c r="BF37" i="2"/>
  <c r="BH37" i="2"/>
  <c r="BI37" i="2"/>
  <c r="BJ37" i="2"/>
  <c r="CM37" i="2"/>
  <c r="CO37" i="2"/>
  <c r="L38" i="2"/>
  <c r="Q38" i="2" s="1"/>
  <c r="X38" i="2"/>
  <c r="AG38" i="2"/>
  <c r="AO38" i="2"/>
  <c r="AP38" i="2"/>
  <c r="AW38" i="2"/>
  <c r="AX38" i="2"/>
  <c r="AZ38" i="2" s="1"/>
  <c r="AY38" i="2"/>
  <c r="BB38" i="2"/>
  <c r="BC38" i="2"/>
  <c r="BF38" i="2"/>
  <c r="BH38" i="2"/>
  <c r="BI38" i="2"/>
  <c r="BJ38" i="2"/>
  <c r="CM38" i="2"/>
  <c r="CO38" i="2"/>
  <c r="L39" i="2"/>
  <c r="Q39" i="2"/>
  <c r="X39" i="2"/>
  <c r="AG39" i="2"/>
  <c r="AO39" i="2"/>
  <c r="AP39" i="2"/>
  <c r="AW39" i="2"/>
  <c r="AX39" i="2"/>
  <c r="AY39" i="2"/>
  <c r="AZ39" i="2" s="1"/>
  <c r="BB39" i="2"/>
  <c r="BC39" i="2"/>
  <c r="BF39" i="2"/>
  <c r="BH39" i="2"/>
  <c r="BI39" i="2"/>
  <c r="BJ39" i="2"/>
  <c r="CM39" i="2"/>
  <c r="CO39" i="2"/>
  <c r="L40" i="2"/>
  <c r="Q40" i="2" s="1"/>
  <c r="X40" i="2"/>
  <c r="AG40" i="2"/>
  <c r="AO40" i="2"/>
  <c r="AP40" i="2"/>
  <c r="AW40" i="2"/>
  <c r="AX40" i="2"/>
  <c r="AY40" i="2"/>
  <c r="BB40" i="2"/>
  <c r="BC40" i="2"/>
  <c r="BF40" i="2"/>
  <c r="BH40" i="2"/>
  <c r="BI40" i="2"/>
  <c r="BJ40" i="2"/>
  <c r="CM40" i="2"/>
  <c r="CO40" i="2"/>
  <c r="L41" i="2"/>
  <c r="Q41" i="2" s="1"/>
  <c r="X41" i="2"/>
  <c r="AG41" i="2"/>
  <c r="AO41" i="2"/>
  <c r="AP41" i="2"/>
  <c r="AW41" i="2"/>
  <c r="AX41" i="2"/>
  <c r="AY41" i="2"/>
  <c r="BB41" i="2"/>
  <c r="BC41" i="2"/>
  <c r="BF41" i="2"/>
  <c r="BH41" i="2"/>
  <c r="BI41" i="2"/>
  <c r="BG41" i="2" s="1"/>
  <c r="BJ41" i="2"/>
  <c r="CM41" i="2"/>
  <c r="CO41" i="2"/>
  <c r="L42" i="2"/>
  <c r="Q42" i="2" s="1"/>
  <c r="X42" i="2"/>
  <c r="AG42" i="2"/>
  <c r="AO42" i="2"/>
  <c r="AP42" i="2"/>
  <c r="AW42" i="2"/>
  <c r="AX42" i="2"/>
  <c r="AY42" i="2"/>
  <c r="AZ42" i="2" s="1"/>
  <c r="BB42" i="2"/>
  <c r="BC42" i="2"/>
  <c r="BF42" i="2"/>
  <c r="BH42" i="2"/>
  <c r="BI42" i="2"/>
  <c r="BJ42" i="2"/>
  <c r="CM42" i="2"/>
  <c r="CO42" i="2"/>
  <c r="L43" i="2"/>
  <c r="Q43" i="2" s="1"/>
  <c r="X43" i="2"/>
  <c r="AG43" i="2"/>
  <c r="AO43" i="2"/>
  <c r="AP43" i="2"/>
  <c r="AW43" i="2"/>
  <c r="AX43" i="2"/>
  <c r="AZ43" i="2" s="1"/>
  <c r="AY43" i="2"/>
  <c r="BB43" i="2"/>
  <c r="BC43" i="2"/>
  <c r="BF43" i="2"/>
  <c r="BH43" i="2"/>
  <c r="BI43" i="2"/>
  <c r="BJ43" i="2"/>
  <c r="CM43" i="2"/>
  <c r="CO43" i="2"/>
  <c r="L44" i="2"/>
  <c r="Q44" i="2" s="1"/>
  <c r="X44" i="2"/>
  <c r="AG44" i="2"/>
  <c r="AO44" i="2"/>
  <c r="AP44" i="2"/>
  <c r="AW44" i="2"/>
  <c r="AX44" i="2"/>
  <c r="AY44" i="2"/>
  <c r="AZ44" i="2"/>
  <c r="BB44" i="2"/>
  <c r="BC44" i="2"/>
  <c r="BF44" i="2"/>
  <c r="BH44" i="2"/>
  <c r="BI44" i="2"/>
  <c r="BJ44" i="2"/>
  <c r="CM44" i="2"/>
  <c r="CO44" i="2"/>
  <c r="L45" i="2"/>
  <c r="Q45" i="2" s="1"/>
  <c r="X45" i="2"/>
  <c r="AG45" i="2"/>
  <c r="AO45" i="2"/>
  <c r="AP45" i="2"/>
  <c r="AW45" i="2"/>
  <c r="AX45" i="2"/>
  <c r="AY45" i="2"/>
  <c r="BB45" i="2"/>
  <c r="BC45" i="2"/>
  <c r="BF45" i="2"/>
  <c r="BH45" i="2"/>
  <c r="BI45" i="2"/>
  <c r="BJ45" i="2"/>
  <c r="CM45" i="2"/>
  <c r="CO45" i="2"/>
  <c r="L46" i="2"/>
  <c r="Q46" i="2"/>
  <c r="X46" i="2"/>
  <c r="AG46" i="2"/>
  <c r="AO46" i="2"/>
  <c r="AP46" i="2"/>
  <c r="AW46" i="2"/>
  <c r="AX46" i="2"/>
  <c r="AY46" i="2"/>
  <c r="BB46" i="2"/>
  <c r="BC46" i="2"/>
  <c r="BF46" i="2"/>
  <c r="BH46" i="2"/>
  <c r="BI46" i="2"/>
  <c r="BJ46" i="2"/>
  <c r="CM46" i="2"/>
  <c r="CO46" i="2"/>
  <c r="L47" i="2"/>
  <c r="Q47" i="2" s="1"/>
  <c r="X47" i="2"/>
  <c r="AG47" i="2"/>
  <c r="AO47" i="2"/>
  <c r="AP47" i="2"/>
  <c r="AW47" i="2"/>
  <c r="AX47" i="2"/>
  <c r="AY47" i="2"/>
  <c r="BB47" i="2"/>
  <c r="BC47" i="2"/>
  <c r="BF47" i="2"/>
  <c r="BH47" i="2"/>
  <c r="BI47" i="2"/>
  <c r="BJ47" i="2"/>
  <c r="CM47" i="2"/>
  <c r="CO47" i="2"/>
  <c r="L48" i="2"/>
  <c r="Q48" i="2"/>
  <c r="X48" i="2"/>
  <c r="AG48" i="2"/>
  <c r="AO48" i="2"/>
  <c r="AP48" i="2"/>
  <c r="AW48" i="2"/>
  <c r="AX48" i="2"/>
  <c r="AY48" i="2"/>
  <c r="BB48" i="2"/>
  <c r="BC48" i="2"/>
  <c r="BF48" i="2"/>
  <c r="BH48" i="2"/>
  <c r="BI48" i="2"/>
  <c r="BJ48" i="2"/>
  <c r="CM48" i="2"/>
  <c r="CO48" i="2"/>
  <c r="L49" i="2"/>
  <c r="Q49" i="2" s="1"/>
  <c r="X49" i="2"/>
  <c r="AG49" i="2"/>
  <c r="AO49" i="2"/>
  <c r="AP49" i="2"/>
  <c r="AW49" i="2"/>
  <c r="AX49" i="2"/>
  <c r="AY49" i="2"/>
  <c r="BB49" i="2"/>
  <c r="BC49" i="2"/>
  <c r="BF49" i="2"/>
  <c r="BH49" i="2"/>
  <c r="BI49" i="2"/>
  <c r="BJ49" i="2"/>
  <c r="CM49" i="2"/>
  <c r="CO49" i="2"/>
  <c r="L50" i="2"/>
  <c r="Q50" i="2" s="1"/>
  <c r="X50" i="2"/>
  <c r="AG50" i="2"/>
  <c r="AO50" i="2"/>
  <c r="AP50" i="2"/>
  <c r="AW50" i="2"/>
  <c r="AX50" i="2"/>
  <c r="AY50" i="2"/>
  <c r="BB50" i="2"/>
  <c r="BC50" i="2"/>
  <c r="BF50" i="2"/>
  <c r="BH50" i="2"/>
  <c r="BI50" i="2"/>
  <c r="BJ50" i="2"/>
  <c r="CM50" i="2"/>
  <c r="CO50" i="2"/>
  <c r="L51" i="2"/>
  <c r="Q51" i="2" s="1"/>
  <c r="X51" i="2"/>
  <c r="AG51" i="2"/>
  <c r="AO51" i="2"/>
  <c r="AP51" i="2"/>
  <c r="AW51" i="2"/>
  <c r="AX51" i="2"/>
  <c r="AY51" i="2"/>
  <c r="BB51" i="2"/>
  <c r="BC51" i="2"/>
  <c r="BF51" i="2"/>
  <c r="BH51" i="2"/>
  <c r="BI51" i="2"/>
  <c r="BJ51" i="2"/>
  <c r="CM51" i="2"/>
  <c r="CO51" i="2"/>
  <c r="L52" i="2"/>
  <c r="Q52" i="2" s="1"/>
  <c r="X52" i="2"/>
  <c r="AG52" i="2"/>
  <c r="AO52" i="2"/>
  <c r="AP52" i="2"/>
  <c r="AW52" i="2"/>
  <c r="AX52" i="2"/>
  <c r="AY52" i="2"/>
  <c r="AZ52" i="2"/>
  <c r="BB52" i="2"/>
  <c r="BC52" i="2"/>
  <c r="BF52" i="2"/>
  <c r="BH52" i="2"/>
  <c r="BI52" i="2"/>
  <c r="BJ52" i="2"/>
  <c r="CM52" i="2"/>
  <c r="CO52" i="2"/>
  <c r="L53" i="2"/>
  <c r="Q53" i="2" s="1"/>
  <c r="X53" i="2"/>
  <c r="AG53" i="2"/>
  <c r="AO53" i="2"/>
  <c r="AP53" i="2"/>
  <c r="AW53" i="2"/>
  <c r="AX53" i="2"/>
  <c r="AY53" i="2"/>
  <c r="BB53" i="2"/>
  <c r="BC53" i="2"/>
  <c r="BF53" i="2"/>
  <c r="BH53" i="2"/>
  <c r="BI53" i="2"/>
  <c r="BJ53" i="2"/>
  <c r="CM53" i="2"/>
  <c r="CO53" i="2"/>
  <c r="L54" i="2"/>
  <c r="Q54" i="2"/>
  <c r="X54" i="2"/>
  <c r="AG54" i="2"/>
  <c r="AO54" i="2"/>
  <c r="AP54" i="2"/>
  <c r="AW54" i="2"/>
  <c r="AX54" i="2"/>
  <c r="AZ54" i="2" s="1"/>
  <c r="AY54" i="2"/>
  <c r="BB54" i="2"/>
  <c r="BC54" i="2"/>
  <c r="BF54" i="2"/>
  <c r="BH54" i="2"/>
  <c r="BI54" i="2"/>
  <c r="BJ54" i="2"/>
  <c r="CM54" i="2"/>
  <c r="CO54" i="2"/>
  <c r="L55" i="2"/>
  <c r="Q55" i="2" s="1"/>
  <c r="X55" i="2"/>
  <c r="AG55" i="2"/>
  <c r="AO55" i="2"/>
  <c r="AP55" i="2"/>
  <c r="AW55" i="2"/>
  <c r="AX55" i="2"/>
  <c r="AY55" i="2"/>
  <c r="BB55" i="2"/>
  <c r="BC55" i="2"/>
  <c r="BF55" i="2"/>
  <c r="BG55" i="2" s="1"/>
  <c r="BH55" i="2"/>
  <c r="BI55" i="2"/>
  <c r="BJ55" i="2"/>
  <c r="CM55" i="2"/>
  <c r="CO55" i="2"/>
  <c r="L56" i="2"/>
  <c r="Q56" i="2" s="1"/>
  <c r="X56" i="2"/>
  <c r="AG56" i="2"/>
  <c r="AO56" i="2"/>
  <c r="AP56" i="2"/>
  <c r="AW56" i="2"/>
  <c r="AX56" i="2"/>
  <c r="AY56" i="2"/>
  <c r="BB56" i="2"/>
  <c r="BC56" i="2"/>
  <c r="BF56" i="2"/>
  <c r="BH56" i="2"/>
  <c r="BI56" i="2"/>
  <c r="BJ56" i="2"/>
  <c r="CM56" i="2"/>
  <c r="CO56" i="2"/>
  <c r="L57" i="2"/>
  <c r="Q57" i="2" s="1"/>
  <c r="X57" i="2"/>
  <c r="AG57" i="2"/>
  <c r="AO57" i="2"/>
  <c r="AP57" i="2"/>
  <c r="AW57" i="2"/>
  <c r="AX57" i="2"/>
  <c r="AZ57" i="2" s="1"/>
  <c r="AY57" i="2"/>
  <c r="BB57" i="2"/>
  <c r="BC57" i="2"/>
  <c r="BF57" i="2"/>
  <c r="BH57" i="2"/>
  <c r="BI57" i="2"/>
  <c r="BJ57" i="2"/>
  <c r="CM57" i="2"/>
  <c r="CO57" i="2"/>
  <c r="L58" i="2"/>
  <c r="Q58" i="2" s="1"/>
  <c r="X58" i="2"/>
  <c r="AG58" i="2"/>
  <c r="AO58" i="2"/>
  <c r="AP58" i="2"/>
  <c r="AW58" i="2"/>
  <c r="AX58" i="2"/>
  <c r="AY58" i="2"/>
  <c r="BB58" i="2"/>
  <c r="BC58" i="2"/>
  <c r="BF58" i="2"/>
  <c r="BH58" i="2"/>
  <c r="BI58" i="2"/>
  <c r="BG58" i="2" s="1"/>
  <c r="BJ58" i="2"/>
  <c r="CM58" i="2"/>
  <c r="CO58" i="2"/>
  <c r="L59" i="2"/>
  <c r="Q59" i="2" s="1"/>
  <c r="X59" i="2"/>
  <c r="AG59" i="2"/>
  <c r="AO59" i="2"/>
  <c r="AP59" i="2"/>
  <c r="AW59" i="2"/>
  <c r="AX59" i="2"/>
  <c r="AY59" i="2"/>
  <c r="BB59" i="2"/>
  <c r="BC59" i="2"/>
  <c r="BF59" i="2"/>
  <c r="BH59" i="2"/>
  <c r="BI59" i="2"/>
  <c r="BJ59" i="2"/>
  <c r="CM59" i="2"/>
  <c r="CO59" i="2"/>
  <c r="L60" i="2"/>
  <c r="Q60" i="2" s="1"/>
  <c r="X60" i="2"/>
  <c r="AG60" i="2"/>
  <c r="AO60" i="2"/>
  <c r="AP60" i="2"/>
  <c r="AW60" i="2"/>
  <c r="AX60" i="2"/>
  <c r="AY60" i="2"/>
  <c r="AZ60" i="2" s="1"/>
  <c r="BB60" i="2"/>
  <c r="BC60" i="2"/>
  <c r="BF60" i="2"/>
  <c r="BH60" i="2"/>
  <c r="BI60" i="2"/>
  <c r="BJ60" i="2"/>
  <c r="CM60" i="2"/>
  <c r="CO60" i="2"/>
  <c r="L61" i="2"/>
  <c r="Q61" i="2" s="1"/>
  <c r="X61" i="2"/>
  <c r="AG61" i="2"/>
  <c r="AO61" i="2"/>
  <c r="AP61" i="2"/>
  <c r="AW61" i="2"/>
  <c r="AX61" i="2"/>
  <c r="AY61" i="2"/>
  <c r="AZ61" i="2" s="1"/>
  <c r="BB61" i="2"/>
  <c r="BC61" i="2"/>
  <c r="BF61" i="2"/>
  <c r="BH61" i="2"/>
  <c r="BI61" i="2"/>
  <c r="BJ61" i="2"/>
  <c r="CM61" i="2"/>
  <c r="CO61" i="2"/>
  <c r="L62" i="2"/>
  <c r="Q62" i="2" s="1"/>
  <c r="X62" i="2"/>
  <c r="AG62" i="2"/>
  <c r="AO62" i="2"/>
  <c r="AP62" i="2"/>
  <c r="AW62" i="2"/>
  <c r="AX62" i="2"/>
  <c r="AY62" i="2"/>
  <c r="AZ62" i="2"/>
  <c r="BB62" i="2"/>
  <c r="BC62" i="2"/>
  <c r="BF62" i="2"/>
  <c r="BH62" i="2"/>
  <c r="BI62" i="2"/>
  <c r="BJ62" i="2"/>
  <c r="CM62" i="2"/>
  <c r="CO62" i="2"/>
  <c r="L63" i="2"/>
  <c r="Q63" i="2" s="1"/>
  <c r="X63" i="2"/>
  <c r="AG63" i="2"/>
  <c r="AO63" i="2"/>
  <c r="AP63" i="2"/>
  <c r="AW63" i="2"/>
  <c r="AX63" i="2"/>
  <c r="AY63" i="2"/>
  <c r="BB63" i="2"/>
  <c r="BC63" i="2"/>
  <c r="BF63" i="2"/>
  <c r="BH63" i="2"/>
  <c r="BI63" i="2"/>
  <c r="BJ63" i="2"/>
  <c r="CM63" i="2"/>
  <c r="CO63" i="2"/>
  <c r="L64" i="2"/>
  <c r="Q64" i="2" s="1"/>
  <c r="X64" i="2"/>
  <c r="AG64" i="2"/>
  <c r="AO64" i="2"/>
  <c r="AP64" i="2"/>
  <c r="AW64" i="2"/>
  <c r="AX64" i="2"/>
  <c r="AY64" i="2"/>
  <c r="AZ64" i="2" s="1"/>
  <c r="BB64" i="2"/>
  <c r="BC64" i="2"/>
  <c r="BF64" i="2"/>
  <c r="BH64" i="2"/>
  <c r="BI64" i="2"/>
  <c r="BJ64" i="2"/>
  <c r="CM64" i="2"/>
  <c r="CO64" i="2"/>
  <c r="L65" i="2"/>
  <c r="Q65" i="2" s="1"/>
  <c r="X65" i="2"/>
  <c r="AG65" i="2"/>
  <c r="AO65" i="2"/>
  <c r="AP65" i="2"/>
  <c r="AW65" i="2"/>
  <c r="AX65" i="2"/>
  <c r="AZ65" i="2" s="1"/>
  <c r="AY65" i="2"/>
  <c r="BB65" i="2"/>
  <c r="BC65" i="2"/>
  <c r="BF65" i="2"/>
  <c r="BH65" i="2"/>
  <c r="BI65" i="2"/>
  <c r="BJ65" i="2"/>
  <c r="CM65" i="2"/>
  <c r="CO65" i="2"/>
  <c r="L66" i="2"/>
  <c r="Q66" i="2"/>
  <c r="X66" i="2"/>
  <c r="AK66" i="2" s="1"/>
  <c r="AG66" i="2"/>
  <c r="AO66" i="2"/>
  <c r="AP66" i="2"/>
  <c r="AW66" i="2"/>
  <c r="AX66" i="2"/>
  <c r="AZ66" i="2" s="1"/>
  <c r="AY66" i="2"/>
  <c r="BB66" i="2"/>
  <c r="BC66" i="2"/>
  <c r="BF66" i="2"/>
  <c r="BH66" i="2"/>
  <c r="BI66" i="2"/>
  <c r="BJ66" i="2"/>
  <c r="CM66" i="2"/>
  <c r="CO66" i="2"/>
  <c r="L67" i="2"/>
  <c r="Q67" i="2"/>
  <c r="X67" i="2"/>
  <c r="AG67" i="2"/>
  <c r="AO67" i="2"/>
  <c r="AP67" i="2"/>
  <c r="AW67" i="2"/>
  <c r="AX67" i="2"/>
  <c r="AY67" i="2"/>
  <c r="BB67" i="2"/>
  <c r="BC67" i="2"/>
  <c r="BF67" i="2"/>
  <c r="BH67" i="2"/>
  <c r="BI67" i="2"/>
  <c r="BJ67" i="2"/>
  <c r="CM67" i="2"/>
  <c r="CO67" i="2"/>
  <c r="L68" i="2"/>
  <c r="Q68" i="2" s="1"/>
  <c r="X68" i="2"/>
  <c r="AG68" i="2"/>
  <c r="AO68" i="2"/>
  <c r="AP68" i="2"/>
  <c r="AW68" i="2"/>
  <c r="AX68" i="2"/>
  <c r="AZ68" i="2" s="1"/>
  <c r="AY68" i="2"/>
  <c r="BB68" i="2"/>
  <c r="BC68" i="2"/>
  <c r="BF68" i="2"/>
  <c r="BH68" i="2"/>
  <c r="BI68" i="2"/>
  <c r="BJ68" i="2"/>
  <c r="CM68" i="2"/>
  <c r="CO68" i="2"/>
  <c r="L69" i="2"/>
  <c r="Q69" i="2"/>
  <c r="X69" i="2"/>
  <c r="AG69" i="2"/>
  <c r="AO69" i="2"/>
  <c r="AP69" i="2"/>
  <c r="AW69" i="2"/>
  <c r="AX69" i="2"/>
  <c r="AY69" i="2"/>
  <c r="BB69" i="2"/>
  <c r="BC69" i="2"/>
  <c r="BF69" i="2"/>
  <c r="BH69" i="2"/>
  <c r="BI69" i="2"/>
  <c r="BJ69" i="2"/>
  <c r="CM69" i="2"/>
  <c r="CO69" i="2"/>
  <c r="L70" i="2"/>
  <c r="Q70" i="2" s="1"/>
  <c r="X70" i="2"/>
  <c r="AG70" i="2"/>
  <c r="AO70" i="2"/>
  <c r="AP70" i="2"/>
  <c r="AW70" i="2"/>
  <c r="AX70" i="2"/>
  <c r="AY70" i="2"/>
  <c r="AZ70" i="2"/>
  <c r="BB70" i="2"/>
  <c r="BC70" i="2"/>
  <c r="BF70" i="2"/>
  <c r="BH70" i="2"/>
  <c r="BI70" i="2"/>
  <c r="BJ70" i="2"/>
  <c r="CM70" i="2"/>
  <c r="CO70" i="2"/>
  <c r="L71" i="2"/>
  <c r="Q71" i="2" s="1"/>
  <c r="X71" i="2"/>
  <c r="AG71" i="2"/>
  <c r="AO71" i="2"/>
  <c r="AP71" i="2"/>
  <c r="AW71" i="2"/>
  <c r="AX71" i="2"/>
  <c r="AY71" i="2"/>
  <c r="BB71" i="2"/>
  <c r="BC71" i="2"/>
  <c r="BF71" i="2"/>
  <c r="BH71" i="2"/>
  <c r="BI71" i="2"/>
  <c r="BJ71" i="2"/>
  <c r="CM71" i="2"/>
  <c r="CO71" i="2"/>
  <c r="L72" i="2"/>
  <c r="Q72" i="2" s="1"/>
  <c r="X72" i="2"/>
  <c r="AG72" i="2"/>
  <c r="AO72" i="2"/>
  <c r="AP72" i="2"/>
  <c r="AW72" i="2"/>
  <c r="AX72" i="2"/>
  <c r="AY72" i="2"/>
  <c r="BB72" i="2"/>
  <c r="BC72" i="2"/>
  <c r="BF72" i="2"/>
  <c r="BH72" i="2"/>
  <c r="BI72" i="2"/>
  <c r="BJ72" i="2"/>
  <c r="CM72" i="2"/>
  <c r="CO72" i="2"/>
  <c r="L73" i="2"/>
  <c r="Q73" i="2" s="1"/>
  <c r="X73" i="2"/>
  <c r="AG73" i="2"/>
  <c r="AO73" i="2"/>
  <c r="AP73" i="2"/>
  <c r="AW73" i="2"/>
  <c r="AX73" i="2"/>
  <c r="AY73" i="2"/>
  <c r="BB73" i="2"/>
  <c r="BC73" i="2"/>
  <c r="BF73" i="2"/>
  <c r="BH73" i="2"/>
  <c r="BI73" i="2"/>
  <c r="BJ73" i="2"/>
  <c r="CM73" i="2"/>
  <c r="CO73" i="2"/>
  <c r="L74" i="2"/>
  <c r="Q74" i="2" s="1"/>
  <c r="X74" i="2"/>
  <c r="AG74" i="2"/>
  <c r="AO74" i="2"/>
  <c r="AP74" i="2"/>
  <c r="AW74" i="2"/>
  <c r="AX74" i="2"/>
  <c r="AY74" i="2"/>
  <c r="BB74" i="2"/>
  <c r="BC74" i="2"/>
  <c r="BF74" i="2"/>
  <c r="BH74" i="2"/>
  <c r="BI74" i="2"/>
  <c r="BJ74" i="2"/>
  <c r="CM74" i="2"/>
  <c r="CO74" i="2"/>
  <c r="L75" i="2"/>
  <c r="Q75" i="2" s="1"/>
  <c r="X75" i="2"/>
  <c r="AG75" i="2"/>
  <c r="AO75" i="2"/>
  <c r="AP75" i="2"/>
  <c r="AW75" i="2"/>
  <c r="AX75" i="2"/>
  <c r="AY75" i="2"/>
  <c r="BB75" i="2"/>
  <c r="BC75" i="2"/>
  <c r="BF75" i="2"/>
  <c r="BH75" i="2"/>
  <c r="BI75" i="2"/>
  <c r="BJ75" i="2"/>
  <c r="CM75" i="2"/>
  <c r="CO75" i="2"/>
  <c r="L76" i="2"/>
  <c r="Q76" i="2" s="1"/>
  <c r="X76" i="2"/>
  <c r="AG76" i="2"/>
  <c r="AO76" i="2"/>
  <c r="AP76" i="2"/>
  <c r="AW76" i="2"/>
  <c r="AX76" i="2"/>
  <c r="AZ76" i="2" s="1"/>
  <c r="AY76" i="2"/>
  <c r="BB76" i="2"/>
  <c r="BC76" i="2"/>
  <c r="BF76" i="2"/>
  <c r="BH76" i="2"/>
  <c r="BI76" i="2"/>
  <c r="BJ76" i="2"/>
  <c r="CM76" i="2"/>
  <c r="CO76" i="2"/>
  <c r="L77" i="2"/>
  <c r="Q77" i="2"/>
  <c r="X77" i="2"/>
  <c r="AG77" i="2"/>
  <c r="AO77" i="2"/>
  <c r="AP77" i="2"/>
  <c r="AW77" i="2"/>
  <c r="AX77" i="2"/>
  <c r="AY77" i="2"/>
  <c r="AZ77" i="2"/>
  <c r="BA77" i="2"/>
  <c r="BB77" i="2"/>
  <c r="BC77" i="2"/>
  <c r="BF77" i="2"/>
  <c r="BH77" i="2"/>
  <c r="BI77" i="2"/>
  <c r="BJ77" i="2"/>
  <c r="CM77" i="2"/>
  <c r="CO77" i="2"/>
  <c r="L78" i="2"/>
  <c r="Q78" i="2"/>
  <c r="X78" i="2"/>
  <c r="AG78" i="2"/>
  <c r="AO78" i="2"/>
  <c r="AP78" i="2"/>
  <c r="AW78" i="2"/>
  <c r="AX78" i="2"/>
  <c r="AY78" i="2"/>
  <c r="BB78" i="2"/>
  <c r="BC78" i="2"/>
  <c r="BF78" i="2"/>
  <c r="BH78" i="2"/>
  <c r="BI78" i="2"/>
  <c r="BJ78" i="2"/>
  <c r="CM78" i="2"/>
  <c r="CO78" i="2"/>
  <c r="L79" i="2"/>
  <c r="Q79" i="2" s="1"/>
  <c r="X79" i="2"/>
  <c r="AG79" i="2"/>
  <c r="AO79" i="2"/>
  <c r="AP79" i="2"/>
  <c r="AW79" i="2"/>
  <c r="AX79" i="2"/>
  <c r="AY79" i="2"/>
  <c r="BB79" i="2"/>
  <c r="BC79" i="2"/>
  <c r="BF79" i="2"/>
  <c r="BH79" i="2"/>
  <c r="BI79" i="2"/>
  <c r="BJ79" i="2"/>
  <c r="CM79" i="2"/>
  <c r="CO79" i="2"/>
  <c r="L80" i="2"/>
  <c r="Q80" i="2" s="1"/>
  <c r="X80" i="2"/>
  <c r="AG80" i="2"/>
  <c r="AO80" i="2"/>
  <c r="AP80" i="2"/>
  <c r="AW80" i="2"/>
  <c r="AX80" i="2"/>
  <c r="AY80" i="2"/>
  <c r="BB80" i="2"/>
  <c r="BC80" i="2"/>
  <c r="BF80" i="2"/>
  <c r="BH80" i="2"/>
  <c r="BI80" i="2"/>
  <c r="BJ80" i="2"/>
  <c r="CM80" i="2"/>
  <c r="CO80" i="2"/>
  <c r="L81" i="2"/>
  <c r="Q81" i="2" s="1"/>
  <c r="X81" i="2"/>
  <c r="AG81" i="2"/>
  <c r="AO81" i="2"/>
  <c r="AP81" i="2"/>
  <c r="AW81" i="2"/>
  <c r="AX81" i="2"/>
  <c r="AY81" i="2"/>
  <c r="BB81" i="2"/>
  <c r="BC81" i="2"/>
  <c r="BF81" i="2"/>
  <c r="BH81" i="2"/>
  <c r="BI81" i="2"/>
  <c r="BJ81" i="2"/>
  <c r="CM81" i="2"/>
  <c r="CO81" i="2"/>
  <c r="L82" i="2"/>
  <c r="Q82" i="2" s="1"/>
  <c r="X82" i="2"/>
  <c r="AG82" i="2"/>
  <c r="AO82" i="2"/>
  <c r="AP82" i="2"/>
  <c r="AW82" i="2"/>
  <c r="AX82" i="2"/>
  <c r="AY82" i="2"/>
  <c r="BB82" i="2"/>
  <c r="BC82" i="2"/>
  <c r="BF82" i="2"/>
  <c r="BH82" i="2"/>
  <c r="BI82" i="2"/>
  <c r="BJ82" i="2"/>
  <c r="CM82" i="2"/>
  <c r="CO82" i="2"/>
  <c r="L83" i="2"/>
  <c r="Q83" i="2" s="1"/>
  <c r="X83" i="2"/>
  <c r="AG83" i="2"/>
  <c r="AO83" i="2"/>
  <c r="AP83" i="2"/>
  <c r="AW83" i="2"/>
  <c r="AX83" i="2"/>
  <c r="AZ83" i="2" s="1"/>
  <c r="AY83" i="2"/>
  <c r="BB83" i="2"/>
  <c r="BC83" i="2"/>
  <c r="BF83" i="2"/>
  <c r="BH83" i="2"/>
  <c r="BI83" i="2"/>
  <c r="BJ83" i="2"/>
  <c r="CM83" i="2"/>
  <c r="CO83" i="2"/>
  <c r="L84" i="2"/>
  <c r="Q84" i="2" s="1"/>
  <c r="X84" i="2"/>
  <c r="AG84" i="2"/>
  <c r="AO84" i="2"/>
  <c r="AP84" i="2"/>
  <c r="AW84" i="2"/>
  <c r="AX84" i="2"/>
  <c r="AY84" i="2"/>
  <c r="AZ84" i="2" s="1"/>
  <c r="BA84" i="2" s="1"/>
  <c r="BD84" i="2" s="1"/>
  <c r="BB84" i="2"/>
  <c r="BC84" i="2"/>
  <c r="BF84" i="2"/>
  <c r="BH84" i="2"/>
  <c r="BI84" i="2"/>
  <c r="BJ84" i="2"/>
  <c r="CM84" i="2"/>
  <c r="CO84" i="2"/>
  <c r="L85" i="2"/>
  <c r="Q85" i="2"/>
  <c r="X85" i="2"/>
  <c r="AG85" i="2"/>
  <c r="AO85" i="2"/>
  <c r="AP85" i="2"/>
  <c r="AW85" i="2"/>
  <c r="AX85" i="2"/>
  <c r="AZ85" i="2" s="1"/>
  <c r="AY85" i="2"/>
  <c r="BB85" i="2"/>
  <c r="BC85" i="2"/>
  <c r="BF85" i="2"/>
  <c r="BH85" i="2"/>
  <c r="BI85" i="2"/>
  <c r="BJ85" i="2"/>
  <c r="CM85" i="2"/>
  <c r="CO85" i="2"/>
  <c r="L86" i="2"/>
  <c r="Q86" i="2" s="1"/>
  <c r="X86" i="2"/>
  <c r="AG86" i="2"/>
  <c r="AO86" i="2"/>
  <c r="AP86" i="2"/>
  <c r="AW86" i="2"/>
  <c r="AX86" i="2"/>
  <c r="AY86" i="2"/>
  <c r="BB86" i="2"/>
  <c r="BC86" i="2"/>
  <c r="BF86" i="2"/>
  <c r="BH86" i="2"/>
  <c r="BI86" i="2"/>
  <c r="BJ86" i="2"/>
  <c r="CM86" i="2"/>
  <c r="CO86" i="2"/>
  <c r="L87" i="2"/>
  <c r="Q87" i="2" s="1"/>
  <c r="X87" i="2"/>
  <c r="AG87" i="2"/>
  <c r="AO87" i="2"/>
  <c r="AP87" i="2"/>
  <c r="AW87" i="2"/>
  <c r="AX87" i="2"/>
  <c r="AZ87" i="2" s="1"/>
  <c r="AY87" i="2"/>
  <c r="BB87" i="2"/>
  <c r="BC87" i="2"/>
  <c r="BF87" i="2"/>
  <c r="BH87" i="2"/>
  <c r="BI87" i="2"/>
  <c r="BJ87" i="2"/>
  <c r="CM87" i="2"/>
  <c r="CO87" i="2"/>
  <c r="L88" i="2"/>
  <c r="Q88" i="2" s="1"/>
  <c r="X88" i="2"/>
  <c r="AG88" i="2"/>
  <c r="AO88" i="2"/>
  <c r="AP88" i="2"/>
  <c r="AW88" i="2"/>
  <c r="AX88" i="2"/>
  <c r="AZ88" i="2" s="1"/>
  <c r="AY88" i="2"/>
  <c r="BB88" i="2"/>
  <c r="BC88" i="2"/>
  <c r="BF88" i="2"/>
  <c r="BH88" i="2"/>
  <c r="BI88" i="2"/>
  <c r="BJ88" i="2"/>
  <c r="CM88" i="2"/>
  <c r="CO88" i="2"/>
  <c r="L89" i="2"/>
  <c r="Q89" i="2" s="1"/>
  <c r="X89" i="2"/>
  <c r="AG89" i="2"/>
  <c r="AO89" i="2"/>
  <c r="AP89" i="2"/>
  <c r="AW89" i="2"/>
  <c r="AX89" i="2"/>
  <c r="AZ89" i="2" s="1"/>
  <c r="AY89" i="2"/>
  <c r="BB89" i="2"/>
  <c r="BC89" i="2"/>
  <c r="BF89" i="2"/>
  <c r="BH89" i="2"/>
  <c r="BI89" i="2"/>
  <c r="BJ89" i="2"/>
  <c r="CM89" i="2"/>
  <c r="CO89" i="2"/>
  <c r="L90" i="2"/>
  <c r="Q90" i="2" s="1"/>
  <c r="X90" i="2"/>
  <c r="AG90" i="2"/>
  <c r="AO90" i="2"/>
  <c r="AP90" i="2"/>
  <c r="AW90" i="2"/>
  <c r="AX90" i="2"/>
  <c r="AY90" i="2"/>
  <c r="BB90" i="2"/>
  <c r="BC90" i="2"/>
  <c r="BF90" i="2"/>
  <c r="BH90" i="2"/>
  <c r="BI90" i="2"/>
  <c r="BJ90" i="2"/>
  <c r="CM90" i="2"/>
  <c r="CO90" i="2"/>
  <c r="L91" i="2"/>
  <c r="Q91" i="2" s="1"/>
  <c r="X91" i="2"/>
  <c r="AG91" i="2"/>
  <c r="AO91" i="2"/>
  <c r="AP91" i="2"/>
  <c r="AW91" i="2"/>
  <c r="AX91" i="2"/>
  <c r="AY91" i="2"/>
  <c r="BB91" i="2"/>
  <c r="BC91" i="2"/>
  <c r="BF91" i="2"/>
  <c r="BH91" i="2"/>
  <c r="BI91" i="2"/>
  <c r="BJ91" i="2"/>
  <c r="CM91" i="2"/>
  <c r="CO91" i="2"/>
  <c r="L92" i="2"/>
  <c r="Q92" i="2" s="1"/>
  <c r="X92" i="2"/>
  <c r="AG92" i="2"/>
  <c r="AO92" i="2"/>
  <c r="AP92" i="2"/>
  <c r="AW92" i="2"/>
  <c r="AX92" i="2"/>
  <c r="AY92" i="2"/>
  <c r="AZ92" i="2"/>
  <c r="BB92" i="2"/>
  <c r="BC92" i="2"/>
  <c r="BF92" i="2"/>
  <c r="BH92" i="2"/>
  <c r="BI92" i="2"/>
  <c r="BJ92" i="2"/>
  <c r="CM92" i="2"/>
  <c r="CO92" i="2"/>
  <c r="L93" i="2"/>
  <c r="Q93" i="2" s="1"/>
  <c r="X93" i="2"/>
  <c r="AG93" i="2"/>
  <c r="AO93" i="2"/>
  <c r="AP93" i="2"/>
  <c r="AW93" i="2"/>
  <c r="AX93" i="2"/>
  <c r="AY93" i="2"/>
  <c r="AZ93" i="2"/>
  <c r="BB93" i="2"/>
  <c r="BC93" i="2"/>
  <c r="BF93" i="2"/>
  <c r="BH93" i="2"/>
  <c r="BI93" i="2"/>
  <c r="BJ93" i="2"/>
  <c r="CM93" i="2"/>
  <c r="CO93" i="2"/>
  <c r="L94" i="2"/>
  <c r="Q94" i="2" s="1"/>
  <c r="X94" i="2"/>
  <c r="AG94" i="2"/>
  <c r="AO94" i="2"/>
  <c r="AP94" i="2"/>
  <c r="AW94" i="2"/>
  <c r="AX94" i="2"/>
  <c r="AZ94" i="2" s="1"/>
  <c r="AY94" i="2"/>
  <c r="BB94" i="2"/>
  <c r="BC94" i="2"/>
  <c r="BF94" i="2"/>
  <c r="BH94" i="2"/>
  <c r="BI94" i="2"/>
  <c r="BJ94" i="2"/>
  <c r="CM94" i="2"/>
  <c r="CO94" i="2"/>
  <c r="L95" i="2"/>
  <c r="Q95" i="2" s="1"/>
  <c r="X95" i="2"/>
  <c r="AG95" i="2"/>
  <c r="AO95" i="2"/>
  <c r="AP95" i="2"/>
  <c r="AW95" i="2"/>
  <c r="AX95" i="2"/>
  <c r="AY95" i="2"/>
  <c r="BB95" i="2"/>
  <c r="BC95" i="2"/>
  <c r="BF95" i="2"/>
  <c r="BH95" i="2"/>
  <c r="BI95" i="2"/>
  <c r="BJ95" i="2"/>
  <c r="CM95" i="2"/>
  <c r="CO95" i="2"/>
  <c r="L96" i="2"/>
  <c r="Q96" i="2"/>
  <c r="X96" i="2"/>
  <c r="AG96" i="2"/>
  <c r="AO96" i="2"/>
  <c r="AP96" i="2"/>
  <c r="AW96" i="2"/>
  <c r="AX96" i="2"/>
  <c r="AY96" i="2"/>
  <c r="BB96" i="2"/>
  <c r="BC96" i="2"/>
  <c r="BF96" i="2"/>
  <c r="BH96" i="2"/>
  <c r="BI96" i="2"/>
  <c r="BJ96" i="2"/>
  <c r="CM96" i="2"/>
  <c r="CO96" i="2"/>
  <c r="L97" i="2"/>
  <c r="Q97" i="2" s="1"/>
  <c r="X97" i="2"/>
  <c r="AG97" i="2"/>
  <c r="AO97" i="2"/>
  <c r="AP97" i="2"/>
  <c r="AW97" i="2"/>
  <c r="AX97" i="2"/>
  <c r="AY97" i="2"/>
  <c r="BB97" i="2"/>
  <c r="BC97" i="2"/>
  <c r="BF97" i="2"/>
  <c r="BH97" i="2"/>
  <c r="BI97" i="2"/>
  <c r="BJ97" i="2"/>
  <c r="CM97" i="2"/>
  <c r="CO97" i="2"/>
  <c r="L98" i="2"/>
  <c r="Q98" i="2" s="1"/>
  <c r="X98" i="2"/>
  <c r="AG98" i="2"/>
  <c r="AO98" i="2"/>
  <c r="AP98" i="2"/>
  <c r="AW98" i="2"/>
  <c r="AX98" i="2"/>
  <c r="AZ98" i="2" s="1"/>
  <c r="BA98" i="2" s="1"/>
  <c r="BD98" i="2" s="1"/>
  <c r="AY98" i="2"/>
  <c r="BB98" i="2"/>
  <c r="BC98" i="2"/>
  <c r="BF98" i="2"/>
  <c r="BH98" i="2"/>
  <c r="BI98" i="2"/>
  <c r="BJ98" i="2"/>
  <c r="CM98" i="2"/>
  <c r="CO98" i="2"/>
  <c r="L99" i="2"/>
  <c r="Q99" i="2" s="1"/>
  <c r="X99" i="2"/>
  <c r="AG99" i="2"/>
  <c r="AO99" i="2"/>
  <c r="AP99" i="2"/>
  <c r="AW99" i="2"/>
  <c r="AX99" i="2"/>
  <c r="AZ99" i="2" s="1"/>
  <c r="AY99" i="2"/>
  <c r="BB99" i="2"/>
  <c r="BC99" i="2"/>
  <c r="BF99" i="2"/>
  <c r="BH99" i="2"/>
  <c r="BI99" i="2"/>
  <c r="BJ99" i="2"/>
  <c r="CM99" i="2"/>
  <c r="CO99" i="2"/>
  <c r="L100" i="2"/>
  <c r="Q100" i="2"/>
  <c r="X100" i="2"/>
  <c r="AG100" i="2"/>
  <c r="AO100" i="2"/>
  <c r="AP100" i="2"/>
  <c r="AW100" i="2"/>
  <c r="AX100" i="2"/>
  <c r="AZ100" i="2" s="1"/>
  <c r="AY100" i="2"/>
  <c r="BB100" i="2"/>
  <c r="BC100" i="2"/>
  <c r="BF100" i="2"/>
  <c r="BH100" i="2"/>
  <c r="BI100" i="2"/>
  <c r="BJ100" i="2"/>
  <c r="CM100" i="2"/>
  <c r="CO100" i="2"/>
  <c r="L101" i="2"/>
  <c r="Q101" i="2" s="1"/>
  <c r="X101" i="2"/>
  <c r="AG101" i="2"/>
  <c r="AO101" i="2"/>
  <c r="AP101" i="2"/>
  <c r="AW101" i="2"/>
  <c r="AX101" i="2"/>
  <c r="AZ101" i="2" s="1"/>
  <c r="BA101" i="2" s="1"/>
  <c r="BD101" i="2" s="1"/>
  <c r="AY101" i="2"/>
  <c r="BB101" i="2"/>
  <c r="BC101" i="2"/>
  <c r="BF101" i="2"/>
  <c r="BH101" i="2"/>
  <c r="BI101" i="2"/>
  <c r="BJ101" i="2"/>
  <c r="CM101" i="2"/>
  <c r="CO101" i="2"/>
  <c r="L102" i="2"/>
  <c r="Q102" i="2" s="1"/>
  <c r="X102" i="2"/>
  <c r="AG102" i="2"/>
  <c r="AO102" i="2"/>
  <c r="AP102" i="2"/>
  <c r="AW102" i="2"/>
  <c r="AX102" i="2"/>
  <c r="AY102" i="2"/>
  <c r="BB102" i="2"/>
  <c r="BC102" i="2"/>
  <c r="BF102" i="2"/>
  <c r="BH102" i="2"/>
  <c r="BI102" i="2"/>
  <c r="BJ102" i="2"/>
  <c r="CM102" i="2"/>
  <c r="CO102" i="2"/>
  <c r="L103" i="2"/>
  <c r="Q103" i="2"/>
  <c r="X103" i="2"/>
  <c r="AG103" i="2"/>
  <c r="AO103" i="2"/>
  <c r="AP103" i="2"/>
  <c r="AW103" i="2"/>
  <c r="AX103" i="2"/>
  <c r="AY103" i="2"/>
  <c r="BB103" i="2"/>
  <c r="BC103" i="2"/>
  <c r="BF103" i="2"/>
  <c r="BH103" i="2"/>
  <c r="BI103" i="2"/>
  <c r="BJ103" i="2"/>
  <c r="CM103" i="2"/>
  <c r="CO103" i="2"/>
  <c r="L104" i="2"/>
  <c r="Q104" i="2" s="1"/>
  <c r="X104" i="2"/>
  <c r="AG104" i="2"/>
  <c r="AO104" i="2"/>
  <c r="AP104" i="2"/>
  <c r="AW104" i="2"/>
  <c r="AX104" i="2"/>
  <c r="AY104" i="2"/>
  <c r="BB104" i="2"/>
  <c r="BC104" i="2"/>
  <c r="BF104" i="2"/>
  <c r="BH104" i="2"/>
  <c r="BI104" i="2"/>
  <c r="BJ104" i="2"/>
  <c r="CM104" i="2"/>
  <c r="CO104" i="2"/>
  <c r="L105" i="2"/>
  <c r="Q105" i="2" s="1"/>
  <c r="X105" i="2"/>
  <c r="AG105" i="2"/>
  <c r="AO105" i="2"/>
  <c r="AP105" i="2"/>
  <c r="AW105" i="2"/>
  <c r="AX105" i="2"/>
  <c r="AY105" i="2"/>
  <c r="BB105" i="2"/>
  <c r="BC105" i="2"/>
  <c r="BF105" i="2"/>
  <c r="BH105" i="2"/>
  <c r="BI105" i="2"/>
  <c r="BJ105" i="2"/>
  <c r="CM105" i="2"/>
  <c r="CO105" i="2"/>
  <c r="L106" i="2"/>
  <c r="Q106" i="2" s="1"/>
  <c r="X106" i="2"/>
  <c r="AG106" i="2"/>
  <c r="AO106" i="2"/>
  <c r="AP106" i="2"/>
  <c r="AW106" i="2"/>
  <c r="AX106" i="2"/>
  <c r="AY106" i="2"/>
  <c r="BB106" i="2"/>
  <c r="BC106" i="2"/>
  <c r="BF106" i="2"/>
  <c r="BH106" i="2"/>
  <c r="BI106" i="2"/>
  <c r="BJ106" i="2"/>
  <c r="CM106" i="2"/>
  <c r="CO106" i="2"/>
  <c r="L107" i="2"/>
  <c r="Q107" i="2" s="1"/>
  <c r="X107" i="2"/>
  <c r="AG107" i="2"/>
  <c r="AO107" i="2"/>
  <c r="AP107" i="2"/>
  <c r="AW107" i="2"/>
  <c r="AX107" i="2"/>
  <c r="AY107" i="2"/>
  <c r="BB107" i="2"/>
  <c r="BC107" i="2"/>
  <c r="BF107" i="2"/>
  <c r="BH107" i="2"/>
  <c r="BI107" i="2"/>
  <c r="BJ107" i="2"/>
  <c r="CM107" i="2"/>
  <c r="CO107" i="2"/>
  <c r="L108" i="2"/>
  <c r="Q108" i="2" s="1"/>
  <c r="X108" i="2"/>
  <c r="AG108" i="2"/>
  <c r="AO108" i="2"/>
  <c r="AP108" i="2"/>
  <c r="AW108" i="2"/>
  <c r="AX108" i="2"/>
  <c r="AY108" i="2"/>
  <c r="BB108" i="2"/>
  <c r="BC108" i="2"/>
  <c r="BF108" i="2"/>
  <c r="BH108" i="2"/>
  <c r="BI108" i="2"/>
  <c r="BJ108" i="2"/>
  <c r="CM108" i="2"/>
  <c r="CO108" i="2"/>
  <c r="L109" i="2"/>
  <c r="Q109" i="2"/>
  <c r="X109" i="2"/>
  <c r="AG109" i="2"/>
  <c r="AO109" i="2"/>
  <c r="AP109" i="2"/>
  <c r="AW109" i="2"/>
  <c r="AX109" i="2"/>
  <c r="AZ109" i="2" s="1"/>
  <c r="AY109" i="2"/>
  <c r="BB109" i="2"/>
  <c r="BC109" i="2"/>
  <c r="BF109" i="2"/>
  <c r="BH109" i="2"/>
  <c r="BI109" i="2"/>
  <c r="BJ109" i="2"/>
  <c r="CM109" i="2"/>
  <c r="CO109" i="2"/>
  <c r="L110" i="2"/>
  <c r="Q110" i="2" s="1"/>
  <c r="X110" i="2"/>
  <c r="AG110" i="2"/>
  <c r="AO110" i="2"/>
  <c r="AP110" i="2"/>
  <c r="AW110" i="2"/>
  <c r="AX110" i="2"/>
  <c r="AY110" i="2"/>
  <c r="BB110" i="2"/>
  <c r="BC110" i="2"/>
  <c r="BF110" i="2"/>
  <c r="BH110" i="2"/>
  <c r="BI110" i="2"/>
  <c r="BJ110" i="2"/>
  <c r="CM110" i="2"/>
  <c r="CO110" i="2"/>
  <c r="L111" i="2"/>
  <c r="Q111" i="2" s="1"/>
  <c r="X111" i="2"/>
  <c r="AG111" i="2"/>
  <c r="AO111" i="2"/>
  <c r="AP111" i="2"/>
  <c r="AW111" i="2"/>
  <c r="AX111" i="2"/>
  <c r="AZ111" i="2" s="1"/>
  <c r="AY111" i="2"/>
  <c r="BB111" i="2"/>
  <c r="BC111" i="2"/>
  <c r="BF111" i="2"/>
  <c r="BH111" i="2"/>
  <c r="BI111" i="2"/>
  <c r="BJ111" i="2"/>
  <c r="CM111" i="2"/>
  <c r="CO111" i="2"/>
  <c r="L112" i="2"/>
  <c r="Q112" i="2" s="1"/>
  <c r="X112" i="2"/>
  <c r="AG112" i="2"/>
  <c r="AO112" i="2"/>
  <c r="AP112" i="2"/>
  <c r="AW112" i="2"/>
  <c r="AX112" i="2"/>
  <c r="AY112" i="2"/>
  <c r="BB112" i="2"/>
  <c r="BC112" i="2"/>
  <c r="BF112" i="2"/>
  <c r="BH112" i="2"/>
  <c r="BI112" i="2"/>
  <c r="BJ112" i="2"/>
  <c r="CM112" i="2"/>
  <c r="CO112" i="2"/>
  <c r="L113" i="2"/>
  <c r="Q113" i="2" s="1"/>
  <c r="X113" i="2"/>
  <c r="AG113" i="2"/>
  <c r="AO113" i="2"/>
  <c r="AP113" i="2"/>
  <c r="AW113" i="2"/>
  <c r="AX113" i="2"/>
  <c r="AY113" i="2"/>
  <c r="AZ113" i="2"/>
  <c r="BB113" i="2"/>
  <c r="BC113" i="2"/>
  <c r="BF113" i="2"/>
  <c r="BH113" i="2"/>
  <c r="BI113" i="2"/>
  <c r="BJ113" i="2"/>
  <c r="CM113" i="2"/>
  <c r="CO113" i="2"/>
  <c r="L114" i="2"/>
  <c r="Q114" i="2" s="1"/>
  <c r="X114" i="2"/>
  <c r="AG114" i="2"/>
  <c r="AO114" i="2"/>
  <c r="AP114" i="2"/>
  <c r="AW114" i="2"/>
  <c r="AX114" i="2"/>
  <c r="AZ114" i="2" s="1"/>
  <c r="AY114" i="2"/>
  <c r="BB114" i="2"/>
  <c r="BC114" i="2"/>
  <c r="BF114" i="2"/>
  <c r="BH114" i="2"/>
  <c r="BI114" i="2"/>
  <c r="BJ114" i="2"/>
  <c r="CM114" i="2"/>
  <c r="CO114" i="2"/>
  <c r="L115" i="2"/>
  <c r="Q115" i="2" s="1"/>
  <c r="X115" i="2"/>
  <c r="AG115" i="2"/>
  <c r="AO115" i="2"/>
  <c r="AP115" i="2"/>
  <c r="AW115" i="2"/>
  <c r="AX115" i="2"/>
  <c r="AY115" i="2"/>
  <c r="BB115" i="2"/>
  <c r="BC115" i="2"/>
  <c r="BF115" i="2"/>
  <c r="BH115" i="2"/>
  <c r="BI115" i="2"/>
  <c r="BJ115" i="2"/>
  <c r="CM115" i="2"/>
  <c r="CO115" i="2"/>
  <c r="L116" i="2"/>
  <c r="Q116" i="2" s="1"/>
  <c r="X116" i="2"/>
  <c r="AG116" i="2"/>
  <c r="AO116" i="2"/>
  <c r="AP116" i="2"/>
  <c r="AW116" i="2"/>
  <c r="AX116" i="2"/>
  <c r="AY116" i="2"/>
  <c r="BB116" i="2"/>
  <c r="BC116" i="2"/>
  <c r="BF116" i="2"/>
  <c r="BH116" i="2"/>
  <c r="BI116" i="2"/>
  <c r="BJ116" i="2"/>
  <c r="CM116" i="2"/>
  <c r="CO116" i="2"/>
  <c r="L117" i="2"/>
  <c r="Q117" i="2" s="1"/>
  <c r="X117" i="2"/>
  <c r="AG117" i="2"/>
  <c r="AO117" i="2"/>
  <c r="AP117" i="2"/>
  <c r="AW117" i="2"/>
  <c r="AX117" i="2"/>
  <c r="AY117" i="2"/>
  <c r="BB117" i="2"/>
  <c r="BC117" i="2"/>
  <c r="BF117" i="2"/>
  <c r="BH117" i="2"/>
  <c r="BI117" i="2"/>
  <c r="BJ117" i="2"/>
  <c r="CM117" i="2"/>
  <c r="CO117" i="2"/>
  <c r="L118" i="2"/>
  <c r="Q118" i="2" s="1"/>
  <c r="X118" i="2"/>
  <c r="AG118" i="2"/>
  <c r="AO118" i="2"/>
  <c r="AP118" i="2"/>
  <c r="AW118" i="2"/>
  <c r="AX118" i="2"/>
  <c r="AY118" i="2"/>
  <c r="AZ118" i="2" s="1"/>
  <c r="BB118" i="2"/>
  <c r="BC118" i="2"/>
  <c r="BF118" i="2"/>
  <c r="BH118" i="2"/>
  <c r="BI118" i="2"/>
  <c r="BJ118" i="2"/>
  <c r="CM118" i="2"/>
  <c r="CO118" i="2"/>
  <c r="L119" i="2"/>
  <c r="Q119" i="2" s="1"/>
  <c r="X119" i="2"/>
  <c r="AG119" i="2"/>
  <c r="AO119" i="2"/>
  <c r="AP119" i="2"/>
  <c r="AW119" i="2"/>
  <c r="AX119" i="2"/>
  <c r="AY119" i="2"/>
  <c r="BB119" i="2"/>
  <c r="BC119" i="2"/>
  <c r="BF119" i="2"/>
  <c r="BH119" i="2"/>
  <c r="BI119" i="2"/>
  <c r="BJ119" i="2"/>
  <c r="CM119" i="2"/>
  <c r="CO119" i="2"/>
  <c r="L120" i="2"/>
  <c r="Q120" i="2" s="1"/>
  <c r="X120" i="2"/>
  <c r="AG120" i="2"/>
  <c r="AO120" i="2"/>
  <c r="AP120" i="2"/>
  <c r="AW120" i="2"/>
  <c r="AX120" i="2"/>
  <c r="AY120" i="2"/>
  <c r="AZ120" i="2" s="1"/>
  <c r="BB120" i="2"/>
  <c r="BC120" i="2"/>
  <c r="BF120" i="2"/>
  <c r="BH120" i="2"/>
  <c r="BI120" i="2"/>
  <c r="BG120" i="2"/>
  <c r="BJ120" i="2"/>
  <c r="CM120" i="2"/>
  <c r="CO120" i="2"/>
  <c r="L121" i="2"/>
  <c r="Q121" i="2" s="1"/>
  <c r="X121" i="2"/>
  <c r="AG121" i="2"/>
  <c r="AO121" i="2"/>
  <c r="AP121" i="2"/>
  <c r="AW121" i="2"/>
  <c r="AX121" i="2"/>
  <c r="AY121" i="2"/>
  <c r="AZ121" i="2"/>
  <c r="BB121" i="2"/>
  <c r="BC121" i="2"/>
  <c r="BF121" i="2"/>
  <c r="BH121" i="2"/>
  <c r="BI121" i="2"/>
  <c r="BJ121" i="2"/>
  <c r="CM121" i="2"/>
  <c r="CO121" i="2"/>
  <c r="L122" i="2"/>
  <c r="Q122" i="2" s="1"/>
  <c r="X122" i="2"/>
  <c r="AG122" i="2"/>
  <c r="AO122" i="2"/>
  <c r="AP122" i="2"/>
  <c r="AW122" i="2"/>
  <c r="AX122" i="2"/>
  <c r="AZ122" i="2" s="1"/>
  <c r="AY122" i="2"/>
  <c r="BB122" i="2"/>
  <c r="BC122" i="2"/>
  <c r="BF122" i="2"/>
  <c r="BH122" i="2"/>
  <c r="BI122" i="2"/>
  <c r="BJ122" i="2"/>
  <c r="CM122" i="2"/>
  <c r="CO122" i="2"/>
  <c r="L123" i="2"/>
  <c r="Q123" i="2" s="1"/>
  <c r="X123" i="2"/>
  <c r="AG123" i="2"/>
  <c r="AO123" i="2"/>
  <c r="AP123" i="2"/>
  <c r="AW123" i="2"/>
  <c r="AX123" i="2"/>
  <c r="AY123" i="2"/>
  <c r="AZ123" i="2"/>
  <c r="BB123" i="2"/>
  <c r="BC123" i="2"/>
  <c r="BF123" i="2"/>
  <c r="BH123" i="2"/>
  <c r="BI123" i="2"/>
  <c r="BJ123" i="2"/>
  <c r="CM123" i="2"/>
  <c r="CO123" i="2"/>
  <c r="L124" i="2"/>
  <c r="Q124" i="2"/>
  <c r="X124" i="2"/>
  <c r="AG124" i="2"/>
  <c r="AO124" i="2"/>
  <c r="AP124" i="2"/>
  <c r="AW124" i="2"/>
  <c r="AX124" i="2"/>
  <c r="AY124" i="2"/>
  <c r="AZ124" i="2"/>
  <c r="BA124" i="2"/>
  <c r="BB124" i="2"/>
  <c r="BC124" i="2"/>
  <c r="BF124" i="2"/>
  <c r="BG124" i="2" s="1"/>
  <c r="BH124" i="2"/>
  <c r="BI124" i="2"/>
  <c r="BJ124" i="2"/>
  <c r="CM124" i="2"/>
  <c r="CO124" i="2"/>
  <c r="L125" i="2"/>
  <c r="Q125" i="2" s="1"/>
  <c r="X125" i="2"/>
  <c r="AG125" i="2"/>
  <c r="AO125" i="2"/>
  <c r="AP125" i="2"/>
  <c r="AW125" i="2"/>
  <c r="AX125" i="2"/>
  <c r="AY125" i="2"/>
  <c r="BB125" i="2"/>
  <c r="BC125" i="2"/>
  <c r="BF125" i="2"/>
  <c r="BH125" i="2"/>
  <c r="BI125" i="2"/>
  <c r="BJ125" i="2"/>
  <c r="CM125" i="2"/>
  <c r="CO125" i="2"/>
  <c r="L126" i="2"/>
  <c r="Q126" i="2" s="1"/>
  <c r="X126" i="2"/>
  <c r="AG126" i="2"/>
  <c r="AO126" i="2"/>
  <c r="AP126" i="2"/>
  <c r="AW126" i="2"/>
  <c r="AX126" i="2"/>
  <c r="AY126" i="2"/>
  <c r="AZ126" i="2"/>
  <c r="BB126" i="2"/>
  <c r="BC126" i="2"/>
  <c r="BF126" i="2"/>
  <c r="BH126" i="2"/>
  <c r="BI126" i="2"/>
  <c r="BJ126" i="2"/>
  <c r="CM126" i="2"/>
  <c r="CO126" i="2"/>
  <c r="L127" i="2"/>
  <c r="Q127" i="2" s="1"/>
  <c r="X127" i="2"/>
  <c r="AG127" i="2"/>
  <c r="AO127" i="2"/>
  <c r="AP127" i="2"/>
  <c r="AW127" i="2"/>
  <c r="AX127" i="2"/>
  <c r="AY127" i="2"/>
  <c r="AZ127" i="2"/>
  <c r="BB127" i="2"/>
  <c r="BC127" i="2"/>
  <c r="BF127" i="2"/>
  <c r="BH127" i="2"/>
  <c r="BI127" i="2"/>
  <c r="BJ127" i="2"/>
  <c r="CM127" i="2"/>
  <c r="CO127" i="2"/>
  <c r="L128" i="2"/>
  <c r="Q128" i="2" s="1"/>
  <c r="X128" i="2"/>
  <c r="AG128" i="2"/>
  <c r="AO128" i="2"/>
  <c r="AP128" i="2"/>
  <c r="AW128" i="2"/>
  <c r="AX128" i="2"/>
  <c r="AY128" i="2"/>
  <c r="AZ128" i="2" s="1"/>
  <c r="BA128" i="2" s="1"/>
  <c r="BD128" i="2" s="1"/>
  <c r="BB128" i="2"/>
  <c r="BC128" i="2"/>
  <c r="BF128" i="2"/>
  <c r="BH128" i="2"/>
  <c r="BI128" i="2"/>
  <c r="BJ128" i="2"/>
  <c r="CM128" i="2"/>
  <c r="CO128" i="2"/>
  <c r="L129" i="2"/>
  <c r="Q129" i="2" s="1"/>
  <c r="X129" i="2"/>
  <c r="AG129" i="2"/>
  <c r="AO129" i="2"/>
  <c r="AP129" i="2"/>
  <c r="AW129" i="2"/>
  <c r="AX129" i="2"/>
  <c r="AY129" i="2"/>
  <c r="BB129" i="2"/>
  <c r="BC129" i="2"/>
  <c r="BF129" i="2"/>
  <c r="BH129" i="2"/>
  <c r="BI129" i="2"/>
  <c r="BJ129" i="2"/>
  <c r="CM129" i="2"/>
  <c r="CO129" i="2"/>
  <c r="L130" i="2"/>
  <c r="Q130" i="2" s="1"/>
  <c r="X130" i="2"/>
  <c r="AG130" i="2"/>
  <c r="AO130" i="2"/>
  <c r="AP130" i="2"/>
  <c r="AW130" i="2"/>
  <c r="AX130" i="2"/>
  <c r="AY130" i="2"/>
  <c r="BB130" i="2"/>
  <c r="BC130" i="2"/>
  <c r="BF130" i="2"/>
  <c r="BH130" i="2"/>
  <c r="BI130" i="2"/>
  <c r="BJ130" i="2"/>
  <c r="CM130" i="2"/>
  <c r="CO130" i="2"/>
  <c r="L131" i="2"/>
  <c r="Q131" i="2" s="1"/>
  <c r="X131" i="2"/>
  <c r="AG131" i="2"/>
  <c r="AO131" i="2"/>
  <c r="AP131" i="2"/>
  <c r="AW131" i="2"/>
  <c r="AX131" i="2"/>
  <c r="AZ131" i="2" s="1"/>
  <c r="AY131" i="2"/>
  <c r="BB131" i="2"/>
  <c r="BC131" i="2"/>
  <c r="BF131" i="2"/>
  <c r="BH131" i="2"/>
  <c r="BI131" i="2"/>
  <c r="BJ131" i="2"/>
  <c r="CM131" i="2"/>
  <c r="CO131" i="2"/>
  <c r="L132" i="2"/>
  <c r="Q132" i="2" s="1"/>
  <c r="X132" i="2"/>
  <c r="AG132" i="2"/>
  <c r="AO132" i="2"/>
  <c r="AP132" i="2"/>
  <c r="AW132" i="2"/>
  <c r="AX132" i="2"/>
  <c r="AY132" i="2"/>
  <c r="BB132" i="2"/>
  <c r="BC132" i="2"/>
  <c r="BF132" i="2"/>
  <c r="BH132" i="2"/>
  <c r="BI132" i="2"/>
  <c r="BJ132" i="2"/>
  <c r="CM132" i="2"/>
  <c r="CO132" i="2"/>
  <c r="L133" i="2"/>
  <c r="Q133" i="2"/>
  <c r="X133" i="2"/>
  <c r="AG133" i="2"/>
  <c r="AO133" i="2"/>
  <c r="AP133" i="2"/>
  <c r="AW133" i="2"/>
  <c r="AX133" i="2"/>
  <c r="AY133" i="2"/>
  <c r="BB133" i="2"/>
  <c r="BC133" i="2"/>
  <c r="BF133" i="2"/>
  <c r="BH133" i="2"/>
  <c r="BI133" i="2"/>
  <c r="BJ133" i="2"/>
  <c r="CM133" i="2"/>
  <c r="CO133" i="2"/>
  <c r="L134" i="2"/>
  <c r="Q134" i="2"/>
  <c r="X134" i="2"/>
  <c r="AG134" i="2"/>
  <c r="AO134" i="2"/>
  <c r="AP134" i="2"/>
  <c r="AW134" i="2"/>
  <c r="AX134" i="2"/>
  <c r="AY134" i="2"/>
  <c r="BB134" i="2"/>
  <c r="BC134" i="2"/>
  <c r="BF134" i="2"/>
  <c r="BH134" i="2"/>
  <c r="BI134" i="2"/>
  <c r="BJ134" i="2"/>
  <c r="CM134" i="2"/>
  <c r="CO134" i="2"/>
  <c r="L135" i="2"/>
  <c r="Q135" i="2" s="1"/>
  <c r="X135" i="2"/>
  <c r="AG135" i="2"/>
  <c r="AO135" i="2"/>
  <c r="AP135" i="2"/>
  <c r="AW135" i="2"/>
  <c r="AX135" i="2"/>
  <c r="AY135" i="2"/>
  <c r="AZ135" i="2" s="1"/>
  <c r="BA135" i="2" s="1"/>
  <c r="BB135" i="2"/>
  <c r="BC135" i="2"/>
  <c r="BF135" i="2"/>
  <c r="BH135" i="2"/>
  <c r="BI135" i="2"/>
  <c r="BJ135" i="2"/>
  <c r="CM135" i="2"/>
  <c r="CO135" i="2"/>
  <c r="L136" i="2"/>
  <c r="Q136" i="2" s="1"/>
  <c r="X136" i="2"/>
  <c r="AG136" i="2"/>
  <c r="AO136" i="2"/>
  <c r="AP136" i="2"/>
  <c r="AW136" i="2"/>
  <c r="AX136" i="2"/>
  <c r="AZ136" i="2" s="1"/>
  <c r="AY136" i="2"/>
  <c r="BB136" i="2"/>
  <c r="BC136" i="2"/>
  <c r="BF136" i="2"/>
  <c r="BH136" i="2"/>
  <c r="BI136" i="2"/>
  <c r="BJ136" i="2"/>
  <c r="CM136" i="2"/>
  <c r="CO136" i="2"/>
  <c r="L137" i="2"/>
  <c r="Q137" i="2" s="1"/>
  <c r="X137" i="2"/>
  <c r="AG137" i="2"/>
  <c r="AO137" i="2"/>
  <c r="AP137" i="2"/>
  <c r="AW137" i="2"/>
  <c r="AX137" i="2"/>
  <c r="AY137" i="2"/>
  <c r="AZ137" i="2" s="1"/>
  <c r="BB137" i="2"/>
  <c r="BC137" i="2"/>
  <c r="BF137" i="2"/>
  <c r="BH137" i="2"/>
  <c r="BI137" i="2"/>
  <c r="BJ137" i="2"/>
  <c r="CM137" i="2"/>
  <c r="CO137" i="2"/>
  <c r="L138" i="2"/>
  <c r="Q138" i="2" s="1"/>
  <c r="X138" i="2"/>
  <c r="AG138" i="2"/>
  <c r="AO138" i="2"/>
  <c r="AP138" i="2"/>
  <c r="AW138" i="2"/>
  <c r="AX138" i="2"/>
  <c r="AZ138" i="2" s="1"/>
  <c r="AY138" i="2"/>
  <c r="BB138" i="2"/>
  <c r="BC138" i="2"/>
  <c r="BF138" i="2"/>
  <c r="BH138" i="2"/>
  <c r="BI138" i="2"/>
  <c r="BJ138" i="2"/>
  <c r="CM138" i="2"/>
  <c r="CO138" i="2"/>
  <c r="L139" i="2"/>
  <c r="Q139" i="2" s="1"/>
  <c r="X139" i="2"/>
  <c r="AG139" i="2"/>
  <c r="AO139" i="2"/>
  <c r="AP139" i="2"/>
  <c r="AW139" i="2"/>
  <c r="AX139" i="2"/>
  <c r="AY139" i="2"/>
  <c r="BB139" i="2"/>
  <c r="BC139" i="2"/>
  <c r="BF139" i="2"/>
  <c r="BH139" i="2"/>
  <c r="BI139" i="2"/>
  <c r="BJ139" i="2"/>
  <c r="CM139" i="2"/>
  <c r="CO139" i="2"/>
  <c r="L140" i="2"/>
  <c r="Q140" i="2" s="1"/>
  <c r="X140" i="2"/>
  <c r="AG140" i="2"/>
  <c r="AO140" i="2"/>
  <c r="AP140" i="2"/>
  <c r="AW140" i="2"/>
  <c r="BA140" i="2" s="1"/>
  <c r="BD140" i="2" s="1"/>
  <c r="AX140" i="2"/>
  <c r="AY140" i="2"/>
  <c r="BB140" i="2"/>
  <c r="BC140" i="2"/>
  <c r="BF140" i="2"/>
  <c r="BH140" i="2"/>
  <c r="BI140" i="2"/>
  <c r="BJ140" i="2"/>
  <c r="CM140" i="2"/>
  <c r="CO140" i="2"/>
  <c r="L141" i="2"/>
  <c r="Q141" i="2" s="1"/>
  <c r="X141" i="2"/>
  <c r="AG141" i="2"/>
  <c r="AO141" i="2"/>
  <c r="AP141" i="2"/>
  <c r="AW141" i="2"/>
  <c r="AX141" i="2"/>
  <c r="AY141" i="2"/>
  <c r="AZ141" i="2"/>
  <c r="BA141" i="2"/>
  <c r="BB141" i="2"/>
  <c r="BC141" i="2"/>
  <c r="BF141" i="2"/>
  <c r="BH141" i="2"/>
  <c r="BI141" i="2"/>
  <c r="BJ141" i="2"/>
  <c r="CM141" i="2"/>
  <c r="CO141" i="2"/>
  <c r="L142" i="2"/>
  <c r="Q142" i="2" s="1"/>
  <c r="X142" i="2"/>
  <c r="AG142" i="2"/>
  <c r="AO142" i="2"/>
  <c r="AP142" i="2"/>
  <c r="AW142" i="2"/>
  <c r="AX142" i="2"/>
  <c r="AZ142" i="2" s="1"/>
  <c r="AY142" i="2"/>
  <c r="BB142" i="2"/>
  <c r="BC142" i="2"/>
  <c r="BF142" i="2"/>
  <c r="BH142" i="2"/>
  <c r="BI142" i="2"/>
  <c r="BJ142" i="2"/>
  <c r="CM142" i="2"/>
  <c r="CO142" i="2"/>
  <c r="L143" i="2"/>
  <c r="Q143" i="2"/>
  <c r="X143" i="2"/>
  <c r="AG143" i="2"/>
  <c r="AO143" i="2"/>
  <c r="AP143" i="2"/>
  <c r="AW143" i="2"/>
  <c r="AX143" i="2"/>
  <c r="AY143" i="2"/>
  <c r="AZ143" i="2" s="1"/>
  <c r="BB143" i="2"/>
  <c r="BC143" i="2"/>
  <c r="BF143" i="2"/>
  <c r="BH143" i="2"/>
  <c r="BI143" i="2"/>
  <c r="BJ143" i="2"/>
  <c r="CM143" i="2"/>
  <c r="CO143" i="2"/>
  <c r="L144" i="2"/>
  <c r="Q144" i="2" s="1"/>
  <c r="X144" i="2"/>
  <c r="AG144" i="2"/>
  <c r="AO144" i="2"/>
  <c r="AP144" i="2"/>
  <c r="AW144" i="2"/>
  <c r="AX144" i="2"/>
  <c r="AY144" i="2"/>
  <c r="BB144" i="2"/>
  <c r="BC144" i="2"/>
  <c r="BF144" i="2"/>
  <c r="BH144" i="2"/>
  <c r="BI144" i="2"/>
  <c r="BJ144" i="2"/>
  <c r="CM144" i="2"/>
  <c r="CO144" i="2"/>
  <c r="L145" i="2"/>
  <c r="Q145" i="2" s="1"/>
  <c r="X145" i="2"/>
  <c r="AG145" i="2"/>
  <c r="AO145" i="2"/>
  <c r="AP145" i="2"/>
  <c r="AW145" i="2"/>
  <c r="AX145" i="2"/>
  <c r="AY145" i="2"/>
  <c r="BB145" i="2"/>
  <c r="BC145" i="2"/>
  <c r="BF145" i="2"/>
  <c r="BH145" i="2"/>
  <c r="BI145" i="2"/>
  <c r="BJ145" i="2"/>
  <c r="CM145" i="2"/>
  <c r="CO145" i="2"/>
  <c r="L146" i="2"/>
  <c r="Q146" i="2" s="1"/>
  <c r="X146" i="2"/>
  <c r="AG146" i="2"/>
  <c r="AO146" i="2"/>
  <c r="AP146" i="2"/>
  <c r="AW146" i="2"/>
  <c r="AX146" i="2"/>
  <c r="AY146" i="2"/>
  <c r="BB146" i="2"/>
  <c r="BC146" i="2"/>
  <c r="BF146" i="2"/>
  <c r="BH146" i="2"/>
  <c r="BI146" i="2"/>
  <c r="BJ146" i="2"/>
  <c r="CM146" i="2"/>
  <c r="CO146" i="2"/>
  <c r="L147" i="2"/>
  <c r="Q147" i="2" s="1"/>
  <c r="X147" i="2"/>
  <c r="AG147" i="2"/>
  <c r="AO147" i="2"/>
  <c r="AP147" i="2"/>
  <c r="AW147" i="2"/>
  <c r="AX147" i="2"/>
  <c r="AY147" i="2"/>
  <c r="BB147" i="2"/>
  <c r="BC147" i="2"/>
  <c r="BF147" i="2"/>
  <c r="BH147" i="2"/>
  <c r="BI147" i="2"/>
  <c r="BJ147" i="2"/>
  <c r="CM147" i="2"/>
  <c r="CO147" i="2"/>
  <c r="L148" i="2"/>
  <c r="Q148" i="2" s="1"/>
  <c r="X148" i="2"/>
  <c r="AG148" i="2"/>
  <c r="AO148" i="2"/>
  <c r="AP148" i="2"/>
  <c r="AW148" i="2"/>
  <c r="AX148" i="2"/>
  <c r="AY148" i="2"/>
  <c r="AZ148" i="2"/>
  <c r="BB148" i="2"/>
  <c r="BC148" i="2"/>
  <c r="BF148" i="2"/>
  <c r="BH148" i="2"/>
  <c r="BI148" i="2"/>
  <c r="BJ148" i="2"/>
  <c r="CM148" i="2"/>
  <c r="CO148" i="2"/>
  <c r="L149" i="2"/>
  <c r="Q149" i="2" s="1"/>
  <c r="X149" i="2"/>
  <c r="AG149" i="2"/>
  <c r="AO149" i="2"/>
  <c r="AP149" i="2"/>
  <c r="AW149" i="2"/>
  <c r="AX149" i="2"/>
  <c r="AY149" i="2"/>
  <c r="BB149" i="2"/>
  <c r="BC149" i="2"/>
  <c r="BF149" i="2"/>
  <c r="BH149" i="2"/>
  <c r="BI149" i="2"/>
  <c r="BJ149" i="2"/>
  <c r="CM149" i="2"/>
  <c r="CO149" i="2"/>
  <c r="L150" i="2"/>
  <c r="Q150" i="2" s="1"/>
  <c r="X150" i="2"/>
  <c r="AG150" i="2"/>
  <c r="AO150" i="2"/>
  <c r="AP150" i="2"/>
  <c r="AW150" i="2"/>
  <c r="AX150" i="2"/>
  <c r="AY150" i="2"/>
  <c r="BB150" i="2"/>
  <c r="BC150" i="2"/>
  <c r="BF150" i="2"/>
  <c r="BH150" i="2"/>
  <c r="BI150" i="2"/>
  <c r="BG150" i="2" s="1"/>
  <c r="BJ150" i="2"/>
  <c r="CM150" i="2"/>
  <c r="CO150" i="2"/>
  <c r="L151" i="2"/>
  <c r="Q151" i="2" s="1"/>
  <c r="X151" i="2"/>
  <c r="AG151" i="2"/>
  <c r="AO151" i="2"/>
  <c r="AP151" i="2"/>
  <c r="AW151" i="2"/>
  <c r="BA151" i="2" s="1"/>
  <c r="AM151" i="2" s="1"/>
  <c r="AX151" i="2"/>
  <c r="AZ151" i="2" s="1"/>
  <c r="AY151" i="2"/>
  <c r="BB151" i="2"/>
  <c r="BC151" i="2"/>
  <c r="BF151" i="2"/>
  <c r="BH151" i="2"/>
  <c r="BI151" i="2"/>
  <c r="BJ151" i="2"/>
  <c r="CM151" i="2"/>
  <c r="CO151" i="2"/>
  <c r="L152" i="2"/>
  <c r="Q152" i="2" s="1"/>
  <c r="X152" i="2"/>
  <c r="AG152" i="2"/>
  <c r="AO152" i="2"/>
  <c r="AP152" i="2"/>
  <c r="AW152" i="2"/>
  <c r="AX152" i="2"/>
  <c r="AY152" i="2"/>
  <c r="AZ152" i="2" s="1"/>
  <c r="BA152" i="2" s="1"/>
  <c r="BB152" i="2"/>
  <c r="BC152" i="2"/>
  <c r="BF152" i="2"/>
  <c r="BH152" i="2"/>
  <c r="BI152" i="2"/>
  <c r="BG152" i="2"/>
  <c r="BJ152" i="2"/>
  <c r="CM152" i="2"/>
  <c r="CO152" i="2"/>
  <c r="L153" i="2"/>
  <c r="Q153" i="2" s="1"/>
  <c r="X153" i="2"/>
  <c r="AG153" i="2"/>
  <c r="AO153" i="2"/>
  <c r="AP153" i="2"/>
  <c r="AW153" i="2"/>
  <c r="AX153" i="2"/>
  <c r="AZ153" i="2" s="1"/>
  <c r="AY153" i="2"/>
  <c r="BB153" i="2"/>
  <c r="BC153" i="2"/>
  <c r="BF153" i="2"/>
  <c r="BH153" i="2"/>
  <c r="BI153" i="2"/>
  <c r="BJ153" i="2"/>
  <c r="CM153" i="2"/>
  <c r="CO153" i="2"/>
  <c r="L154" i="2"/>
  <c r="Q154" i="2"/>
  <c r="X154" i="2"/>
  <c r="AG154" i="2"/>
  <c r="AO154" i="2"/>
  <c r="AP154" i="2"/>
  <c r="AW154" i="2"/>
  <c r="AX154" i="2"/>
  <c r="AY154" i="2"/>
  <c r="BB154" i="2"/>
  <c r="BC154" i="2"/>
  <c r="BF154" i="2"/>
  <c r="BG154" i="2" s="1"/>
  <c r="BH154" i="2"/>
  <c r="BI154" i="2"/>
  <c r="BJ154" i="2"/>
  <c r="CM154" i="2"/>
  <c r="CO154" i="2"/>
  <c r="L155" i="2"/>
  <c r="Q155" i="2" s="1"/>
  <c r="X155" i="2"/>
  <c r="AG155" i="2"/>
  <c r="AO155" i="2"/>
  <c r="AP155" i="2"/>
  <c r="AW155" i="2"/>
  <c r="AX155" i="2"/>
  <c r="AY155" i="2"/>
  <c r="AZ155" i="2" s="1"/>
  <c r="BB155" i="2"/>
  <c r="BC155" i="2"/>
  <c r="BF155" i="2"/>
  <c r="BG155" i="2" s="1"/>
  <c r="BH155" i="2"/>
  <c r="BI155" i="2"/>
  <c r="BJ155" i="2"/>
  <c r="L156" i="2"/>
  <c r="Q156" i="2" s="1"/>
  <c r="X156" i="2"/>
  <c r="AG156" i="2"/>
  <c r="AO156" i="2"/>
  <c r="AP156" i="2"/>
  <c r="AW156" i="2"/>
  <c r="AX156" i="2"/>
  <c r="AZ156" i="2" s="1"/>
  <c r="AY156" i="2"/>
  <c r="BB156" i="2"/>
  <c r="BC156" i="2"/>
  <c r="BF156" i="2"/>
  <c r="BG156" i="2" s="1"/>
  <c r="BH156" i="2"/>
  <c r="BI156" i="2"/>
  <c r="BJ156" i="2"/>
  <c r="L157" i="2"/>
  <c r="Q157" i="2"/>
  <c r="X157" i="2"/>
  <c r="AG157" i="2"/>
  <c r="AO157" i="2"/>
  <c r="AP157" i="2"/>
  <c r="AW157" i="2"/>
  <c r="AX157" i="2"/>
  <c r="AY157" i="2"/>
  <c r="AZ157" i="2"/>
  <c r="BB157" i="2"/>
  <c r="BC157" i="2"/>
  <c r="BF157" i="2"/>
  <c r="BG157" i="2" s="1"/>
  <c r="BH157" i="2"/>
  <c r="BI157" i="2"/>
  <c r="BJ157" i="2"/>
  <c r="O158" i="2"/>
  <c r="T160" i="2"/>
  <c r="W160" i="2"/>
  <c r="W163" i="2"/>
  <c r="BM11" i="2"/>
  <c r="T167" i="2"/>
  <c r="W167" i="2"/>
  <c r="U167" i="2" s="1"/>
  <c r="W170" i="2"/>
  <c r="AZ34" i="2"/>
  <c r="AZ86" i="2"/>
  <c r="AZ55" i="2"/>
  <c r="AZ106" i="2"/>
  <c r="AZ67" i="2"/>
  <c r="AZ154" i="2"/>
  <c r="AZ104" i="2"/>
  <c r="AZ40" i="2"/>
  <c r="BG44" i="2"/>
  <c r="AZ82" i="2"/>
  <c r="AZ134" i="2"/>
  <c r="AZ119" i="2"/>
  <c r="AZ140" i="2"/>
  <c r="AZ16" i="2"/>
  <c r="AZ80" i="2"/>
  <c r="CR8" i="2" a="1"/>
  <c r="CR8" i="4" a="1"/>
  <c r="BG17" i="2" l="1"/>
  <c r="BG26" i="2"/>
  <c r="BG14" i="2"/>
  <c r="BG16" i="2"/>
  <c r="BA7" i="2"/>
  <c r="BD7" i="2" s="1"/>
  <c r="C3" i="3"/>
  <c r="AK11" i="4"/>
  <c r="AK121" i="4"/>
  <c r="AK91" i="4"/>
  <c r="AK110" i="4"/>
  <c r="AK39" i="4"/>
  <c r="AK50" i="4"/>
  <c r="AK76" i="4"/>
  <c r="BA132" i="4"/>
  <c r="BA77" i="4"/>
  <c r="BA103" i="4"/>
  <c r="BA107" i="4"/>
  <c r="BA44" i="4"/>
  <c r="BA46" i="4"/>
  <c r="BA48" i="4"/>
  <c r="AK90" i="4"/>
  <c r="AK65" i="4"/>
  <c r="BA119" i="4"/>
  <c r="AM119" i="4" s="1"/>
  <c r="BA116" i="4"/>
  <c r="AM116" i="4" s="1"/>
  <c r="BA78" i="4"/>
  <c r="AZ79" i="4"/>
  <c r="BA156" i="4"/>
  <c r="BD156" i="4" s="1"/>
  <c r="BA91" i="4"/>
  <c r="BD91" i="4" s="1"/>
  <c r="BA154" i="4"/>
  <c r="AM154" i="4" s="1"/>
  <c r="AZ121" i="4"/>
  <c r="AZ11" i="4"/>
  <c r="AZ93" i="4"/>
  <c r="BA93" i="4" s="1"/>
  <c r="BA52" i="4"/>
  <c r="BA54" i="4"/>
  <c r="BD54" i="4" s="1"/>
  <c r="AQ54" i="4" s="1"/>
  <c r="BA117" i="4"/>
  <c r="AZ131" i="4"/>
  <c r="AZ42" i="4"/>
  <c r="BA42" i="4" s="1"/>
  <c r="AZ114" i="4"/>
  <c r="BA114" i="4" s="1"/>
  <c r="AM114" i="4" s="1"/>
  <c r="AK134" i="4"/>
  <c r="BA59" i="4"/>
  <c r="BD59" i="4" s="1"/>
  <c r="AQ59" i="4" s="1"/>
  <c r="AZ102" i="4"/>
  <c r="BA102" i="4" s="1"/>
  <c r="AZ39" i="4"/>
  <c r="BA39" i="4" s="1"/>
  <c r="AM39" i="4" s="1"/>
  <c r="AZ151" i="4"/>
  <c r="BA151" i="4" s="1"/>
  <c r="BD151" i="4" s="1"/>
  <c r="AK21" i="4"/>
  <c r="AK23" i="4"/>
  <c r="AK25" i="4"/>
  <c r="AK75" i="4"/>
  <c r="AK140" i="4"/>
  <c r="AK15" i="4"/>
  <c r="AK89" i="4"/>
  <c r="BD55" i="4"/>
  <c r="AQ55" i="4" s="1"/>
  <c r="AM55" i="4"/>
  <c r="AZ128" i="4"/>
  <c r="BA128" i="4" s="1"/>
  <c r="BD128" i="4" s="1"/>
  <c r="AQ128" i="4" s="1"/>
  <c r="BA76" i="4"/>
  <c r="AM76" i="4" s="1"/>
  <c r="BG85" i="4"/>
  <c r="AK97" i="4"/>
  <c r="BG156" i="4"/>
  <c r="AZ37" i="4"/>
  <c r="BA37" i="4" s="1"/>
  <c r="AM37" i="4" s="1"/>
  <c r="AZ50" i="4"/>
  <c r="BA50" i="4" s="1"/>
  <c r="BG104" i="4"/>
  <c r="AZ130" i="4"/>
  <c r="BA130" i="4" s="1"/>
  <c r="BD130" i="4" s="1"/>
  <c r="AQ130" i="4" s="1"/>
  <c r="BG152" i="4"/>
  <c r="BG81" i="4"/>
  <c r="AZ152" i="4"/>
  <c r="BA152" i="4" s="1"/>
  <c r="BD152" i="4" s="1"/>
  <c r="AQ152" i="4" s="1"/>
  <c r="AZ141" i="4"/>
  <c r="AM52" i="4"/>
  <c r="BA63" i="4"/>
  <c r="BG91" i="4"/>
  <c r="AQ91" i="4" s="1"/>
  <c r="BA95" i="4"/>
  <c r="BA121" i="4"/>
  <c r="BD121" i="4" s="1"/>
  <c r="AQ121" i="4" s="1"/>
  <c r="AZ17" i="4"/>
  <c r="BA17" i="4" s="1"/>
  <c r="AZ19" i="4"/>
  <c r="BA19" i="4" s="1"/>
  <c r="AZ29" i="4"/>
  <c r="BA29" i="4" s="1"/>
  <c r="BG37" i="4"/>
  <c r="AZ65" i="4"/>
  <c r="BA65" i="4" s="1"/>
  <c r="AZ97" i="4"/>
  <c r="BA97" i="4" s="1"/>
  <c r="AZ110" i="4"/>
  <c r="BA110" i="4" s="1"/>
  <c r="BD110" i="4" s="1"/>
  <c r="AQ110" i="4" s="1"/>
  <c r="BA147" i="4"/>
  <c r="AM147" i="4" s="1"/>
  <c r="AK157" i="4"/>
  <c r="BA80" i="4"/>
  <c r="AZ15" i="4"/>
  <c r="BA15" i="4" s="1"/>
  <c r="AM15" i="4" s="1"/>
  <c r="AZ43" i="4"/>
  <c r="BA43" i="4" s="1"/>
  <c r="AZ56" i="4"/>
  <c r="BA56" i="4" s="1"/>
  <c r="AM56" i="4" s="1"/>
  <c r="AZ67" i="4"/>
  <c r="BA67" i="4" s="1"/>
  <c r="AZ99" i="4"/>
  <c r="BA99" i="4" s="1"/>
  <c r="BG108" i="4"/>
  <c r="BG23" i="4"/>
  <c r="BG33" i="4"/>
  <c r="BG41" i="4"/>
  <c r="AZ45" i="4"/>
  <c r="BA45" i="4" s="1"/>
  <c r="AZ58" i="4"/>
  <c r="BG119" i="4"/>
  <c r="AZ136" i="4"/>
  <c r="BG134" i="4"/>
  <c r="BG43" i="4"/>
  <c r="BG56" i="4"/>
  <c r="AZ71" i="4"/>
  <c r="BA71" i="4" s="1"/>
  <c r="AZ86" i="4"/>
  <c r="BA86" i="4" s="1"/>
  <c r="BG99" i="4"/>
  <c r="AZ125" i="4"/>
  <c r="BA125" i="4" s="1"/>
  <c r="BA153" i="4"/>
  <c r="BD153" i="4" s="1"/>
  <c r="AQ153" i="4" s="1"/>
  <c r="BA127" i="4"/>
  <c r="BA142" i="4"/>
  <c r="BD142" i="4" s="1"/>
  <c r="AQ142" i="4" s="1"/>
  <c r="AZ139" i="4"/>
  <c r="BA139" i="4" s="1"/>
  <c r="BA74" i="4"/>
  <c r="AM74" i="4" s="1"/>
  <c r="BA60" i="4"/>
  <c r="BD60" i="4" s="1"/>
  <c r="AQ60" i="4" s="1"/>
  <c r="AZ47" i="4"/>
  <c r="BA47" i="4" s="1"/>
  <c r="AM47" i="4" s="1"/>
  <c r="BA89" i="4"/>
  <c r="BD89" i="4" s="1"/>
  <c r="AQ89" i="4" s="1"/>
  <c r="AZ75" i="4"/>
  <c r="BA75" i="4" s="1"/>
  <c r="AZ90" i="4"/>
  <c r="BA90" i="4" s="1"/>
  <c r="BA118" i="4"/>
  <c r="BD118" i="4" s="1"/>
  <c r="AQ118" i="4" s="1"/>
  <c r="BA129" i="4"/>
  <c r="AZ88" i="4"/>
  <c r="BA88" i="4" s="1"/>
  <c r="AK64" i="4"/>
  <c r="AK66" i="4"/>
  <c r="BG73" i="4"/>
  <c r="AK98" i="4"/>
  <c r="BG105" i="4"/>
  <c r="BG155" i="4"/>
  <c r="BG157" i="4"/>
  <c r="AZ36" i="4"/>
  <c r="BA36" i="4" s="1"/>
  <c r="AZ51" i="4"/>
  <c r="BA51" i="4" s="1"/>
  <c r="AZ62" i="4"/>
  <c r="BA62" i="4" s="1"/>
  <c r="BG88" i="4"/>
  <c r="BA144" i="4"/>
  <c r="AZ20" i="4"/>
  <c r="BA20" i="4" s="1"/>
  <c r="AZ22" i="4"/>
  <c r="BA22" i="4" s="1"/>
  <c r="BA146" i="4"/>
  <c r="BD146" i="4" s="1"/>
  <c r="AQ146" i="4" s="1"/>
  <c r="AK150" i="4"/>
  <c r="AK59" i="4"/>
  <c r="BA79" i="4"/>
  <c r="AM79" i="4" s="1"/>
  <c r="BG90" i="4"/>
  <c r="BA157" i="4"/>
  <c r="AK51" i="4"/>
  <c r="BG36" i="4"/>
  <c r="BG51" i="4"/>
  <c r="BA57" i="4"/>
  <c r="AM57" i="4" s="1"/>
  <c r="AZ64" i="4"/>
  <c r="BA64" i="4" s="1"/>
  <c r="BA81" i="4"/>
  <c r="AM81" i="4" s="1"/>
  <c r="AZ96" i="4"/>
  <c r="BA96" i="4" s="1"/>
  <c r="AZ120" i="4"/>
  <c r="BA120" i="4" s="1"/>
  <c r="BA122" i="4"/>
  <c r="BD122" i="4" s="1"/>
  <c r="AQ122" i="4" s="1"/>
  <c r="BG144" i="4"/>
  <c r="BG55" i="4"/>
  <c r="AK61" i="4"/>
  <c r="AK74" i="4"/>
  <c r="AK104" i="4"/>
  <c r="AK106" i="4"/>
  <c r="AK96" i="4"/>
  <c r="BG79" i="4"/>
  <c r="BG137" i="4"/>
  <c r="BG28" i="4"/>
  <c r="BG30" i="4"/>
  <c r="BG32" i="4"/>
  <c r="BG64" i="4"/>
  <c r="AZ70" i="4"/>
  <c r="BA70" i="4" s="1"/>
  <c r="BA85" i="4"/>
  <c r="BG96" i="4"/>
  <c r="AZ113" i="4"/>
  <c r="BA113" i="4" s="1"/>
  <c r="BD113" i="4" s="1"/>
  <c r="AQ113" i="4" s="1"/>
  <c r="AZ124" i="4"/>
  <c r="BA124" i="4" s="1"/>
  <c r="AK128" i="4"/>
  <c r="BG133" i="4"/>
  <c r="AZ150" i="4"/>
  <c r="BA150" i="4" s="1"/>
  <c r="AM150" i="4" s="1"/>
  <c r="BA8" i="4"/>
  <c r="BD8" i="4" s="1"/>
  <c r="AQ8" i="4" s="1"/>
  <c r="BA7" i="4"/>
  <c r="AM7" i="4" s="1"/>
  <c r="BA23" i="4"/>
  <c r="BA25" i="4"/>
  <c r="BD25" i="4" s="1"/>
  <c r="BA16" i="4"/>
  <c r="BD16" i="4" s="1"/>
  <c r="BA18" i="4"/>
  <c r="BD18" i="4" s="1"/>
  <c r="AZ12" i="4"/>
  <c r="BA12" i="4" s="1"/>
  <c r="AM12" i="4" s="1"/>
  <c r="AZ24" i="4"/>
  <c r="BA24" i="4" s="1"/>
  <c r="AZ32" i="4"/>
  <c r="BA32" i="4" s="1"/>
  <c r="AK108" i="4"/>
  <c r="AK145" i="4"/>
  <c r="AK27" i="4"/>
  <c r="AK29" i="4"/>
  <c r="AK41" i="4"/>
  <c r="AK52" i="4"/>
  <c r="AK95" i="4"/>
  <c r="AK116" i="4"/>
  <c r="AK133" i="4"/>
  <c r="AK146" i="4"/>
  <c r="AK57" i="4"/>
  <c r="AK68" i="4"/>
  <c r="AK122" i="4"/>
  <c r="AK124" i="4"/>
  <c r="AK136" i="4"/>
  <c r="AK139" i="4"/>
  <c r="AK69" i="4"/>
  <c r="AK84" i="4"/>
  <c r="AK60" i="4"/>
  <c r="AK16" i="4"/>
  <c r="AK18" i="4"/>
  <c r="AK77" i="4"/>
  <c r="AK92" i="4"/>
  <c r="AK107" i="4"/>
  <c r="AK118" i="4"/>
  <c r="AK30" i="4"/>
  <c r="AK42" i="4"/>
  <c r="AK55" i="4"/>
  <c r="AK79" i="4"/>
  <c r="AK120" i="4"/>
  <c r="AK143" i="4"/>
  <c r="AK56" i="4"/>
  <c r="AK99" i="4"/>
  <c r="AK147" i="4"/>
  <c r="AK26" i="4"/>
  <c r="AK28" i="4"/>
  <c r="AK40" i="4"/>
  <c r="AK53" i="4"/>
  <c r="AK94" i="4"/>
  <c r="AK109" i="4"/>
  <c r="BG20" i="4"/>
  <c r="AK71" i="4"/>
  <c r="AK86" i="4"/>
  <c r="AK24" i="4"/>
  <c r="AK144" i="4"/>
  <c r="AK131" i="4"/>
  <c r="AK81" i="4"/>
  <c r="AK100" i="4"/>
  <c r="AK111" i="4"/>
  <c r="AK135" i="4"/>
  <c r="AK148" i="4"/>
  <c r="AK137" i="4"/>
  <c r="AK82" i="4"/>
  <c r="AK123" i="4"/>
  <c r="AK142" i="4"/>
  <c r="AK155" i="4"/>
  <c r="AK83" i="4"/>
  <c r="AK70" i="4"/>
  <c r="AK85" i="4"/>
  <c r="AK102" i="4"/>
  <c r="AK113" i="4"/>
  <c r="AK72" i="4"/>
  <c r="AK126" i="4"/>
  <c r="AK31" i="4"/>
  <c r="AK132" i="4"/>
  <c r="BG7" i="4"/>
  <c r="AK45" i="4"/>
  <c r="AK58" i="4"/>
  <c r="AK88" i="4"/>
  <c r="AK151" i="4"/>
  <c r="AK47" i="4"/>
  <c r="AK105" i="4"/>
  <c r="AK46" i="4"/>
  <c r="AK87" i="4"/>
  <c r="AK115" i="4"/>
  <c r="BG21" i="4"/>
  <c r="BG19" i="4"/>
  <c r="BG10" i="4"/>
  <c r="BG14" i="4"/>
  <c r="BG16" i="4"/>
  <c r="BG18" i="4"/>
  <c r="BG22" i="4"/>
  <c r="BG17" i="4"/>
  <c r="BG15" i="4"/>
  <c r="BG13" i="4"/>
  <c r="BG12" i="4"/>
  <c r="BG11" i="4"/>
  <c r="AK7" i="4"/>
  <c r="AK67" i="4"/>
  <c r="AK130" i="4"/>
  <c r="BG24" i="4"/>
  <c r="AK153" i="4"/>
  <c r="BA11" i="4"/>
  <c r="BD11" i="4" s="1"/>
  <c r="AQ11" i="4" s="1"/>
  <c r="AK49" i="4"/>
  <c r="AK73" i="4"/>
  <c r="AK101" i="4"/>
  <c r="AK125" i="4"/>
  <c r="AK149" i="4"/>
  <c r="BA30" i="4"/>
  <c r="BG9" i="4"/>
  <c r="BA28" i="4"/>
  <c r="AK62" i="4"/>
  <c r="AK103" i="4"/>
  <c r="AK127" i="4"/>
  <c r="AK138" i="4"/>
  <c r="BG25" i="4"/>
  <c r="BA34" i="4"/>
  <c r="BD34" i="4" s="1"/>
  <c r="AQ34" i="4" s="1"/>
  <c r="BG26" i="4"/>
  <c r="BA14" i="4"/>
  <c r="AM14" i="4" s="1"/>
  <c r="BG27" i="4"/>
  <c r="AK54" i="4"/>
  <c r="AK93" i="4"/>
  <c r="AK117" i="4"/>
  <c r="AK141" i="4"/>
  <c r="AK152" i="4"/>
  <c r="AK19" i="4"/>
  <c r="BA10" i="4"/>
  <c r="BD10" i="4" s="1"/>
  <c r="AK22" i="4"/>
  <c r="AM33" i="4"/>
  <c r="AK43" i="4"/>
  <c r="AK78" i="4"/>
  <c r="AK156" i="4"/>
  <c r="CR8" i="4"/>
  <c r="AM80" i="4"/>
  <c r="BD80" i="4"/>
  <c r="AQ80" i="4" s="1"/>
  <c r="AM103" i="4"/>
  <c r="BD103" i="4"/>
  <c r="AQ103" i="4" s="1"/>
  <c r="AM77" i="4"/>
  <c r="BD77" i="4"/>
  <c r="AQ77" i="4" s="1"/>
  <c r="AM107" i="4"/>
  <c r="BD107" i="4"/>
  <c r="AQ107" i="4" s="1"/>
  <c r="AM44" i="4"/>
  <c r="BD44" i="4"/>
  <c r="AQ44" i="4" s="1"/>
  <c r="AM144" i="4"/>
  <c r="BD144" i="4"/>
  <c r="AQ144" i="4" s="1"/>
  <c r="AM41" i="4"/>
  <c r="BD41" i="4"/>
  <c r="BA149" i="4"/>
  <c r="BA138" i="4"/>
  <c r="AM48" i="4"/>
  <c r="BD48" i="4"/>
  <c r="AQ48" i="4" s="1"/>
  <c r="BD21" i="4"/>
  <c r="AM21" i="4"/>
  <c r="AG158" i="4"/>
  <c r="BA109" i="4"/>
  <c r="BA13" i="4"/>
  <c r="BA26" i="4"/>
  <c r="BD28" i="4"/>
  <c r="AQ28" i="4" s="1"/>
  <c r="AM28" i="4"/>
  <c r="BG116" i="4"/>
  <c r="AM78" i="4"/>
  <c r="BD78" i="4"/>
  <c r="AQ78" i="4" s="1"/>
  <c r="BA40" i="4"/>
  <c r="BA106" i="4"/>
  <c r="AM111" i="4"/>
  <c r="BD111" i="4"/>
  <c r="AQ111" i="4" s="1"/>
  <c r="BD33" i="4"/>
  <c r="AK63" i="4"/>
  <c r="BA94" i="4"/>
  <c r="BD132" i="4"/>
  <c r="AQ132" i="4" s="1"/>
  <c r="AM132" i="4"/>
  <c r="AZ66" i="4"/>
  <c r="BA66" i="4" s="1"/>
  <c r="BA115" i="4"/>
  <c r="CO159" i="4"/>
  <c r="T160" i="4"/>
  <c r="BN7" i="4"/>
  <c r="W163" i="4" s="1"/>
  <c r="BA141" i="4"/>
  <c r="BD49" i="4"/>
  <c r="AQ49" i="4" s="1"/>
  <c r="AM49" i="4"/>
  <c r="BD68" i="4"/>
  <c r="AQ68" i="4" s="1"/>
  <c r="AM68" i="4"/>
  <c r="AM46" i="4"/>
  <c r="BD46" i="4"/>
  <c r="AQ46" i="4" s="1"/>
  <c r="BA9" i="4"/>
  <c r="AM112" i="4"/>
  <c r="BD112" i="4"/>
  <c r="AQ112" i="4" s="1"/>
  <c r="AM143" i="4"/>
  <c r="BD143" i="4"/>
  <c r="AQ143" i="4" s="1"/>
  <c r="AZ31" i="4"/>
  <c r="BA31" i="4" s="1"/>
  <c r="AZ98" i="4"/>
  <c r="BA98" i="4" s="1"/>
  <c r="AK114" i="4"/>
  <c r="AZ134" i="4"/>
  <c r="BA134" i="4" s="1"/>
  <c r="BA82" i="4"/>
  <c r="BA35" i="4"/>
  <c r="BA73" i="4"/>
  <c r="BG40" i="4"/>
  <c r="AK48" i="4"/>
  <c r="BD52" i="4"/>
  <c r="AQ52" i="4" s="1"/>
  <c r="BA69" i="4"/>
  <c r="BA148" i="4"/>
  <c r="AZ92" i="4"/>
  <c r="BA92" i="4" s="1"/>
  <c r="AK119" i="4"/>
  <c r="AM156" i="4"/>
  <c r="BA137" i="4"/>
  <c r="BG151" i="4"/>
  <c r="BA58" i="4"/>
  <c r="AZ133" i="4"/>
  <c r="BA133" i="4" s="1"/>
  <c r="BA140" i="4"/>
  <c r="AM87" i="4"/>
  <c r="AZ101" i="4"/>
  <c r="BA101" i="4" s="1"/>
  <c r="BA123" i="4"/>
  <c r="BA84" i="4"/>
  <c r="BA105" i="4"/>
  <c r="BA38" i="4"/>
  <c r="BA72" i="4"/>
  <c r="BA108" i="4"/>
  <c r="AM122" i="4"/>
  <c r="E158" i="4"/>
  <c r="G3" i="3" s="1"/>
  <c r="BD145" i="4"/>
  <c r="AQ145" i="4" s="1"/>
  <c r="AK44" i="4"/>
  <c r="AK80" i="4"/>
  <c r="BA136" i="4"/>
  <c r="AZ27" i="4"/>
  <c r="BA27" i="4" s="1"/>
  <c r="BA61" i="4"/>
  <c r="BA100" i="4"/>
  <c r="I158" i="4"/>
  <c r="BG87" i="4"/>
  <c r="BA104" i="4"/>
  <c r="BA135" i="4"/>
  <c r="BG75" i="4"/>
  <c r="AK112" i="4"/>
  <c r="BA131" i="4"/>
  <c r="AQ87" i="4"/>
  <c r="W170" i="4"/>
  <c r="U167" i="4" s="1"/>
  <c r="T167" i="4"/>
  <c r="L158" i="4"/>
  <c r="X32" i="4"/>
  <c r="AK32" i="4" s="1"/>
  <c r="X33" i="4"/>
  <c r="AK33" i="4" s="1"/>
  <c r="X34" i="4"/>
  <c r="AK34" i="4" s="1"/>
  <c r="X35" i="4"/>
  <c r="AK35" i="4" s="1"/>
  <c r="X38" i="4"/>
  <c r="AK38" i="4" s="1"/>
  <c r="X36" i="4"/>
  <c r="AK36" i="4" s="1"/>
  <c r="X37" i="4"/>
  <c r="AK37" i="4" s="1"/>
  <c r="X14" i="4"/>
  <c r="AK14" i="4" s="1"/>
  <c r="X13" i="4"/>
  <c r="AK13" i="4" s="1"/>
  <c r="X12" i="4"/>
  <c r="AK12" i="4" s="1"/>
  <c r="X10" i="4"/>
  <c r="AK10" i="4" s="1"/>
  <c r="X17" i="4"/>
  <c r="AK17" i="4" s="1"/>
  <c r="X8" i="4"/>
  <c r="AK8" i="4" s="1"/>
  <c r="X20" i="4"/>
  <c r="AK20" i="4" s="1"/>
  <c r="BA53" i="4"/>
  <c r="BA83" i="4"/>
  <c r="BA126" i="4"/>
  <c r="BA155" i="4"/>
  <c r="B158" i="4"/>
  <c r="AZ13" i="2"/>
  <c r="AZ9" i="2"/>
  <c r="AZ24" i="2"/>
  <c r="AZ18" i="2"/>
  <c r="BA18" i="2" s="1"/>
  <c r="AZ10" i="2"/>
  <c r="BA10" i="2" s="1"/>
  <c r="BD10" i="2" s="1"/>
  <c r="BA54" i="2"/>
  <c r="BA153" i="2"/>
  <c r="AZ95" i="2"/>
  <c r="BA157" i="2"/>
  <c r="BD157" i="2" s="1"/>
  <c r="AZ91" i="2"/>
  <c r="AZ58" i="2"/>
  <c r="BA58" i="2" s="1"/>
  <c r="BD58" i="2" s="1"/>
  <c r="BG50" i="2"/>
  <c r="AZ56" i="2"/>
  <c r="AZ79" i="2"/>
  <c r="BA50" i="2"/>
  <c r="AM50" i="2" s="1"/>
  <c r="AZ46" i="2"/>
  <c r="BA17" i="2"/>
  <c r="AM17" i="2" s="1"/>
  <c r="BA15" i="2"/>
  <c r="BD15" i="2" s="1"/>
  <c r="AZ112" i="2"/>
  <c r="BA112" i="2" s="1"/>
  <c r="BD112" i="2" s="1"/>
  <c r="AQ112" i="2" s="1"/>
  <c r="BD135" i="2"/>
  <c r="AZ110" i="2"/>
  <c r="AZ139" i="2"/>
  <c r="AZ108" i="2"/>
  <c r="BA40" i="2"/>
  <c r="BD40" i="2" s="1"/>
  <c r="AZ149" i="2"/>
  <c r="BA149" i="2" s="1"/>
  <c r="AZ147" i="2"/>
  <c r="AZ116" i="2"/>
  <c r="AZ81" i="2"/>
  <c r="BA81" i="2" s="1"/>
  <c r="BD77" i="2"/>
  <c r="BA52" i="2"/>
  <c r="AM52" i="2" s="1"/>
  <c r="BA114" i="2"/>
  <c r="BD114" i="2" s="1"/>
  <c r="BG100" i="2"/>
  <c r="AZ133" i="2"/>
  <c r="AZ102" i="2"/>
  <c r="BA102" i="2" s="1"/>
  <c r="AZ75" i="2"/>
  <c r="BA75" i="2" s="1"/>
  <c r="BD75" i="2" s="1"/>
  <c r="AZ73" i="2"/>
  <c r="BA73" i="2" s="1"/>
  <c r="BD73" i="2" s="1"/>
  <c r="AZ71" i="2"/>
  <c r="BA71" i="2" s="1"/>
  <c r="BD71" i="2" s="1"/>
  <c r="AZ50" i="2"/>
  <c r="AZ69" i="2"/>
  <c r="AZ96" i="2"/>
  <c r="BA127" i="2"/>
  <c r="AZ125" i="2"/>
  <c r="AM84" i="2"/>
  <c r="AZ26" i="2"/>
  <c r="BA26" i="2" s="1"/>
  <c r="AZ145" i="2"/>
  <c r="AZ63" i="2"/>
  <c r="AZ90" i="2"/>
  <c r="BA90" i="2" s="1"/>
  <c r="BD90" i="2" s="1"/>
  <c r="AQ90" i="2" s="1"/>
  <c r="AZ59" i="2"/>
  <c r="AZ130" i="2"/>
  <c r="AZ53" i="2"/>
  <c r="AZ132" i="2"/>
  <c r="BA132" i="2" s="1"/>
  <c r="BD132" i="2" s="1"/>
  <c r="AZ48" i="2"/>
  <c r="AZ146" i="2"/>
  <c r="AZ144" i="2"/>
  <c r="BG140" i="2"/>
  <c r="AQ140" i="2" s="1"/>
  <c r="BG105" i="2"/>
  <c r="BG103" i="2"/>
  <c r="AZ51" i="2"/>
  <c r="BA51" i="2" s="1"/>
  <c r="AZ49" i="2"/>
  <c r="AZ12" i="2"/>
  <c r="BA12" i="2" s="1"/>
  <c r="BD12" i="2" s="1"/>
  <c r="AZ74" i="2"/>
  <c r="BA74" i="2" s="1"/>
  <c r="BG91" i="2"/>
  <c r="BG42" i="2"/>
  <c r="BA148" i="2"/>
  <c r="AZ117" i="2"/>
  <c r="BA117" i="2" s="1"/>
  <c r="AZ115" i="2"/>
  <c r="BA115" i="2" s="1"/>
  <c r="AZ78" i="2"/>
  <c r="BA78" i="2" s="1"/>
  <c r="AZ47" i="2"/>
  <c r="BA47" i="2" s="1"/>
  <c r="BA16" i="2"/>
  <c r="AM152" i="2"/>
  <c r="AZ150" i="2"/>
  <c r="BA80" i="2"/>
  <c r="BG72" i="2"/>
  <c r="AZ45" i="2"/>
  <c r="BA45" i="2" s="1"/>
  <c r="AZ129" i="2"/>
  <c r="BG109" i="2"/>
  <c r="AZ107" i="2"/>
  <c r="BA107" i="2" s="1"/>
  <c r="AZ105" i="2"/>
  <c r="AZ103" i="2"/>
  <c r="AZ41" i="2"/>
  <c r="AZ72" i="2"/>
  <c r="BA72" i="2" s="1"/>
  <c r="BD72" i="2" s="1"/>
  <c r="AQ72" i="2" s="1"/>
  <c r="AZ97" i="2"/>
  <c r="BA97" i="2" s="1"/>
  <c r="BG89" i="2"/>
  <c r="BG93" i="2"/>
  <c r="AQ157" i="2"/>
  <c r="BA46" i="2"/>
  <c r="BD46" i="2" s="1"/>
  <c r="BA95" i="2"/>
  <c r="BD95" i="2" s="1"/>
  <c r="AQ95" i="2" s="1"/>
  <c r="BA96" i="2"/>
  <c r="AM96" i="2" s="1"/>
  <c r="BA147" i="2"/>
  <c r="BA49" i="2"/>
  <c r="BD49" i="2" s="1"/>
  <c r="AQ49" i="2" s="1"/>
  <c r="BA105" i="2"/>
  <c r="BD105" i="2" s="1"/>
  <c r="AQ105" i="2" s="1"/>
  <c r="BA139" i="2"/>
  <c r="BD139" i="2" s="1"/>
  <c r="BA103" i="2"/>
  <c r="BD103" i="2" s="1"/>
  <c r="AQ103" i="2" s="1"/>
  <c r="BA41" i="2"/>
  <c r="BD41" i="2" s="1"/>
  <c r="AQ41" i="2" s="1"/>
  <c r="BG33" i="2"/>
  <c r="BA111" i="2"/>
  <c r="BD111" i="2" s="1"/>
  <c r="BA94" i="2"/>
  <c r="BD94" i="2" s="1"/>
  <c r="BA126" i="2"/>
  <c r="BA92" i="2"/>
  <c r="BA43" i="2"/>
  <c r="BD43" i="2" s="1"/>
  <c r="BA137" i="2"/>
  <c r="BD137" i="2" s="1"/>
  <c r="BA11" i="2"/>
  <c r="BD11" i="2" s="1"/>
  <c r="BG146" i="2"/>
  <c r="BG95" i="2"/>
  <c r="BA88" i="2"/>
  <c r="BD88" i="2" s="1"/>
  <c r="BA22" i="2"/>
  <c r="BD22" i="2" s="1"/>
  <c r="AK156" i="2"/>
  <c r="AK154" i="2"/>
  <c r="BA122" i="2"/>
  <c r="BD122" i="2" s="1"/>
  <c r="BA86" i="2"/>
  <c r="BD86" i="2" s="1"/>
  <c r="BG48" i="2"/>
  <c r="AK41" i="2"/>
  <c r="BA37" i="2"/>
  <c r="AM37" i="2" s="1"/>
  <c r="BA145" i="2"/>
  <c r="W161" i="2"/>
  <c r="W162" i="2" s="1"/>
  <c r="U162" i="2" s="1"/>
  <c r="BA154" i="2"/>
  <c r="AM154" i="2" s="1"/>
  <c r="U160" i="2"/>
  <c r="BA35" i="2"/>
  <c r="AM35" i="2" s="1"/>
  <c r="BA9" i="2"/>
  <c r="BD9" i="2" s="1"/>
  <c r="AQ9" i="2" s="1"/>
  <c r="BA150" i="2"/>
  <c r="BD150" i="2" s="1"/>
  <c r="AQ150" i="2" s="1"/>
  <c r="BA133" i="2"/>
  <c r="BD133" i="2" s="1"/>
  <c r="BA69" i="2"/>
  <c r="AM69" i="2" s="1"/>
  <c r="AM157" i="2"/>
  <c r="BA120" i="2"/>
  <c r="BD120" i="2" s="1"/>
  <c r="AQ120" i="2" s="1"/>
  <c r="BG112" i="2"/>
  <c r="BA99" i="2"/>
  <c r="BD99" i="2" s="1"/>
  <c r="BA67" i="2"/>
  <c r="BD67" i="2" s="1"/>
  <c r="BA64" i="2"/>
  <c r="BA109" i="2"/>
  <c r="BA62" i="2"/>
  <c r="BD62" i="2" s="1"/>
  <c r="BA60" i="2"/>
  <c r="BD60" i="2" s="1"/>
  <c r="BA156" i="2"/>
  <c r="AM156" i="2" s="1"/>
  <c r="BA24" i="2"/>
  <c r="AM24" i="2" s="1"/>
  <c r="BA56" i="2"/>
  <c r="AM56" i="2" s="1"/>
  <c r="BA131" i="2"/>
  <c r="BA118" i="2"/>
  <c r="BG104" i="2"/>
  <c r="BA82" i="2"/>
  <c r="AM82" i="2" s="1"/>
  <c r="BA31" i="2"/>
  <c r="AM31" i="2" s="1"/>
  <c r="BA13" i="2"/>
  <c r="BD13" i="2" s="1"/>
  <c r="AK152" i="2"/>
  <c r="BD16" i="2"/>
  <c r="AQ16" i="2" s="1"/>
  <c r="BG153" i="2"/>
  <c r="BA146" i="2"/>
  <c r="AM146" i="2" s="1"/>
  <c r="BG102" i="2"/>
  <c r="BA65" i="2"/>
  <c r="BD65" i="2" s="1"/>
  <c r="AQ65" i="2" s="1"/>
  <c r="AK54" i="2"/>
  <c r="BA129" i="2"/>
  <c r="BD129" i="2" s="1"/>
  <c r="BA142" i="2"/>
  <c r="BD142" i="2" s="1"/>
  <c r="BA108" i="2"/>
  <c r="BD108" i="2" s="1"/>
  <c r="AQ108" i="2" s="1"/>
  <c r="BA93" i="2"/>
  <c r="BD93" i="2" s="1"/>
  <c r="AQ93" i="2" s="1"/>
  <c r="BA61" i="2"/>
  <c r="BD61" i="2" s="1"/>
  <c r="BG151" i="2"/>
  <c r="AK144" i="2"/>
  <c r="BA125" i="2"/>
  <c r="BD125" i="2" s="1"/>
  <c r="BA106" i="2"/>
  <c r="BA104" i="2"/>
  <c r="AM104" i="2" s="1"/>
  <c r="BA44" i="2"/>
  <c r="BG32" i="2"/>
  <c r="BA25" i="2"/>
  <c r="BD25" i="2" s="1"/>
  <c r="BA23" i="2"/>
  <c r="BD23" i="2" s="1"/>
  <c r="BA14" i="2"/>
  <c r="AM14" i="2" s="1"/>
  <c r="BA28" i="2"/>
  <c r="BD28" i="2" s="1"/>
  <c r="BA8" i="2"/>
  <c r="AM8" i="2" s="1"/>
  <c r="BD141" i="2"/>
  <c r="BA113" i="2"/>
  <c r="BA155" i="2"/>
  <c r="AM155" i="2" s="1"/>
  <c r="BA76" i="2"/>
  <c r="AM76" i="2" s="1"/>
  <c r="AM40" i="2"/>
  <c r="W168" i="2"/>
  <c r="W169" i="2" s="1"/>
  <c r="U169" i="2" s="1"/>
  <c r="BA121" i="2"/>
  <c r="BD121" i="2" s="1"/>
  <c r="BA85" i="2"/>
  <c r="AM85" i="2" s="1"/>
  <c r="BA70" i="2"/>
  <c r="BD70" i="2" s="1"/>
  <c r="AQ70" i="2" s="1"/>
  <c r="BA36" i="2"/>
  <c r="BD36" i="2" s="1"/>
  <c r="BA130" i="2"/>
  <c r="AM130" i="2" s="1"/>
  <c r="BA30" i="2"/>
  <c r="AM30" i="2" s="1"/>
  <c r="BA144" i="2"/>
  <c r="AM144" i="2" s="1"/>
  <c r="BA48" i="2"/>
  <c r="BD48" i="2" s="1"/>
  <c r="AQ48" i="2" s="1"/>
  <c r="BG10" i="2"/>
  <c r="BD153" i="2"/>
  <c r="AQ153" i="2" s="1"/>
  <c r="BA42" i="2"/>
  <c r="BD42" i="2" s="1"/>
  <c r="AQ42" i="2" s="1"/>
  <c r="BA89" i="2"/>
  <c r="BD89" i="2" s="1"/>
  <c r="BA57" i="2"/>
  <c r="BD57" i="2" s="1"/>
  <c r="BG115" i="2"/>
  <c r="BA100" i="2"/>
  <c r="AM100" i="2" s="1"/>
  <c r="BA55" i="2"/>
  <c r="BA79" i="2"/>
  <c r="AM79" i="2" s="1"/>
  <c r="BA143" i="2"/>
  <c r="AM143" i="2" s="1"/>
  <c r="BA116" i="2"/>
  <c r="AM116" i="2" s="1"/>
  <c r="BA63" i="2"/>
  <c r="AM63" i="2" s="1"/>
  <c r="BM12" i="2"/>
  <c r="AD168" i="2" s="1"/>
  <c r="BA136" i="2"/>
  <c r="BD136" i="2" s="1"/>
  <c r="BG83" i="2"/>
  <c r="AK153" i="2"/>
  <c r="BA119" i="2"/>
  <c r="BD119" i="2" s="1"/>
  <c r="BA68" i="2"/>
  <c r="AM68" i="2" s="1"/>
  <c r="BA32" i="2"/>
  <c r="BD32" i="2" s="1"/>
  <c r="BA19" i="2"/>
  <c r="AM19" i="2" s="1"/>
  <c r="BA29" i="2"/>
  <c r="AM29" i="2" s="1"/>
  <c r="BA110" i="2"/>
  <c r="BD110" i="2" s="1"/>
  <c r="BA27" i="2"/>
  <c r="AM27" i="2" s="1"/>
  <c r="BA91" i="2"/>
  <c r="BD91" i="2" s="1"/>
  <c r="AQ91" i="2" s="1"/>
  <c r="BA138" i="2"/>
  <c r="AM138" i="2" s="1"/>
  <c r="BA59" i="2"/>
  <c r="BD59" i="2" s="1"/>
  <c r="BG98" i="2"/>
  <c r="AQ98" i="2" s="1"/>
  <c r="BA123" i="2"/>
  <c r="AM123" i="2" s="1"/>
  <c r="BA87" i="2"/>
  <c r="BD87" i="2" s="1"/>
  <c r="BA134" i="2"/>
  <c r="AM134" i="2" s="1"/>
  <c r="BG15" i="2"/>
  <c r="BA83" i="2"/>
  <c r="BD83" i="2" s="1"/>
  <c r="BA66" i="2"/>
  <c r="BD66" i="2" s="1"/>
  <c r="BG148" i="2"/>
  <c r="AM140" i="2"/>
  <c r="AK150" i="2"/>
  <c r="BD151" i="2"/>
  <c r="AK157" i="2"/>
  <c r="AM153" i="2"/>
  <c r="AK155" i="2"/>
  <c r="BG149" i="2"/>
  <c r="BD152" i="2"/>
  <c r="AQ152" i="2" s="1"/>
  <c r="AK140" i="2"/>
  <c r="AK151" i="2"/>
  <c r="AK141" i="2"/>
  <c r="AK31" i="2"/>
  <c r="BG141" i="2"/>
  <c r="AK9" i="2"/>
  <c r="BG38" i="2"/>
  <c r="AK13" i="2"/>
  <c r="BG27" i="2"/>
  <c r="AK52" i="2"/>
  <c r="BG23" i="2"/>
  <c r="AK61" i="2"/>
  <c r="BG12" i="2"/>
  <c r="AM7" i="2"/>
  <c r="BG19" i="2"/>
  <c r="BG18" i="2"/>
  <c r="BG13" i="2"/>
  <c r="BG22" i="2"/>
  <c r="BG29" i="2"/>
  <c r="AK15" i="2"/>
  <c r="AK135" i="2"/>
  <c r="BG99" i="2"/>
  <c r="BG69" i="2"/>
  <c r="BG53" i="2"/>
  <c r="BG60" i="2"/>
  <c r="BG65" i="2"/>
  <c r="BG37" i="2"/>
  <c r="BG134" i="2"/>
  <c r="BG35" i="2"/>
  <c r="BG7" i="2"/>
  <c r="AQ7" i="2" s="1"/>
  <c r="BG52" i="2"/>
  <c r="BG76" i="2"/>
  <c r="AK125" i="2"/>
  <c r="BG119" i="2"/>
  <c r="AQ119" i="2" s="1"/>
  <c r="AK84" i="2"/>
  <c r="BG25" i="2"/>
  <c r="AK110" i="2"/>
  <c r="AK39" i="2"/>
  <c r="BG24" i="2"/>
  <c r="BG101" i="2"/>
  <c r="AQ101" i="2" s="1"/>
  <c r="AK28" i="2"/>
  <c r="BG8" i="2"/>
  <c r="BG70" i="2"/>
  <c r="BG135" i="2"/>
  <c r="BG20" i="2"/>
  <c r="AQ20" i="2" s="1"/>
  <c r="AQ23" i="2"/>
  <c r="BG108" i="2"/>
  <c r="BG142" i="2"/>
  <c r="AK148" i="2"/>
  <c r="AK146" i="2"/>
  <c r="L158" i="2"/>
  <c r="E158" i="2"/>
  <c r="G4" i="3" s="1"/>
  <c r="AK149" i="2"/>
  <c r="BG143" i="2"/>
  <c r="AK26" i="2"/>
  <c r="AM148" i="2"/>
  <c r="BD148" i="2"/>
  <c r="BG147" i="2"/>
  <c r="AK56" i="2"/>
  <c r="BD147" i="2"/>
  <c r="AM147" i="2"/>
  <c r="AK147" i="2"/>
  <c r="BD146" i="2"/>
  <c r="AQ146" i="2" s="1"/>
  <c r="BG145" i="2"/>
  <c r="AM145" i="2"/>
  <c r="BD145" i="2"/>
  <c r="AK145" i="2"/>
  <c r="BG144" i="2"/>
  <c r="AK143" i="2"/>
  <c r="AK142" i="2"/>
  <c r="AK62" i="2"/>
  <c r="AK82" i="2"/>
  <c r="AK12" i="2"/>
  <c r="AK138" i="2"/>
  <c r="AK33" i="2"/>
  <c r="AK122" i="2"/>
  <c r="AK133" i="2"/>
  <c r="AK103" i="2"/>
  <c r="AK18" i="2"/>
  <c r="AK92" i="2"/>
  <c r="AK70" i="2"/>
  <c r="AK101" i="2"/>
  <c r="AK118" i="2"/>
  <c r="AK129" i="2"/>
  <c r="AK88" i="2"/>
  <c r="AK51" i="2"/>
  <c r="AK24" i="2"/>
  <c r="AK22" i="2"/>
  <c r="AK20" i="2"/>
  <c r="AK67" i="2"/>
  <c r="AK98" i="2"/>
  <c r="AK19" i="2"/>
  <c r="AK89" i="2"/>
  <c r="AK124" i="2"/>
  <c r="AK68" i="2"/>
  <c r="AK11" i="2"/>
  <c r="AK38" i="2"/>
  <c r="AM141" i="2"/>
  <c r="AK10" i="2"/>
  <c r="AK113" i="2"/>
  <c r="AK79" i="2"/>
  <c r="AK78" i="2"/>
  <c r="AK7" i="2"/>
  <c r="AK126" i="2"/>
  <c r="AK44" i="2"/>
  <c r="AK83" i="2"/>
  <c r="AK108" i="2"/>
  <c r="AK132" i="2"/>
  <c r="AK119" i="2"/>
  <c r="AQ121" i="2"/>
  <c r="AM89" i="2"/>
  <c r="AK95" i="2"/>
  <c r="AK16" i="2"/>
  <c r="AK115" i="2"/>
  <c r="BG107" i="2"/>
  <c r="BG96" i="2"/>
  <c r="BG67" i="2"/>
  <c r="AK21" i="2"/>
  <c r="AM21" i="2"/>
  <c r="BG123" i="2"/>
  <c r="AM65" i="2"/>
  <c r="BG47" i="2"/>
  <c r="BG34" i="2"/>
  <c r="AK14" i="2"/>
  <c r="BG116" i="2"/>
  <c r="BG114" i="2"/>
  <c r="AK136" i="2"/>
  <c r="AK40" i="2"/>
  <c r="BG121" i="2"/>
  <c r="BG139" i="2"/>
  <c r="BG130" i="2"/>
  <c r="AK127" i="2"/>
  <c r="BG110" i="2"/>
  <c r="BG92" i="2"/>
  <c r="BG45" i="2"/>
  <c r="BG137" i="2"/>
  <c r="AQ137" i="2" s="1"/>
  <c r="AK134" i="2"/>
  <c r="BG128" i="2"/>
  <c r="AQ128" i="2" s="1"/>
  <c r="AK96" i="2"/>
  <c r="BG126" i="2"/>
  <c r="BG54" i="2"/>
  <c r="BG39" i="2"/>
  <c r="AK29" i="2"/>
  <c r="AK17" i="2"/>
  <c r="BG88" i="2"/>
  <c r="BG77" i="2"/>
  <c r="AM86" i="2"/>
  <c r="AK58" i="2"/>
  <c r="AM23" i="2"/>
  <c r="AM13" i="2"/>
  <c r="AM48" i="2"/>
  <c r="BG66" i="2"/>
  <c r="AQ66" i="2" s="1"/>
  <c r="CO159" i="2"/>
  <c r="AK32" i="2"/>
  <c r="BG86" i="2"/>
  <c r="AK121" i="2"/>
  <c r="BG75" i="2"/>
  <c r="BG73" i="2"/>
  <c r="AK45" i="2"/>
  <c r="BG28" i="2"/>
  <c r="AK27" i="2"/>
  <c r="AM54" i="2"/>
  <c r="AM124" i="2"/>
  <c r="AM57" i="2"/>
  <c r="AM46" i="2"/>
  <c r="BG11" i="2"/>
  <c r="AK49" i="2"/>
  <c r="BG82" i="2"/>
  <c r="BG21" i="2"/>
  <c r="AQ21" i="2" s="1"/>
  <c r="BG131" i="2"/>
  <c r="BG111" i="2"/>
  <c r="BG80" i="2"/>
  <c r="BG138" i="2"/>
  <c r="BG78" i="2"/>
  <c r="BG31" i="2"/>
  <c r="AK102" i="2"/>
  <c r="AM16" i="2"/>
  <c r="AK114" i="2"/>
  <c r="AK72" i="2"/>
  <c r="BG127" i="2"/>
  <c r="BG40" i="2"/>
  <c r="AK30" i="2"/>
  <c r="AK23" i="2"/>
  <c r="AK137" i="2"/>
  <c r="AK128" i="2"/>
  <c r="AK86" i="2"/>
  <c r="AK25" i="2"/>
  <c r="AK104" i="2"/>
  <c r="BD8" i="2"/>
  <c r="BD29" i="2"/>
  <c r="BD118" i="2"/>
  <c r="AM118" i="2"/>
  <c r="BD44" i="2"/>
  <c r="AQ44" i="2" s="1"/>
  <c r="AM44" i="2"/>
  <c r="BD80" i="2"/>
  <c r="AM80" i="2"/>
  <c r="AQ86" i="2"/>
  <c r="AM131" i="2"/>
  <c r="BD131" i="2"/>
  <c r="AK87" i="2"/>
  <c r="BG49" i="2"/>
  <c r="AM20" i="2"/>
  <c r="BG56" i="2"/>
  <c r="AK42" i="2"/>
  <c r="AK50" i="2"/>
  <c r="BG74" i="2"/>
  <c r="AK57" i="2"/>
  <c r="AK85" i="2"/>
  <c r="BG113" i="2"/>
  <c r="AK69" i="2"/>
  <c r="AK131" i="2"/>
  <c r="AK53" i="2"/>
  <c r="AK117" i="2"/>
  <c r="AK60" i="2"/>
  <c r="BG125" i="2"/>
  <c r="AK106" i="2"/>
  <c r="BG84" i="2"/>
  <c r="AQ84" i="2" s="1"/>
  <c r="BG132" i="2"/>
  <c r="AK97" i="2"/>
  <c r="AK81" i="2"/>
  <c r="AK74" i="2"/>
  <c r="BG68" i="2"/>
  <c r="AK65" i="2"/>
  <c r="BG43" i="2"/>
  <c r="AQ43" i="2" s="1"/>
  <c r="AK90" i="2"/>
  <c r="AQ58" i="2"/>
  <c r="BG106" i="2"/>
  <c r="BG97" i="2"/>
  <c r="AK76" i="2"/>
  <c r="BG118" i="2"/>
  <c r="BG61" i="2"/>
  <c r="AK99" i="2"/>
  <c r="AM77" i="2"/>
  <c r="AK63" i="2"/>
  <c r="BG59" i="2"/>
  <c r="AK120" i="2"/>
  <c r="AK47" i="2"/>
  <c r="AK36" i="2"/>
  <c r="AM128" i="2"/>
  <c r="BG64" i="2"/>
  <c r="BG71" i="2"/>
  <c r="BG62" i="2"/>
  <c r="AQ62" i="2" s="1"/>
  <c r="AK71" i="2"/>
  <c r="AK111" i="2"/>
  <c r="AK34" i="2"/>
  <c r="BG90" i="2"/>
  <c r="AK43" i="2"/>
  <c r="AK37" i="2"/>
  <c r="AM113" i="2"/>
  <c r="AK77" i="2"/>
  <c r="AK109" i="2"/>
  <c r="AK48" i="2"/>
  <c r="AK46" i="2"/>
  <c r="BG79" i="2"/>
  <c r="AK55" i="2"/>
  <c r="BG87" i="2"/>
  <c r="BG133" i="2"/>
  <c r="AK100" i="2"/>
  <c r="BG94" i="2"/>
  <c r="BG129" i="2"/>
  <c r="AK94" i="2"/>
  <c r="AK130" i="2"/>
  <c r="AK123" i="2"/>
  <c r="AK107" i="2"/>
  <c r="AK91" i="2"/>
  <c r="AK112" i="2"/>
  <c r="BG81" i="2"/>
  <c r="AK93" i="2"/>
  <c r="AK139" i="2"/>
  <c r="BG85" i="2"/>
  <c r="BD96" i="2"/>
  <c r="AK116" i="2"/>
  <c r="AK105" i="2"/>
  <c r="AK75" i="2"/>
  <c r="AK59" i="2"/>
  <c r="BG63" i="2"/>
  <c r="AM127" i="2"/>
  <c r="BD50" i="2"/>
  <c r="AQ50" i="2" s="1"/>
  <c r="BG117" i="2"/>
  <c r="AK80" i="2"/>
  <c r="AK73" i="2"/>
  <c r="AK64" i="2"/>
  <c r="BG122" i="2"/>
  <c r="BG51" i="2"/>
  <c r="AK35" i="2"/>
  <c r="BG136" i="2"/>
  <c r="AM137" i="2"/>
  <c r="AM135" i="2"/>
  <c r="BD127" i="2"/>
  <c r="AM126" i="2"/>
  <c r="BD126" i="2"/>
  <c r="BD124" i="2"/>
  <c r="AQ124" i="2" s="1"/>
  <c r="AM121" i="2"/>
  <c r="BD113" i="2"/>
  <c r="AM110" i="2"/>
  <c r="BD109" i="2"/>
  <c r="AQ109" i="2" s="1"/>
  <c r="AM109" i="2"/>
  <c r="AM106" i="2"/>
  <c r="BD106" i="2"/>
  <c r="BD104" i="2"/>
  <c r="AQ104" i="2" s="1"/>
  <c r="AM101" i="2"/>
  <c r="AM98" i="2"/>
  <c r="AM95" i="2"/>
  <c r="BD92" i="2"/>
  <c r="AQ92" i="2" s="1"/>
  <c r="AM92" i="2"/>
  <c r="BD79" i="2"/>
  <c r="AM66" i="2"/>
  <c r="AM64" i="2"/>
  <c r="BD64" i="2"/>
  <c r="BG57" i="2"/>
  <c r="AQ57" i="2" s="1"/>
  <c r="AM55" i="2"/>
  <c r="BD55" i="2"/>
  <c r="AQ55" i="2" s="1"/>
  <c r="BD54" i="2"/>
  <c r="BA33" i="2"/>
  <c r="AM32" i="2"/>
  <c r="BG36" i="2"/>
  <c r="BA38" i="2"/>
  <c r="BG46" i="2"/>
  <c r="AM43" i="2"/>
  <c r="AG158" i="2"/>
  <c r="B158" i="2"/>
  <c r="AN53" i="2" s="1"/>
  <c r="I158" i="2"/>
  <c r="BA39" i="2"/>
  <c r="BA53" i="2"/>
  <c r="BA34" i="2"/>
  <c r="CR8" i="2"/>
  <c r="AQ28" i="2" l="1"/>
  <c r="AQ10" i="2"/>
  <c r="AM142" i="4"/>
  <c r="BD79" i="4"/>
  <c r="AQ79" i="4" s="1"/>
  <c r="AM91" i="4"/>
  <c r="BD116" i="4"/>
  <c r="AQ116" i="4" s="1"/>
  <c r="AM18" i="4"/>
  <c r="AM152" i="4"/>
  <c r="AM8" i="4"/>
  <c r="BD154" i="4"/>
  <c r="AQ154" i="4" s="1"/>
  <c r="BD47" i="4"/>
  <c r="AQ47" i="4" s="1"/>
  <c r="AM54" i="4"/>
  <c r="AQ156" i="4"/>
  <c r="AM59" i="4"/>
  <c r="BD119" i="4"/>
  <c r="BD37" i="4"/>
  <c r="AM151" i="4"/>
  <c r="AM118" i="4"/>
  <c r="BD76" i="4"/>
  <c r="AQ76" i="4" s="1"/>
  <c r="BD81" i="4"/>
  <c r="BD57" i="4"/>
  <c r="AQ57" i="4" s="1"/>
  <c r="AM60" i="4"/>
  <c r="BD56" i="4"/>
  <c r="AM25" i="4"/>
  <c r="AQ16" i="4"/>
  <c r="AM16" i="4"/>
  <c r="BD39" i="4"/>
  <c r="AQ39" i="4" s="1"/>
  <c r="AM89" i="4"/>
  <c r="BD7" i="4"/>
  <c r="AQ7" i="4" s="1"/>
  <c r="BD117" i="4"/>
  <c r="AQ117" i="4" s="1"/>
  <c r="AM117" i="4"/>
  <c r="BD147" i="4"/>
  <c r="AQ147" i="4" s="1"/>
  <c r="BD17" i="4"/>
  <c r="AQ17" i="4" s="1"/>
  <c r="AM17" i="4"/>
  <c r="AM29" i="4"/>
  <c r="BD29" i="4"/>
  <c r="AQ29" i="4" s="1"/>
  <c r="BD86" i="4"/>
  <c r="AQ86" i="4" s="1"/>
  <c r="AM86" i="4"/>
  <c r="BD20" i="4"/>
  <c r="AQ20" i="4" s="1"/>
  <c r="AM20" i="4"/>
  <c r="BD22" i="4"/>
  <c r="AQ22" i="4" s="1"/>
  <c r="AM22" i="4"/>
  <c r="BD125" i="4"/>
  <c r="AQ125" i="4" s="1"/>
  <c r="AM125" i="4"/>
  <c r="AM50" i="4"/>
  <c r="BD50" i="4"/>
  <c r="AQ50" i="4" s="1"/>
  <c r="AM19" i="4"/>
  <c r="BD19" i="4"/>
  <c r="AQ19" i="4" s="1"/>
  <c r="BD62" i="4"/>
  <c r="AQ62" i="4" s="1"/>
  <c r="AM62" i="4"/>
  <c r="BD127" i="4"/>
  <c r="AQ127" i="4" s="1"/>
  <c r="AM127" i="4"/>
  <c r="BD85" i="4"/>
  <c r="AQ85" i="4" s="1"/>
  <c r="AM85" i="4"/>
  <c r="AQ18" i="4"/>
  <c r="BD129" i="4"/>
  <c r="AQ129" i="4" s="1"/>
  <c r="AM129" i="4"/>
  <c r="BD63" i="4"/>
  <c r="AQ63" i="4" s="1"/>
  <c r="AM63" i="4"/>
  <c r="AQ56" i="4"/>
  <c r="AQ37" i="4"/>
  <c r="AM121" i="4"/>
  <c r="AQ33" i="4"/>
  <c r="BD120" i="4"/>
  <c r="AQ120" i="4" s="1"/>
  <c r="AM120" i="4"/>
  <c r="BD114" i="4"/>
  <c r="AQ114" i="4" s="1"/>
  <c r="BD95" i="4"/>
  <c r="AQ95" i="4" s="1"/>
  <c r="AM95" i="4"/>
  <c r="AM110" i="4"/>
  <c r="BD88" i="4"/>
  <c r="AQ88" i="4" s="1"/>
  <c r="AM88" i="4"/>
  <c r="BD157" i="4"/>
  <c r="AQ157" i="4" s="1"/>
  <c r="AM157" i="4"/>
  <c r="BD150" i="4"/>
  <c r="AQ150" i="4" s="1"/>
  <c r="AM146" i="4"/>
  <c r="AM113" i="4"/>
  <c r="AQ81" i="4"/>
  <c r="AQ41" i="4"/>
  <c r="AM153" i="4"/>
  <c r="AM128" i="4"/>
  <c r="AM130" i="4"/>
  <c r="BD74" i="4"/>
  <c r="AQ74" i="4" s="1"/>
  <c r="AQ119" i="4"/>
  <c r="BD124" i="4"/>
  <c r="AQ124" i="4" s="1"/>
  <c r="AM124" i="4"/>
  <c r="C6" i="3"/>
  <c r="AL109" i="4"/>
  <c r="F3" i="3"/>
  <c r="AM34" i="4"/>
  <c r="BD14" i="4"/>
  <c r="AQ14" i="4" s="1"/>
  <c r="BD23" i="4"/>
  <c r="AQ23" i="4" s="1"/>
  <c r="AM23" i="4"/>
  <c r="AQ21" i="4"/>
  <c r="AQ10" i="4"/>
  <c r="AM11" i="4"/>
  <c r="AM10" i="4"/>
  <c r="BD15" i="4"/>
  <c r="AQ15" i="4" s="1"/>
  <c r="AL9" i="4"/>
  <c r="AL117" i="4"/>
  <c r="AL65" i="4"/>
  <c r="AN39" i="4"/>
  <c r="AL44" i="4"/>
  <c r="AN44" i="4"/>
  <c r="AN128" i="4"/>
  <c r="AN108" i="4"/>
  <c r="AL72" i="4"/>
  <c r="AN72" i="4"/>
  <c r="AL43" i="4"/>
  <c r="AL100" i="4"/>
  <c r="AN43" i="4"/>
  <c r="AN84" i="4"/>
  <c r="AN52" i="4"/>
  <c r="AN103" i="4"/>
  <c r="AL85" i="4"/>
  <c r="AL132" i="4"/>
  <c r="AN105" i="4"/>
  <c r="AL26" i="4"/>
  <c r="AN74" i="4"/>
  <c r="AL135" i="4"/>
  <c r="AN106" i="4"/>
  <c r="AN135" i="4"/>
  <c r="AN26" i="4"/>
  <c r="AN134" i="4"/>
  <c r="AL107" i="4"/>
  <c r="AN107" i="4"/>
  <c r="AL136" i="4"/>
  <c r="AN136" i="4"/>
  <c r="AL77" i="4"/>
  <c r="AN139" i="4"/>
  <c r="AL101" i="4"/>
  <c r="AN40" i="4"/>
  <c r="AL38" i="4"/>
  <c r="AN38" i="4"/>
  <c r="AL108" i="4"/>
  <c r="AL134" i="4"/>
  <c r="AN77" i="4"/>
  <c r="AL13" i="4"/>
  <c r="AL140" i="4"/>
  <c r="AN90" i="4"/>
  <c r="AN140" i="4"/>
  <c r="AL120" i="4"/>
  <c r="AN58" i="4"/>
  <c r="AL32" i="4"/>
  <c r="AL68" i="4"/>
  <c r="AL96" i="4"/>
  <c r="AN32" i="4"/>
  <c r="AN41" i="4"/>
  <c r="AL75" i="4"/>
  <c r="AL39" i="4"/>
  <c r="AL106" i="4"/>
  <c r="AL133" i="4"/>
  <c r="AN9" i="4"/>
  <c r="AL99" i="4"/>
  <c r="AN116" i="4"/>
  <c r="AL105" i="4"/>
  <c r="AN65" i="4"/>
  <c r="AN99" i="4"/>
  <c r="AN20" i="4"/>
  <c r="AL37" i="4"/>
  <c r="AL149" i="4"/>
  <c r="AN101" i="4"/>
  <c r="AL53" i="4"/>
  <c r="AN23" i="4"/>
  <c r="AL21" i="4"/>
  <c r="AL152" i="4"/>
  <c r="AL104" i="4"/>
  <c r="AN36" i="4"/>
  <c r="AN154" i="4"/>
  <c r="AN104" i="4"/>
  <c r="AL137" i="4"/>
  <c r="AN143" i="4"/>
  <c r="AL56" i="4"/>
  <c r="AL36" i="4"/>
  <c r="AN122" i="4"/>
  <c r="AL45" i="4"/>
  <c r="AN137" i="4"/>
  <c r="AL71" i="4"/>
  <c r="AN45" i="4"/>
  <c r="AN55" i="4"/>
  <c r="AL102" i="4"/>
  <c r="AL138" i="4"/>
  <c r="AN71" i="4"/>
  <c r="AN102" i="4"/>
  <c r="AL141" i="4"/>
  <c r="AN138" i="4"/>
  <c r="AL156" i="4"/>
  <c r="AL73" i="4"/>
  <c r="AN141" i="4"/>
  <c r="AN73" i="4"/>
  <c r="AL74" i="4"/>
  <c r="AL139" i="4"/>
  <c r="AL88" i="4"/>
  <c r="AL103" i="4"/>
  <c r="BD12" i="4"/>
  <c r="AQ12" i="4" s="1"/>
  <c r="AQ25" i="4"/>
  <c r="BD30" i="4"/>
  <c r="AQ30" i="4" s="1"/>
  <c r="AM30" i="4"/>
  <c r="AN75" i="4"/>
  <c r="AL70" i="4"/>
  <c r="AN13" i="4"/>
  <c r="AN148" i="4"/>
  <c r="AN156" i="4"/>
  <c r="AN70" i="4"/>
  <c r="AM133" i="4"/>
  <c r="BD133" i="4"/>
  <c r="AQ133" i="4" s="1"/>
  <c r="W161" i="4"/>
  <c r="BM11" i="4"/>
  <c r="W162" i="4"/>
  <c r="U162" i="4" s="1"/>
  <c r="U160" i="4"/>
  <c r="AM134" i="4"/>
  <c r="BD134" i="4"/>
  <c r="AQ134" i="4" s="1"/>
  <c r="AM72" i="4"/>
  <c r="BD72" i="4"/>
  <c r="AQ72" i="4" s="1"/>
  <c r="BD94" i="4"/>
  <c r="AQ94" i="4" s="1"/>
  <c r="AM94" i="4"/>
  <c r="AM108" i="4"/>
  <c r="BD108" i="4"/>
  <c r="AQ108" i="4" s="1"/>
  <c r="BD100" i="4"/>
  <c r="AQ100" i="4" s="1"/>
  <c r="AM100" i="4"/>
  <c r="AM75" i="4"/>
  <c r="BD75" i="4"/>
  <c r="AQ75" i="4" s="1"/>
  <c r="BD61" i="4"/>
  <c r="AQ61" i="4" s="1"/>
  <c r="AM61" i="4"/>
  <c r="AM69" i="4"/>
  <c r="BD69" i="4"/>
  <c r="AQ69" i="4" s="1"/>
  <c r="AM115" i="4"/>
  <c r="BD115" i="4"/>
  <c r="AQ115" i="4" s="1"/>
  <c r="AM138" i="4"/>
  <c r="BD138" i="4"/>
  <c r="AQ138" i="4" s="1"/>
  <c r="BD131" i="4"/>
  <c r="AQ131" i="4" s="1"/>
  <c r="AM131" i="4"/>
  <c r="BD58" i="4"/>
  <c r="AQ58" i="4" s="1"/>
  <c r="AM58" i="4"/>
  <c r="AM102" i="4"/>
  <c r="BD102" i="4"/>
  <c r="AQ102" i="4" s="1"/>
  <c r="AM101" i="4"/>
  <c r="BD101" i="4"/>
  <c r="AQ101" i="4" s="1"/>
  <c r="AM65" i="4"/>
  <c r="BD65" i="4"/>
  <c r="AQ65" i="4" s="1"/>
  <c r="BD155" i="4"/>
  <c r="AQ155" i="4" s="1"/>
  <c r="AM155" i="4"/>
  <c r="AM38" i="4"/>
  <c r="BD38" i="4"/>
  <c r="AQ38" i="4" s="1"/>
  <c r="AM43" i="4"/>
  <c r="BD43" i="4"/>
  <c r="AQ43" i="4" s="1"/>
  <c r="BD149" i="4"/>
  <c r="AQ149" i="4" s="1"/>
  <c r="AM149" i="4"/>
  <c r="AM136" i="4"/>
  <c r="BD136" i="4"/>
  <c r="AQ136" i="4" s="1"/>
  <c r="BD66" i="4"/>
  <c r="AQ66" i="4" s="1"/>
  <c r="AM66" i="4"/>
  <c r="AM106" i="4"/>
  <c r="BD106" i="4"/>
  <c r="AQ106" i="4" s="1"/>
  <c r="BD126" i="4"/>
  <c r="AQ126" i="4" s="1"/>
  <c r="AM126" i="4"/>
  <c r="AM137" i="4"/>
  <c r="BD137" i="4"/>
  <c r="AQ137" i="4" s="1"/>
  <c r="AM83" i="4"/>
  <c r="BD83" i="4"/>
  <c r="AQ83" i="4" s="1"/>
  <c r="BD27" i="4"/>
  <c r="AQ27" i="4" s="1"/>
  <c r="AM27" i="4"/>
  <c r="AQ151" i="4"/>
  <c r="BD32" i="4"/>
  <c r="AQ32" i="4" s="1"/>
  <c r="AM32" i="4"/>
  <c r="AM105" i="4"/>
  <c r="BD105" i="4"/>
  <c r="AQ105" i="4" s="1"/>
  <c r="BD96" i="4"/>
  <c r="AQ96" i="4" s="1"/>
  <c r="AM96" i="4"/>
  <c r="BD53" i="4"/>
  <c r="AQ53" i="4" s="1"/>
  <c r="AM53" i="4"/>
  <c r="AM84" i="4"/>
  <c r="BD84" i="4"/>
  <c r="AQ84" i="4" s="1"/>
  <c r="BD98" i="4"/>
  <c r="AQ98" i="4" s="1"/>
  <c r="AM98" i="4"/>
  <c r="BD99" i="4"/>
  <c r="AQ99" i="4" s="1"/>
  <c r="AM99" i="4"/>
  <c r="AM51" i="4"/>
  <c r="BD51" i="4"/>
  <c r="AQ51" i="4" s="1"/>
  <c r="AM135" i="4"/>
  <c r="BD135" i="4"/>
  <c r="AQ135" i="4" s="1"/>
  <c r="AM73" i="4"/>
  <c r="BD73" i="4"/>
  <c r="AQ73" i="4" s="1"/>
  <c r="BD26" i="4"/>
  <c r="AQ26" i="4" s="1"/>
  <c r="AM26" i="4"/>
  <c r="BD13" i="4"/>
  <c r="AQ13" i="4" s="1"/>
  <c r="AM13" i="4"/>
  <c r="BD35" i="4"/>
  <c r="AQ35" i="4" s="1"/>
  <c r="AM35" i="4"/>
  <c r="BD93" i="4"/>
  <c r="AQ93" i="4" s="1"/>
  <c r="AM93" i="4"/>
  <c r="W168" i="4"/>
  <c r="W169" i="4" s="1"/>
  <c r="U169" i="4" s="1"/>
  <c r="BM12" i="4"/>
  <c r="AM104" i="4"/>
  <c r="BD104" i="4"/>
  <c r="AQ104" i="4" s="1"/>
  <c r="BD67" i="4"/>
  <c r="AQ67" i="4" s="1"/>
  <c r="AM67" i="4"/>
  <c r="BD123" i="4"/>
  <c r="AQ123" i="4" s="1"/>
  <c r="AM123" i="4"/>
  <c r="BD92" i="4"/>
  <c r="AQ92" i="4" s="1"/>
  <c r="AM92" i="4"/>
  <c r="BD97" i="4"/>
  <c r="AQ97" i="4" s="1"/>
  <c r="AM97" i="4"/>
  <c r="BD31" i="4"/>
  <c r="AQ31" i="4" s="1"/>
  <c r="AM31" i="4"/>
  <c r="AM45" i="4"/>
  <c r="BD45" i="4"/>
  <c r="AQ45" i="4" s="1"/>
  <c r="BD9" i="4"/>
  <c r="AQ9" i="4" s="1"/>
  <c r="AM9" i="4"/>
  <c r="BD90" i="4"/>
  <c r="AQ90" i="4" s="1"/>
  <c r="AM90" i="4"/>
  <c r="AM82" i="4"/>
  <c r="BD82" i="4"/>
  <c r="AQ82" i="4" s="1"/>
  <c r="AM36" i="4"/>
  <c r="BD36" i="4"/>
  <c r="AQ36" i="4" s="1"/>
  <c r="AM148" i="4"/>
  <c r="BD148" i="4"/>
  <c r="AQ148" i="4" s="1"/>
  <c r="AL76" i="4"/>
  <c r="AM141" i="4"/>
  <c r="BD141" i="4"/>
  <c r="AQ141" i="4" s="1"/>
  <c r="AM109" i="4"/>
  <c r="BD109" i="4"/>
  <c r="AQ109" i="4" s="1"/>
  <c r="AM139" i="4"/>
  <c r="BD139" i="4"/>
  <c r="AQ139" i="4" s="1"/>
  <c r="AM71" i="4"/>
  <c r="BD71" i="4"/>
  <c r="AQ71" i="4" s="1"/>
  <c r="AL42" i="4"/>
  <c r="AN76" i="4"/>
  <c r="AM140" i="4"/>
  <c r="BD140" i="4"/>
  <c r="AQ140" i="4" s="1"/>
  <c r="AN142" i="4"/>
  <c r="AN110" i="4"/>
  <c r="AN78" i="4"/>
  <c r="AN46" i="4"/>
  <c r="AN111" i="4"/>
  <c r="AN79" i="4"/>
  <c r="AN47" i="4"/>
  <c r="AN15" i="4"/>
  <c r="AN11" i="4"/>
  <c r="AN144" i="4"/>
  <c r="AL142" i="4"/>
  <c r="AN112" i="4"/>
  <c r="AL110" i="4"/>
  <c r="AN80" i="4"/>
  <c r="AL78" i="4"/>
  <c r="AN48" i="4"/>
  <c r="AL46" i="4"/>
  <c r="AN16" i="4"/>
  <c r="AL14" i="4"/>
  <c r="AL12" i="4"/>
  <c r="AL10" i="4"/>
  <c r="AN145" i="4"/>
  <c r="AL143" i="4"/>
  <c r="AN113" i="4"/>
  <c r="AL111" i="4"/>
  <c r="AN81" i="4"/>
  <c r="AL79" i="4"/>
  <c r="AN49" i="4"/>
  <c r="AL47" i="4"/>
  <c r="AN146" i="4"/>
  <c r="AL144" i="4"/>
  <c r="AN114" i="4"/>
  <c r="AL112" i="4"/>
  <c r="AN147" i="4"/>
  <c r="AL145" i="4"/>
  <c r="AN115" i="4"/>
  <c r="AL113" i="4"/>
  <c r="AN83" i="4"/>
  <c r="AL81" i="4"/>
  <c r="AN51" i="4"/>
  <c r="AL49" i="4"/>
  <c r="AL146" i="4"/>
  <c r="AL114" i="4"/>
  <c r="AL82" i="4"/>
  <c r="AL50" i="4"/>
  <c r="AL18" i="4"/>
  <c r="AN149" i="4"/>
  <c r="AL147" i="4"/>
  <c r="AN117" i="4"/>
  <c r="AL115" i="4"/>
  <c r="AN85" i="4"/>
  <c r="AL83" i="4"/>
  <c r="AN53" i="4"/>
  <c r="AL51" i="4"/>
  <c r="AN151" i="4"/>
  <c r="AN119" i="4"/>
  <c r="AN87" i="4"/>
  <c r="AN152" i="4"/>
  <c r="AL150" i="4"/>
  <c r="AN155" i="4"/>
  <c r="AL153" i="4"/>
  <c r="AN125" i="4"/>
  <c r="AN121" i="4"/>
  <c r="AN118" i="4"/>
  <c r="AN98" i="4"/>
  <c r="AL93" i="4"/>
  <c r="AL89" i="4"/>
  <c r="AN56" i="4"/>
  <c r="AN31" i="4"/>
  <c r="AN21" i="4"/>
  <c r="AL17" i="4"/>
  <c r="AN14" i="4"/>
  <c r="AL121" i="4"/>
  <c r="AL118" i="4"/>
  <c r="AL60" i="4"/>
  <c r="AL125" i="4"/>
  <c r="AL98" i="4"/>
  <c r="AN86" i="4"/>
  <c r="AN60" i="4"/>
  <c r="AN50" i="4"/>
  <c r="AL31" i="4"/>
  <c r="AN130" i="4"/>
  <c r="AL86" i="4"/>
  <c r="AL80" i="4"/>
  <c r="AN10" i="4"/>
  <c r="AL155" i="4"/>
  <c r="AL130" i="4"/>
  <c r="AN126" i="4"/>
  <c r="AN18" i="4"/>
  <c r="AL90" i="4"/>
  <c r="AN22" i="4"/>
  <c r="AL22" i="4"/>
  <c r="AL126" i="4"/>
  <c r="AN66" i="4"/>
  <c r="AN37" i="4"/>
  <c r="AN131" i="4"/>
  <c r="AL122" i="4"/>
  <c r="AN61" i="4"/>
  <c r="AL66" i="4"/>
  <c r="AN57" i="4"/>
  <c r="AN27" i="4"/>
  <c r="AL131" i="4"/>
  <c r="AL116" i="4"/>
  <c r="AL61" i="4"/>
  <c r="AL57" i="4"/>
  <c r="AN150" i="4"/>
  <c r="AL119" i="4"/>
  <c r="AN95" i="4"/>
  <c r="AL27" i="4"/>
  <c r="AL11" i="4"/>
  <c r="AL87" i="4"/>
  <c r="AN54" i="4"/>
  <c r="AN33" i="4"/>
  <c r="AN127" i="4"/>
  <c r="AL95" i="4"/>
  <c r="AL84" i="4"/>
  <c r="AN62" i="4"/>
  <c r="AL54" i="4"/>
  <c r="AL48" i="4"/>
  <c r="AN19" i="4"/>
  <c r="AL15" i="4"/>
  <c r="AN7" i="4"/>
  <c r="AN100" i="4"/>
  <c r="AN91" i="4"/>
  <c r="AN67" i="4"/>
  <c r="AL33" i="4"/>
  <c r="AL19" i="4"/>
  <c r="AL7" i="4"/>
  <c r="AN153" i="4"/>
  <c r="AN132" i="4"/>
  <c r="AL127" i="4"/>
  <c r="AL62" i="4"/>
  <c r="AL23" i="4"/>
  <c r="AN96" i="4"/>
  <c r="AL123" i="4"/>
  <c r="AN34" i="4"/>
  <c r="AN123" i="4"/>
  <c r="AL91" i="4"/>
  <c r="AL67" i="4"/>
  <c r="AN28" i="4"/>
  <c r="AL58" i="4"/>
  <c r="AL28" i="4"/>
  <c r="AL148" i="4"/>
  <c r="AN12" i="4"/>
  <c r="AN8" i="4"/>
  <c r="AN120" i="4"/>
  <c r="AN88" i="4"/>
  <c r="AN63" i="4"/>
  <c r="AL34" i="4"/>
  <c r="AL128" i="4"/>
  <c r="AN68" i="4"/>
  <c r="AN29" i="4"/>
  <c r="AN133" i="4"/>
  <c r="AN92" i="4"/>
  <c r="AN82" i="4"/>
  <c r="AL63" i="4"/>
  <c r="AL151" i="4"/>
  <c r="AL55" i="4"/>
  <c r="AL29" i="4"/>
  <c r="AN24" i="4"/>
  <c r="AN93" i="4"/>
  <c r="AN17" i="4"/>
  <c r="AN124" i="4"/>
  <c r="AL16" i="4"/>
  <c r="AN129" i="4"/>
  <c r="AL124" i="4"/>
  <c r="AN30" i="4"/>
  <c r="AL129" i="4"/>
  <c r="AL154" i="4"/>
  <c r="AL30" i="4"/>
  <c r="AL20" i="4"/>
  <c r="AN157" i="4"/>
  <c r="AN89" i="4"/>
  <c r="AN25" i="4"/>
  <c r="AL25" i="4"/>
  <c r="AL157" i="4"/>
  <c r="AN35" i="4"/>
  <c r="AN64" i="4"/>
  <c r="AL35" i="4"/>
  <c r="AL64" i="4"/>
  <c r="AN59" i="4"/>
  <c r="AL52" i="4"/>
  <c r="AL8" i="4"/>
  <c r="AN97" i="4"/>
  <c r="AL92" i="4"/>
  <c r="AL59" i="4"/>
  <c r="AN69" i="4"/>
  <c r="AL97" i="4"/>
  <c r="AL41" i="4"/>
  <c r="AN42" i="4"/>
  <c r="AL24" i="4"/>
  <c r="AL69" i="4"/>
  <c r="AM70" i="4"/>
  <c r="BD70" i="4"/>
  <c r="AQ70" i="4" s="1"/>
  <c r="AL94" i="4"/>
  <c r="AM40" i="4"/>
  <c r="BD40" i="4"/>
  <c r="AQ40" i="4" s="1"/>
  <c r="AN109" i="4"/>
  <c r="AM42" i="4"/>
  <c r="BD42" i="4"/>
  <c r="AQ42" i="4" s="1"/>
  <c r="BD24" i="4"/>
  <c r="AQ24" i="4" s="1"/>
  <c r="AM24" i="4"/>
  <c r="BD64" i="4"/>
  <c r="AQ64" i="4" s="1"/>
  <c r="AM64" i="4"/>
  <c r="AN94" i="4"/>
  <c r="AL40" i="4"/>
  <c r="BD18" i="2"/>
  <c r="AQ18" i="2" s="1"/>
  <c r="AM18" i="2"/>
  <c r="AQ12" i="2"/>
  <c r="AQ11" i="2"/>
  <c r="AM10" i="2"/>
  <c r="AM11" i="2"/>
  <c r="AM12" i="2"/>
  <c r="AM15" i="2"/>
  <c r="BD17" i="2"/>
  <c r="AQ17" i="2" s="1"/>
  <c r="BD24" i="2"/>
  <c r="AQ24" i="2" s="1"/>
  <c r="BD47" i="2"/>
  <c r="AM47" i="2"/>
  <c r="BD78" i="2"/>
  <c r="AM78" i="2"/>
  <c r="AM102" i="2"/>
  <c r="BD102" i="2"/>
  <c r="AQ102" i="2" s="1"/>
  <c r="AM117" i="2"/>
  <c r="BD117" i="2"/>
  <c r="AM74" i="2"/>
  <c r="BD74" i="2"/>
  <c r="AQ74" i="2" s="1"/>
  <c r="BD115" i="2"/>
  <c r="AQ115" i="2" s="1"/>
  <c r="AM115" i="2"/>
  <c r="AM81" i="2"/>
  <c r="BD81" i="2"/>
  <c r="BD51" i="2"/>
  <c r="AQ51" i="2" s="1"/>
  <c r="AM51" i="2"/>
  <c r="AM149" i="2"/>
  <c r="BD149" i="2"/>
  <c r="AQ149" i="2" s="1"/>
  <c r="BD97" i="2"/>
  <c r="AQ97" i="2" s="1"/>
  <c r="AM97" i="2"/>
  <c r="BD107" i="2"/>
  <c r="AM107" i="2"/>
  <c r="BD26" i="2"/>
  <c r="AQ26" i="2" s="1"/>
  <c r="AM26" i="2"/>
  <c r="AM45" i="2"/>
  <c r="BD45" i="2"/>
  <c r="AQ45" i="2" s="1"/>
  <c r="AQ117" i="2"/>
  <c r="AQ47" i="2"/>
  <c r="AQ77" i="2"/>
  <c r="AM59" i="2"/>
  <c r="AM87" i="2"/>
  <c r="BD68" i="2"/>
  <c r="AQ68" i="2" s="1"/>
  <c r="BD37" i="2"/>
  <c r="AQ37" i="2" s="1"/>
  <c r="AM70" i="2"/>
  <c r="AM36" i="2"/>
  <c r="AQ127" i="2"/>
  <c r="BD19" i="2"/>
  <c r="BD76" i="2"/>
  <c r="AM105" i="2"/>
  <c r="AM9" i="2"/>
  <c r="BD30" i="2"/>
  <c r="AQ30" i="2" s="1"/>
  <c r="BD155" i="2"/>
  <c r="AQ155" i="2" s="1"/>
  <c r="AQ60" i="2"/>
  <c r="BD138" i="2"/>
  <c r="AM129" i="2"/>
  <c r="AM41" i="2"/>
  <c r="AM150" i="2"/>
  <c r="BD82" i="2"/>
  <c r="AM139" i="2"/>
  <c r="BD130" i="2"/>
  <c r="AQ130" i="2" s="1"/>
  <c r="AQ75" i="2"/>
  <c r="BD154" i="2"/>
  <c r="AQ154" i="2" s="1"/>
  <c r="AQ46" i="2"/>
  <c r="BD85" i="2"/>
  <c r="AM49" i="2"/>
  <c r="BD35" i="2"/>
  <c r="AQ35" i="2" s="1"/>
  <c r="AM58" i="2"/>
  <c r="AM103" i="2"/>
  <c r="AQ114" i="2"/>
  <c r="AQ135" i="2"/>
  <c r="BD52" i="2"/>
  <c r="AQ52" i="2" s="1"/>
  <c r="BD31" i="2"/>
  <c r="AQ31" i="2" s="1"/>
  <c r="AM114" i="2"/>
  <c r="AQ83" i="2"/>
  <c r="AQ89" i="2"/>
  <c r="AM91" i="2"/>
  <c r="AQ87" i="2"/>
  <c r="AM119" i="2"/>
  <c r="AM90" i="2"/>
  <c r="BD144" i="2"/>
  <c r="AQ99" i="2"/>
  <c r="BD134" i="2"/>
  <c r="AQ134" i="2" s="1"/>
  <c r="AQ71" i="2"/>
  <c r="AQ15" i="2"/>
  <c r="AQ22" i="2"/>
  <c r="BD56" i="2"/>
  <c r="AM83" i="2"/>
  <c r="AM108" i="2"/>
  <c r="AQ111" i="2"/>
  <c r="BD143" i="2"/>
  <c r="AQ143" i="2" s="1"/>
  <c r="AM73" i="2"/>
  <c r="AM122" i="2"/>
  <c r="AM112" i="2"/>
  <c r="BD156" i="2"/>
  <c r="AQ156" i="2" s="1"/>
  <c r="AQ136" i="2"/>
  <c r="AM61" i="2"/>
  <c r="AM88" i="2"/>
  <c r="AM111" i="2"/>
  <c r="AQ107" i="2"/>
  <c r="AM60" i="2"/>
  <c r="BD63" i="2"/>
  <c r="AQ63" i="2" s="1"/>
  <c r="AQ122" i="2"/>
  <c r="AM28" i="2"/>
  <c r="BD116" i="2"/>
  <c r="AQ116" i="2" s="1"/>
  <c r="BD14" i="2"/>
  <c r="AQ14" i="2" s="1"/>
  <c r="AQ61" i="2"/>
  <c r="AM67" i="2"/>
  <c r="AM93" i="2"/>
  <c r="AM120" i="2"/>
  <c r="AQ141" i="2"/>
  <c r="AM94" i="2"/>
  <c r="AM125" i="2"/>
  <c r="AM136" i="2"/>
  <c r="BD69" i="2"/>
  <c r="AQ69" i="2" s="1"/>
  <c r="AQ148" i="2"/>
  <c r="AQ73" i="2"/>
  <c r="AQ19" i="2"/>
  <c r="BD27" i="2"/>
  <c r="AQ27" i="2" s="1"/>
  <c r="AM25" i="2"/>
  <c r="AM42" i="2"/>
  <c r="AM72" i="2"/>
  <c r="AQ96" i="2"/>
  <c r="AQ13" i="2"/>
  <c r="AM71" i="2"/>
  <c r="AQ40" i="2"/>
  <c r="AM99" i="2"/>
  <c r="AM132" i="2"/>
  <c r="AM62" i="2"/>
  <c r="AM22" i="2"/>
  <c r="BD100" i="2"/>
  <c r="AQ100" i="2" s="1"/>
  <c r="AM133" i="2"/>
  <c r="AQ151" i="2"/>
  <c r="AQ64" i="2"/>
  <c r="AM75" i="2"/>
  <c r="BD123" i="2"/>
  <c r="AQ123" i="2" s="1"/>
  <c r="AM142" i="2"/>
  <c r="AQ145" i="2"/>
  <c r="AQ142" i="2"/>
  <c r="AQ29" i="2"/>
  <c r="AQ8" i="2"/>
  <c r="AQ118" i="2"/>
  <c r="AQ25" i="2"/>
  <c r="AQ76" i="2"/>
  <c r="AQ106" i="2"/>
  <c r="AQ110" i="2"/>
  <c r="AQ78" i="2"/>
  <c r="AQ36" i="2"/>
  <c r="AQ88" i="2"/>
  <c r="AQ113" i="2"/>
  <c r="AQ147" i="2"/>
  <c r="AQ144" i="2"/>
  <c r="AQ67" i="2"/>
  <c r="AQ126" i="2"/>
  <c r="AQ131" i="2"/>
  <c r="AQ54" i="2"/>
  <c r="AQ81" i="2"/>
  <c r="AQ80" i="2"/>
  <c r="AQ82" i="2"/>
  <c r="AQ138" i="2"/>
  <c r="AQ56" i="2"/>
  <c r="AQ139" i="2"/>
  <c r="AQ85" i="2"/>
  <c r="AQ59" i="2"/>
  <c r="AQ94" i="2"/>
  <c r="AQ125" i="2"/>
  <c r="AQ129" i="2"/>
  <c r="AQ132" i="2"/>
  <c r="AQ133" i="2"/>
  <c r="AQ79" i="2"/>
  <c r="AN44" i="2"/>
  <c r="AN50" i="2"/>
  <c r="AN39" i="2"/>
  <c r="AL37" i="2"/>
  <c r="AL38" i="2"/>
  <c r="AN34" i="2"/>
  <c r="AL53" i="2"/>
  <c r="AL34" i="2"/>
  <c r="AL50" i="2"/>
  <c r="AN38" i="2"/>
  <c r="AL48" i="2"/>
  <c r="AN42" i="2"/>
  <c r="AN33" i="2"/>
  <c r="AL42" i="2"/>
  <c r="AM39" i="2"/>
  <c r="BD39" i="2"/>
  <c r="AQ39" i="2" s="1"/>
  <c r="BD53" i="2"/>
  <c r="AQ53" i="2" s="1"/>
  <c r="AM53" i="2"/>
  <c r="BD38" i="2"/>
  <c r="AQ38" i="2" s="1"/>
  <c r="AM38" i="2"/>
  <c r="AL61" i="2"/>
  <c r="AL27" i="2"/>
  <c r="AL28" i="2"/>
  <c r="AL119" i="2"/>
  <c r="AN26" i="2"/>
  <c r="AN78" i="2"/>
  <c r="AN157" i="2"/>
  <c r="AL155" i="2"/>
  <c r="AL151" i="2"/>
  <c r="AN147" i="2"/>
  <c r="AN61" i="2"/>
  <c r="AL154" i="2"/>
  <c r="AL156" i="2"/>
  <c r="AL75" i="2"/>
  <c r="AL56" i="2"/>
  <c r="AN129" i="2"/>
  <c r="AN145" i="2"/>
  <c r="AL25" i="2"/>
  <c r="AL148" i="2"/>
  <c r="AN123" i="2"/>
  <c r="AL79" i="2"/>
  <c r="AL47" i="2"/>
  <c r="AN58" i="2"/>
  <c r="AN106" i="2"/>
  <c r="AL9" i="2"/>
  <c r="AN30" i="2"/>
  <c r="AN70" i="2"/>
  <c r="AN55" i="2"/>
  <c r="AL13" i="2"/>
  <c r="AN120" i="2"/>
  <c r="AN47" i="2"/>
  <c r="AL116" i="2"/>
  <c r="AN74" i="2"/>
  <c r="AL143" i="2"/>
  <c r="AL88" i="2"/>
  <c r="AN102" i="2"/>
  <c r="AN67" i="2"/>
  <c r="AN89" i="2"/>
  <c r="AL90" i="2"/>
  <c r="AL115" i="2"/>
  <c r="AN116" i="2"/>
  <c r="AL122" i="2"/>
  <c r="AL120" i="2"/>
  <c r="AN90" i="2"/>
  <c r="AN45" i="2"/>
  <c r="AN9" i="2"/>
  <c r="AL139" i="2"/>
  <c r="AN7" i="2"/>
  <c r="AN126" i="2"/>
  <c r="AL132" i="2"/>
  <c r="AN10" i="2"/>
  <c r="AN54" i="2"/>
  <c r="AL137" i="2"/>
  <c r="AL8" i="2"/>
  <c r="AL95" i="2"/>
  <c r="AN13" i="2"/>
  <c r="AL96" i="2"/>
  <c r="AL121" i="2"/>
  <c r="AL91" i="2"/>
  <c r="AL17" i="2"/>
  <c r="AN148" i="2"/>
  <c r="AL101" i="2"/>
  <c r="AL66" i="2"/>
  <c r="AL111" i="2"/>
  <c r="AL22" i="2"/>
  <c r="AL80" i="2"/>
  <c r="AL118" i="2"/>
  <c r="AN52" i="2"/>
  <c r="AN98" i="2"/>
  <c r="AL134" i="2"/>
  <c r="AN23" i="2"/>
  <c r="AL150" i="2"/>
  <c r="AN94" i="2"/>
  <c r="AL142" i="2"/>
  <c r="AN140" i="2"/>
  <c r="AN127" i="2"/>
  <c r="AN112" i="2"/>
  <c r="AN109" i="2"/>
  <c r="AN97" i="2"/>
  <c r="AL145" i="2"/>
  <c r="AN121" i="2"/>
  <c r="AN49" i="2"/>
  <c r="AL84" i="2"/>
  <c r="AL89" i="2"/>
  <c r="AN113" i="2"/>
  <c r="AL127" i="2"/>
  <c r="AL64" i="2"/>
  <c r="AL138" i="2"/>
  <c r="AN88" i="2"/>
  <c r="AL117" i="2"/>
  <c r="AN84" i="2"/>
  <c r="AL19" i="2"/>
  <c r="AN40" i="2"/>
  <c r="AL104" i="2"/>
  <c r="AN71" i="2"/>
  <c r="AN76" i="2"/>
  <c r="AN19" i="2"/>
  <c r="AN117" i="2"/>
  <c r="AN125" i="2"/>
  <c r="AN110" i="2"/>
  <c r="AL70" i="2"/>
  <c r="AL131" i="2"/>
  <c r="AL65" i="2"/>
  <c r="AL107" i="2"/>
  <c r="AN118" i="2"/>
  <c r="AN87" i="2"/>
  <c r="AL110" i="2"/>
  <c r="AN143" i="2"/>
  <c r="AN24" i="2"/>
  <c r="AN142" i="2"/>
  <c r="AN8" i="2"/>
  <c r="AN72" i="2"/>
  <c r="AL63" i="2"/>
  <c r="AN100" i="2"/>
  <c r="AN15" i="2"/>
  <c r="AL114" i="2"/>
  <c r="AN62" i="2"/>
  <c r="AL58" i="2"/>
  <c r="AN93" i="2"/>
  <c r="AL74" i="2"/>
  <c r="AN119" i="2"/>
  <c r="AL30" i="2"/>
  <c r="AL102" i="2"/>
  <c r="AL129" i="2"/>
  <c r="AL39" i="2"/>
  <c r="AN156" i="2"/>
  <c r="AN31" i="2"/>
  <c r="AL73" i="2"/>
  <c r="AN101" i="2"/>
  <c r="AN68" i="2"/>
  <c r="AL105" i="2"/>
  <c r="AL69" i="2"/>
  <c r="AN153" i="2"/>
  <c r="AL52" i="2"/>
  <c r="AN146" i="2"/>
  <c r="AL62" i="2"/>
  <c r="AN122" i="2"/>
  <c r="AL49" i="2"/>
  <c r="AN115" i="2"/>
  <c r="AN149" i="2"/>
  <c r="AN152" i="2"/>
  <c r="AN107" i="2"/>
  <c r="AL16" i="2"/>
  <c r="AN99" i="2"/>
  <c r="AL157" i="2"/>
  <c r="AN20" i="2"/>
  <c r="AN79" i="2"/>
  <c r="AL82" i="2"/>
  <c r="AN105" i="2"/>
  <c r="F4" i="3"/>
  <c r="AL10" i="2"/>
  <c r="AL140" i="2"/>
  <c r="AL46" i="2"/>
  <c r="AN132" i="2"/>
  <c r="AL128" i="2"/>
  <c r="AL55" i="2"/>
  <c r="AN25" i="2"/>
  <c r="AN135" i="2"/>
  <c r="AN124" i="2"/>
  <c r="AL26" i="2"/>
  <c r="AN130" i="2"/>
  <c r="AN134" i="2"/>
  <c r="AN85" i="2"/>
  <c r="AN95" i="2"/>
  <c r="AN131" i="2"/>
  <c r="AL98" i="2"/>
  <c r="AL153" i="2"/>
  <c r="AL130" i="2"/>
  <c r="AL78" i="2"/>
  <c r="AL126" i="2"/>
  <c r="AN27" i="2"/>
  <c r="AN36" i="2"/>
  <c r="AL14" i="2"/>
  <c r="AN114" i="2"/>
  <c r="AN91" i="2"/>
  <c r="AL112" i="2"/>
  <c r="AL83" i="2"/>
  <c r="AN12" i="2"/>
  <c r="AN141" i="2"/>
  <c r="AN60" i="2"/>
  <c r="AL23" i="2"/>
  <c r="AL103" i="2"/>
  <c r="AN111" i="2"/>
  <c r="AN41" i="2"/>
  <c r="AN103" i="2"/>
  <c r="AL36" i="2"/>
  <c r="AN144" i="2"/>
  <c r="AN73" i="2"/>
  <c r="AL12" i="2"/>
  <c r="AN28" i="2"/>
  <c r="AL60" i="2"/>
  <c r="AL133" i="2"/>
  <c r="AN35" i="2"/>
  <c r="AN92" i="2"/>
  <c r="AN75" i="2"/>
  <c r="AL135" i="2"/>
  <c r="AN56" i="2"/>
  <c r="AN14" i="2"/>
  <c r="AN108" i="2"/>
  <c r="AN133" i="2"/>
  <c r="AL71" i="2"/>
  <c r="AN22" i="2"/>
  <c r="AL31" i="2"/>
  <c r="AL24" i="2"/>
  <c r="AN46" i="2"/>
  <c r="AL35" i="2"/>
  <c r="AN11" i="2"/>
  <c r="AL109" i="2"/>
  <c r="AL141" i="2"/>
  <c r="AN59" i="2"/>
  <c r="AN137" i="2"/>
  <c r="AL144" i="2"/>
  <c r="AN150" i="2"/>
  <c r="AL18" i="2"/>
  <c r="AL57" i="2"/>
  <c r="AN128" i="2"/>
  <c r="AN63" i="2"/>
  <c r="AN64" i="2"/>
  <c r="AL100" i="2"/>
  <c r="AN155" i="2"/>
  <c r="AN18" i="2"/>
  <c r="AN57" i="2"/>
  <c r="AL108" i="2"/>
  <c r="AL81" i="2"/>
  <c r="AL59" i="2"/>
  <c r="AL94" i="2"/>
  <c r="AL45" i="2"/>
  <c r="AN29" i="2"/>
  <c r="AN139" i="2"/>
  <c r="AL29" i="2"/>
  <c r="AN96" i="2"/>
  <c r="AL77" i="2"/>
  <c r="AL93" i="2"/>
  <c r="AL124" i="2"/>
  <c r="AN16" i="2"/>
  <c r="AL149" i="2"/>
  <c r="AN37" i="2"/>
  <c r="AN136" i="2"/>
  <c r="AN154" i="2"/>
  <c r="AL146" i="2"/>
  <c r="AL7" i="2"/>
  <c r="AN77" i="2"/>
  <c r="AN138" i="2"/>
  <c r="AL11" i="2"/>
  <c r="AL113" i="2"/>
  <c r="AL147" i="2"/>
  <c r="AL136" i="2"/>
  <c r="AL41" i="2"/>
  <c r="AL87" i="2"/>
  <c r="AL44" i="2"/>
  <c r="AN83" i="2"/>
  <c r="AN66" i="2"/>
  <c r="AN17" i="2"/>
  <c r="AL54" i="2"/>
  <c r="AN48" i="2"/>
  <c r="AL40" i="2"/>
  <c r="AL86" i="2"/>
  <c r="AL106" i="2"/>
  <c r="AN80" i="2"/>
  <c r="AL72" i="2"/>
  <c r="AN82" i="2"/>
  <c r="AL15" i="2"/>
  <c r="AL125" i="2"/>
  <c r="AL92" i="2"/>
  <c r="AL20" i="2"/>
  <c r="AN104" i="2"/>
  <c r="AL97" i="2"/>
  <c r="AN151" i="2"/>
  <c r="AL67" i="2"/>
  <c r="AN69" i="2"/>
  <c r="AN65" i="2"/>
  <c r="AL68" i="2"/>
  <c r="AL85" i="2"/>
  <c r="AL99" i="2"/>
  <c r="AL123" i="2"/>
  <c r="AN21" i="2"/>
  <c r="AN81" i="2"/>
  <c r="AL76" i="2"/>
  <c r="AL152" i="2"/>
  <c r="AL21" i="2"/>
  <c r="AN86" i="2"/>
  <c r="AN32" i="2"/>
  <c r="AN43" i="2"/>
  <c r="AL43" i="2"/>
  <c r="AN51" i="2"/>
  <c r="AL33" i="2"/>
  <c r="AL51" i="2"/>
  <c r="BD33" i="2"/>
  <c r="AQ33" i="2" s="1"/>
  <c r="AM33" i="2"/>
  <c r="AQ32" i="2"/>
  <c r="BD34" i="2"/>
  <c r="AQ34" i="2" s="1"/>
  <c r="AM34" i="2"/>
  <c r="AL32" i="2"/>
  <c r="C5" i="3" l="1"/>
  <c r="AT117" i="4"/>
  <c r="AT38" i="4"/>
  <c r="AU38" i="4" s="1"/>
  <c r="AD38" i="4" s="1"/>
  <c r="AT108" i="4"/>
  <c r="AT128" i="4"/>
  <c r="AT137" i="4"/>
  <c r="AT39" i="4"/>
  <c r="AU39" i="4" s="1"/>
  <c r="AD39" i="4" s="1"/>
  <c r="AR39" i="4" s="1"/>
  <c r="AS39" i="4" s="1"/>
  <c r="AT152" i="4"/>
  <c r="AT122" i="4"/>
  <c r="AU122" i="4" s="1"/>
  <c r="AD122" i="4" s="1"/>
  <c r="AT74" i="4"/>
  <c r="AU74" i="4" s="1"/>
  <c r="AD74" i="4" s="1"/>
  <c r="AR74" i="4" s="1"/>
  <c r="AS74" i="4" s="1"/>
  <c r="AT140" i="4"/>
  <c r="AU140" i="4" s="1"/>
  <c r="AD140" i="4" s="1"/>
  <c r="AT116" i="4"/>
  <c r="AU116" i="4" s="1"/>
  <c r="AD116" i="4" s="1"/>
  <c r="AT44" i="4"/>
  <c r="AU44" i="4" s="1"/>
  <c r="AD44" i="4" s="1"/>
  <c r="AT107" i="4"/>
  <c r="AU107" i="4" s="1"/>
  <c r="AD107" i="4" s="1"/>
  <c r="AR107" i="4" s="1"/>
  <c r="AS107" i="4" s="1"/>
  <c r="AT135" i="4"/>
  <c r="AU135" i="4" s="1"/>
  <c r="AD135" i="4" s="1"/>
  <c r="AT99" i="4"/>
  <c r="AU99" i="4" s="1"/>
  <c r="AD99" i="4" s="1"/>
  <c r="AT43" i="4"/>
  <c r="AU43" i="4" s="1"/>
  <c r="AD43" i="4" s="1"/>
  <c r="AT72" i="4"/>
  <c r="AU72" i="4" s="1"/>
  <c r="AD72" i="4" s="1"/>
  <c r="AT17" i="4"/>
  <c r="AU17" i="4" s="1"/>
  <c r="AD17" i="4" s="1"/>
  <c r="AT40" i="4"/>
  <c r="AU40" i="4" s="1"/>
  <c r="AD40" i="4" s="1"/>
  <c r="AT65" i="4"/>
  <c r="AU65" i="4" s="1"/>
  <c r="AD65" i="4" s="1"/>
  <c r="AT132" i="4"/>
  <c r="AU132" i="4" s="1"/>
  <c r="AD132" i="4" s="1"/>
  <c r="AT37" i="4"/>
  <c r="AU37" i="4" s="1"/>
  <c r="AD37" i="4" s="1"/>
  <c r="AT90" i="4"/>
  <c r="AU90" i="4" s="1"/>
  <c r="AD90" i="4" s="1"/>
  <c r="AT103" i="4"/>
  <c r="AU103" i="4" s="1"/>
  <c r="AD103" i="4" s="1"/>
  <c r="AR103" i="4" s="1"/>
  <c r="AS103" i="4" s="1"/>
  <c r="AT96" i="4"/>
  <c r="AU96" i="4" s="1"/>
  <c r="AT20" i="4"/>
  <c r="AU20" i="4" s="1"/>
  <c r="AD20" i="4" s="1"/>
  <c r="AT136" i="4"/>
  <c r="AU136" i="4" s="1"/>
  <c r="AD136" i="4" s="1"/>
  <c r="AT73" i="4"/>
  <c r="AU73" i="4" s="1"/>
  <c r="AD73" i="4" s="1"/>
  <c r="AT57" i="4"/>
  <c r="AU57" i="4" s="1"/>
  <c r="AT129" i="4"/>
  <c r="AU129" i="4" s="1"/>
  <c r="AD129" i="4" s="1"/>
  <c r="AT111" i="4"/>
  <c r="AU111" i="4" s="1"/>
  <c r="AD111" i="4" s="1"/>
  <c r="AT8" i="4"/>
  <c r="AU8" i="4" s="1"/>
  <c r="AD8" i="4" s="1"/>
  <c r="AT68" i="4"/>
  <c r="AU68" i="4" s="1"/>
  <c r="AD68" i="4" s="1"/>
  <c r="AT48" i="4"/>
  <c r="AU48" i="4" s="1"/>
  <c r="AD48" i="4" s="1"/>
  <c r="AT143" i="4"/>
  <c r="AU143" i="4" s="1"/>
  <c r="AD143" i="4" s="1"/>
  <c r="AT77" i="4"/>
  <c r="AU77" i="4" s="1"/>
  <c r="AT52" i="4"/>
  <c r="AU52" i="4" s="1"/>
  <c r="AT84" i="4"/>
  <c r="AU84" i="4" s="1"/>
  <c r="AD84" i="4" s="1"/>
  <c r="AT12" i="4"/>
  <c r="AT85" i="4"/>
  <c r="AU85" i="4" s="1"/>
  <c r="AD85" i="4" s="1"/>
  <c r="AT26" i="4"/>
  <c r="AU26" i="4" s="1"/>
  <c r="AD26" i="4" s="1"/>
  <c r="AT142" i="4"/>
  <c r="AU142" i="4" s="1"/>
  <c r="AT149" i="4"/>
  <c r="AU149" i="4" s="1"/>
  <c r="AT154" i="4"/>
  <c r="AU154" i="4" s="1"/>
  <c r="AD154" i="4" s="1"/>
  <c r="AT45" i="4"/>
  <c r="AU45" i="4" s="1"/>
  <c r="AD45" i="4" s="1"/>
  <c r="AT124" i="4"/>
  <c r="AT56" i="4"/>
  <c r="AU56" i="4" s="1"/>
  <c r="AD56" i="4" s="1"/>
  <c r="AT134" i="4"/>
  <c r="AU134" i="4" s="1"/>
  <c r="AD134" i="4" s="1"/>
  <c r="AT102" i="4"/>
  <c r="AU102" i="4" s="1"/>
  <c r="AD102" i="4" s="1"/>
  <c r="AT41" i="4"/>
  <c r="AU41" i="4" s="1"/>
  <c r="AD41" i="4" s="1"/>
  <c r="AT104" i="4"/>
  <c r="AU104" i="4" s="1"/>
  <c r="AD104" i="4" s="1"/>
  <c r="AT105" i="4"/>
  <c r="AU105" i="4" s="1"/>
  <c r="AD105" i="4" s="1"/>
  <c r="AT32" i="4"/>
  <c r="AU32" i="4" s="1"/>
  <c r="AD32" i="4" s="1"/>
  <c r="AT59" i="4"/>
  <c r="AU59" i="4" s="1"/>
  <c r="AD59" i="4" s="1"/>
  <c r="AT70" i="4"/>
  <c r="AU70" i="4" s="1"/>
  <c r="AD70" i="4" s="1"/>
  <c r="AT36" i="4"/>
  <c r="AU36" i="4" s="1"/>
  <c r="AD36" i="4" s="1"/>
  <c r="AT55" i="4"/>
  <c r="AU55" i="4" s="1"/>
  <c r="AT13" i="4"/>
  <c r="AU13" i="4" s="1"/>
  <c r="AT30" i="4"/>
  <c r="AT23" i="4"/>
  <c r="AU23" i="4" s="1"/>
  <c r="AT21" i="4"/>
  <c r="AU21" i="4" s="1"/>
  <c r="AD21" i="4" s="1"/>
  <c r="AT9" i="4"/>
  <c r="AU9" i="4" s="1"/>
  <c r="AD9" i="4" s="1"/>
  <c r="AT101" i="4"/>
  <c r="AU101" i="4" s="1"/>
  <c r="AD101" i="4" s="1"/>
  <c r="AT71" i="4"/>
  <c r="AU71" i="4" s="1"/>
  <c r="AD71" i="4" s="1"/>
  <c r="AT133" i="4"/>
  <c r="AU133" i="4" s="1"/>
  <c r="AD133" i="4" s="1"/>
  <c r="AT15" i="4"/>
  <c r="AU15" i="4" s="1"/>
  <c r="AD15" i="4" s="1"/>
  <c r="AT139" i="4"/>
  <c r="AU139" i="4" s="1"/>
  <c r="AD139" i="4" s="1"/>
  <c r="AT119" i="4"/>
  <c r="AU119" i="4" s="1"/>
  <c r="AD119" i="4" s="1"/>
  <c r="AT109" i="4"/>
  <c r="AU109" i="4" s="1"/>
  <c r="AD109" i="4" s="1"/>
  <c r="AT138" i="4"/>
  <c r="AU138" i="4" s="1"/>
  <c r="AD138" i="4" s="1"/>
  <c r="AT34" i="4"/>
  <c r="AU34" i="4" s="1"/>
  <c r="AD34" i="4" s="1"/>
  <c r="AT88" i="4"/>
  <c r="AU88" i="4" s="1"/>
  <c r="AD88" i="4" s="1"/>
  <c r="AT33" i="4"/>
  <c r="AU33" i="4" s="1"/>
  <c r="AD33" i="4" s="1"/>
  <c r="AT46" i="4"/>
  <c r="AU46" i="4" s="1"/>
  <c r="AD46" i="4" s="1"/>
  <c r="AT75" i="4"/>
  <c r="AU75" i="4" s="1"/>
  <c r="AD75" i="4" s="1"/>
  <c r="AT53" i="4"/>
  <c r="AU53" i="4" s="1"/>
  <c r="AT157" i="4"/>
  <c r="AU157" i="4" s="1"/>
  <c r="AD157" i="4" s="1"/>
  <c r="AT156" i="4"/>
  <c r="AU156" i="4" s="1"/>
  <c r="AD156" i="4" s="1"/>
  <c r="AR156" i="4" s="1"/>
  <c r="AS156" i="4" s="1"/>
  <c r="AT78" i="4"/>
  <c r="AU78" i="4" s="1"/>
  <c r="AD78" i="4" s="1"/>
  <c r="AT120" i="4"/>
  <c r="AU120" i="4" s="1"/>
  <c r="AD120" i="4" s="1"/>
  <c r="AT141" i="4"/>
  <c r="AU141" i="4" s="1"/>
  <c r="AD141" i="4" s="1"/>
  <c r="AT58" i="4"/>
  <c r="AU58" i="4" s="1"/>
  <c r="AD58" i="4" s="1"/>
  <c r="AT106" i="4"/>
  <c r="AU106" i="4" s="1"/>
  <c r="AD106" i="4" s="1"/>
  <c r="AT10" i="4"/>
  <c r="AU10" i="4" s="1"/>
  <c r="AT80" i="4"/>
  <c r="AU80" i="4" s="1"/>
  <c r="AT83" i="4"/>
  <c r="AU83" i="4" s="1"/>
  <c r="AD83" i="4" s="1"/>
  <c r="AT86" i="4"/>
  <c r="AU86" i="4" s="1"/>
  <c r="AT14" i="4"/>
  <c r="AU14" i="4" s="1"/>
  <c r="AD14" i="4" s="1"/>
  <c r="AT147" i="4"/>
  <c r="AU147" i="4" s="1"/>
  <c r="AT35" i="4"/>
  <c r="AT31" i="4"/>
  <c r="AU31" i="4" s="1"/>
  <c r="AD31" i="4" s="1"/>
  <c r="AT25" i="4"/>
  <c r="AU25" i="4" s="1"/>
  <c r="AD25" i="4" s="1"/>
  <c r="AT27" i="4"/>
  <c r="AU27" i="4" s="1"/>
  <c r="AD27" i="4" s="1"/>
  <c r="AT110" i="4"/>
  <c r="AU110" i="4" s="1"/>
  <c r="AT125" i="4"/>
  <c r="AU125" i="4" s="1"/>
  <c r="AD125" i="4" s="1"/>
  <c r="AT112" i="4"/>
  <c r="AU112" i="4" s="1"/>
  <c r="AD112" i="4" s="1"/>
  <c r="AT114" i="4"/>
  <c r="AU114" i="4" s="1"/>
  <c r="AD114" i="4" s="1"/>
  <c r="AT29" i="4"/>
  <c r="AU29" i="4" s="1"/>
  <c r="AD29" i="4" s="1"/>
  <c r="AT19" i="4"/>
  <c r="AU19" i="4" s="1"/>
  <c r="AT144" i="4"/>
  <c r="AU144" i="4" s="1"/>
  <c r="AD144" i="4" s="1"/>
  <c r="AT151" i="4"/>
  <c r="AU151" i="4" s="1"/>
  <c r="AD151" i="4" s="1"/>
  <c r="AT153" i="4"/>
  <c r="AU153" i="4" s="1"/>
  <c r="AD153" i="4" s="1"/>
  <c r="AT47" i="4"/>
  <c r="AT42" i="4"/>
  <c r="AU42" i="4" s="1"/>
  <c r="AD42" i="4" s="1"/>
  <c r="AT97" i="4"/>
  <c r="AT63" i="4"/>
  <c r="AU63" i="4" s="1"/>
  <c r="AT22" i="4"/>
  <c r="AU22" i="4" s="1"/>
  <c r="AT150" i="4"/>
  <c r="AU150" i="4" s="1"/>
  <c r="AD150" i="4" s="1"/>
  <c r="AT79" i="4"/>
  <c r="AU79" i="4" s="1"/>
  <c r="AU152" i="4"/>
  <c r="AD152" i="4" s="1"/>
  <c r="AU117" i="4"/>
  <c r="AD117" i="4" s="1"/>
  <c r="AT69" i="4"/>
  <c r="AU108" i="4"/>
  <c r="AD108" i="4" s="1"/>
  <c r="AT24" i="4"/>
  <c r="AD161" i="4"/>
  <c r="AT7" i="4"/>
  <c r="AB158" i="4"/>
  <c r="AT126" i="4"/>
  <c r="S158" i="4" a="1"/>
  <c r="S158" i="4" s="1"/>
  <c r="AT92" i="4"/>
  <c r="AU137" i="4"/>
  <c r="AD137" i="4" s="1"/>
  <c r="AT130" i="4"/>
  <c r="AU128" i="4"/>
  <c r="AD128" i="4" s="1"/>
  <c r="AT54" i="4"/>
  <c r="AT155" i="4"/>
  <c r="AT51" i="4"/>
  <c r="AT64" i="4"/>
  <c r="AT76" i="4"/>
  <c r="AD158" i="4" a="1"/>
  <c r="AD158" i="4" s="1"/>
  <c r="AT95" i="4"/>
  <c r="AT115" i="4"/>
  <c r="AT100" i="4"/>
  <c r="AT148" i="4"/>
  <c r="AT87" i="4"/>
  <c r="AT28" i="4"/>
  <c r="AT11" i="4"/>
  <c r="AT18" i="4"/>
  <c r="AT50" i="4"/>
  <c r="AT67" i="4"/>
  <c r="AT60" i="4"/>
  <c r="AT82" i="4"/>
  <c r="AD168" i="4"/>
  <c r="AT91" i="4"/>
  <c r="AT118" i="4"/>
  <c r="AT146" i="4"/>
  <c r="AT61" i="4"/>
  <c r="AT123" i="4"/>
  <c r="AT81" i="4"/>
  <c r="AT131" i="4"/>
  <c r="AT49" i="4"/>
  <c r="AT113" i="4"/>
  <c r="AT121" i="4"/>
  <c r="AT16" i="4"/>
  <c r="AT62" i="4"/>
  <c r="AT94" i="4"/>
  <c r="AT127" i="4"/>
  <c r="AT66" i="4"/>
  <c r="AT89" i="4"/>
  <c r="AT145" i="4"/>
  <c r="AT98" i="4"/>
  <c r="AT93" i="4"/>
  <c r="AT20" i="2"/>
  <c r="AU20" i="2" s="1"/>
  <c r="AD20" i="2" s="1"/>
  <c r="AT44" i="2"/>
  <c r="AU44" i="2" s="1"/>
  <c r="AD44" i="2" s="1"/>
  <c r="AT39" i="2"/>
  <c r="AU39" i="2" s="1"/>
  <c r="AD39" i="2" s="1"/>
  <c r="AT15" i="2"/>
  <c r="AT125" i="2"/>
  <c r="AT138" i="2"/>
  <c r="AU138" i="2" s="1"/>
  <c r="AD138" i="2" s="1"/>
  <c r="AT50" i="2"/>
  <c r="AU50" i="2" s="1"/>
  <c r="AD50" i="2" s="1"/>
  <c r="AR50" i="2" s="1"/>
  <c r="AS50" i="2" s="1"/>
  <c r="AT49" i="2"/>
  <c r="AU49" i="2" s="1"/>
  <c r="AD49" i="2" s="1"/>
  <c r="AT77" i="2"/>
  <c r="AU77" i="2" s="1"/>
  <c r="AD77" i="2" s="1"/>
  <c r="AT59" i="2"/>
  <c r="AU59" i="2" s="1"/>
  <c r="AD59" i="2" s="1"/>
  <c r="AT55" i="2"/>
  <c r="AU55" i="2" s="1"/>
  <c r="AD55" i="2" s="1"/>
  <c r="AT100" i="2"/>
  <c r="AU100" i="2" s="1"/>
  <c r="AD100" i="2" s="1"/>
  <c r="AT86" i="2"/>
  <c r="AU86" i="2" s="1"/>
  <c r="AD86" i="2" s="1"/>
  <c r="AT81" i="2"/>
  <c r="AU81" i="2" s="1"/>
  <c r="AD81" i="2" s="1"/>
  <c r="AT106" i="2"/>
  <c r="AU106" i="2" s="1"/>
  <c r="AD106" i="2" s="1"/>
  <c r="AT80" i="2"/>
  <c r="AU80" i="2" s="1"/>
  <c r="AD80" i="2" s="1"/>
  <c r="AT37" i="2"/>
  <c r="AU37" i="2" s="1"/>
  <c r="AD37" i="2" s="1"/>
  <c r="AT93" i="2"/>
  <c r="AU93" i="2" s="1"/>
  <c r="AD93" i="2" s="1"/>
  <c r="AT78" i="2"/>
  <c r="AU78" i="2" s="1"/>
  <c r="AD78" i="2" s="1"/>
  <c r="AT34" i="2"/>
  <c r="AU34" i="2" s="1"/>
  <c r="AD34" i="2" s="1"/>
  <c r="AT133" i="2"/>
  <c r="AU133" i="2" s="1"/>
  <c r="AD133" i="2" s="1"/>
  <c r="AT26" i="2"/>
  <c r="AU26" i="2" s="1"/>
  <c r="AD26" i="2" s="1"/>
  <c r="AT111" i="2"/>
  <c r="AU111" i="2" s="1"/>
  <c r="AD111" i="2" s="1"/>
  <c r="AT48" i="2"/>
  <c r="AU48" i="2" s="1"/>
  <c r="AD48" i="2" s="1"/>
  <c r="AT108" i="2"/>
  <c r="AU108" i="2" s="1"/>
  <c r="AD108" i="2" s="1"/>
  <c r="AT60" i="2"/>
  <c r="AU60" i="2" s="1"/>
  <c r="AD60" i="2" s="1"/>
  <c r="AT54" i="2"/>
  <c r="AU54" i="2" s="1"/>
  <c r="AD54" i="2" s="1"/>
  <c r="AT12" i="2"/>
  <c r="AU12" i="2" s="1"/>
  <c r="AD12" i="2" s="1"/>
  <c r="AT13" i="2"/>
  <c r="AT53" i="2"/>
  <c r="AU53" i="2" s="1"/>
  <c r="AD53" i="2" s="1"/>
  <c r="AT43" i="2"/>
  <c r="AU43" i="2" s="1"/>
  <c r="AD43" i="2" s="1"/>
  <c r="AT42" i="2"/>
  <c r="AU42" i="2" s="1"/>
  <c r="AD42" i="2" s="1"/>
  <c r="AR42" i="2" s="1"/>
  <c r="AS42" i="2" s="1"/>
  <c r="AT30" i="2"/>
  <c r="AU30" i="2" s="1"/>
  <c r="AD30" i="2" s="1"/>
  <c r="AT35" i="2"/>
  <c r="AU35" i="2" s="1"/>
  <c r="AD35" i="2" s="1"/>
  <c r="AT75" i="2"/>
  <c r="AU75" i="2" s="1"/>
  <c r="AD75" i="2" s="1"/>
  <c r="AT67" i="2"/>
  <c r="AU67" i="2" s="1"/>
  <c r="AD67" i="2" s="1"/>
  <c r="AT14" i="2"/>
  <c r="AU14" i="2" s="1"/>
  <c r="AD14" i="2" s="1"/>
  <c r="AT156" i="2"/>
  <c r="AU156" i="2" s="1"/>
  <c r="AD156" i="2" s="1"/>
  <c r="AT119" i="2"/>
  <c r="AU119" i="2" s="1"/>
  <c r="AD119" i="2" s="1"/>
  <c r="AT105" i="2"/>
  <c r="AU105" i="2" s="1"/>
  <c r="AD105" i="2" s="1"/>
  <c r="AT88" i="2"/>
  <c r="AU88" i="2" s="1"/>
  <c r="AD88" i="2" s="1"/>
  <c r="AT38" i="2"/>
  <c r="AT10" i="2"/>
  <c r="AU10" i="2" s="1"/>
  <c r="AD10" i="2" s="1"/>
  <c r="AT113" i="2"/>
  <c r="AU113" i="2" s="1"/>
  <c r="AD113" i="2" s="1"/>
  <c r="AT141" i="2"/>
  <c r="AU141" i="2" s="1"/>
  <c r="AD141" i="2" s="1"/>
  <c r="AT139" i="2"/>
  <c r="AT56" i="2"/>
  <c r="AU56" i="2" s="1"/>
  <c r="AT16" i="2"/>
  <c r="AU16" i="2" s="1"/>
  <c r="AD16" i="2" s="1"/>
  <c r="AT110" i="2"/>
  <c r="AU110" i="2" s="1"/>
  <c r="AD110" i="2" s="1"/>
  <c r="AT92" i="2"/>
  <c r="AU92" i="2" s="1"/>
  <c r="AD92" i="2" s="1"/>
  <c r="AT62" i="2"/>
  <c r="AU62" i="2" s="1"/>
  <c r="AT150" i="2"/>
  <c r="AU150" i="2" s="1"/>
  <c r="AD150" i="2" s="1"/>
  <c r="AT115" i="2"/>
  <c r="AU115" i="2" s="1"/>
  <c r="AD115" i="2" s="1"/>
  <c r="AT155" i="2"/>
  <c r="AU155" i="2" s="1"/>
  <c r="AD155" i="2" s="1"/>
  <c r="AT32" i="2"/>
  <c r="AU32" i="2" s="1"/>
  <c r="AD32" i="2" s="1"/>
  <c r="AT70" i="2"/>
  <c r="AU70" i="2" s="1"/>
  <c r="AD70" i="2" s="1"/>
  <c r="AT22" i="2"/>
  <c r="AU22" i="2" s="1"/>
  <c r="AT61" i="2"/>
  <c r="AU61" i="2" s="1"/>
  <c r="AD61" i="2" s="1"/>
  <c r="AT40" i="2"/>
  <c r="AU40" i="2" s="1"/>
  <c r="AD40" i="2" s="1"/>
  <c r="AT73" i="2"/>
  <c r="AU73" i="2" s="1"/>
  <c r="AT116" i="2"/>
  <c r="AU116" i="2" s="1"/>
  <c r="AD116" i="2" s="1"/>
  <c r="AT66" i="2"/>
  <c r="AU66" i="2" s="1"/>
  <c r="AD66" i="2" s="1"/>
  <c r="AT104" i="2"/>
  <c r="AU104" i="2" s="1"/>
  <c r="AD104" i="2" s="1"/>
  <c r="AT128" i="2"/>
  <c r="AU128" i="2" s="1"/>
  <c r="AD128" i="2" s="1"/>
  <c r="AT144" i="2"/>
  <c r="AU144" i="2" s="1"/>
  <c r="AD144" i="2" s="1"/>
  <c r="AT41" i="2"/>
  <c r="AU41" i="2" s="1"/>
  <c r="AT149" i="2"/>
  <c r="AT85" i="2"/>
  <c r="AU85" i="2" s="1"/>
  <c r="AT83" i="2"/>
  <c r="AT157" i="2"/>
  <c r="AU157" i="2" s="1"/>
  <c r="AD157" i="2" s="1"/>
  <c r="AT63" i="2"/>
  <c r="AU63" i="2" s="1"/>
  <c r="AT68" i="2"/>
  <c r="AU68" i="2" s="1"/>
  <c r="AD68" i="2" s="1"/>
  <c r="AT146" i="2"/>
  <c r="AU146" i="2" s="1"/>
  <c r="AT109" i="2"/>
  <c r="AU109" i="2" s="1"/>
  <c r="AT112" i="2"/>
  <c r="AT24" i="2"/>
  <c r="AT154" i="2"/>
  <c r="AT97" i="2"/>
  <c r="AT31" i="2"/>
  <c r="AT120" i="2"/>
  <c r="AT124" i="2"/>
  <c r="AT126" i="2"/>
  <c r="AT142" i="2"/>
  <c r="AT122" i="2"/>
  <c r="AT71" i="2"/>
  <c r="AT151" i="2"/>
  <c r="AT130" i="2"/>
  <c r="AT107" i="2"/>
  <c r="AU125" i="2"/>
  <c r="AD125" i="2" s="1"/>
  <c r="AT153" i="2"/>
  <c r="AT65" i="2"/>
  <c r="AT90" i="2"/>
  <c r="AD158" i="2" a="1"/>
  <c r="AD158" i="2" s="1"/>
  <c r="AU15" i="2"/>
  <c r="AD15" i="2" s="1"/>
  <c r="AT29" i="2"/>
  <c r="AT98" i="2"/>
  <c r="AT52" i="2"/>
  <c r="AT131" i="2"/>
  <c r="AT134" i="2"/>
  <c r="AT72" i="2"/>
  <c r="AT135" i="2"/>
  <c r="AT69" i="2"/>
  <c r="S158" i="2" a="1"/>
  <c r="S158" i="2" s="1"/>
  <c r="AT45" i="2"/>
  <c r="AT118" i="2"/>
  <c r="AT28" i="2"/>
  <c r="AB158" i="2"/>
  <c r="AT7" i="2"/>
  <c r="AD161" i="2"/>
  <c r="AT94" i="2"/>
  <c r="AT143" i="2"/>
  <c r="AT27" i="2"/>
  <c r="AT51" i="2"/>
  <c r="AT33" i="2"/>
  <c r="AT101" i="2"/>
  <c r="AT129" i="2"/>
  <c r="AT102" i="2"/>
  <c r="AT91" i="2"/>
  <c r="AT87" i="2"/>
  <c r="AT46" i="2"/>
  <c r="AT96" i="2"/>
  <c r="AT9" i="2"/>
  <c r="AT21" i="2"/>
  <c r="AT140" i="2"/>
  <c r="AT74" i="2"/>
  <c r="AT17" i="2"/>
  <c r="AT152" i="2"/>
  <c r="AT136" i="2"/>
  <c r="AT57" i="2"/>
  <c r="AT64" i="2"/>
  <c r="AT95" i="2"/>
  <c r="AT19" i="2"/>
  <c r="AT121" i="2"/>
  <c r="AT76" i="2"/>
  <c r="AT147" i="2"/>
  <c r="AT18" i="2"/>
  <c r="AT103" i="2"/>
  <c r="AT58" i="2"/>
  <c r="AT127" i="2"/>
  <c r="AT8" i="2"/>
  <c r="AT47" i="2"/>
  <c r="AT117" i="2"/>
  <c r="AT23" i="2"/>
  <c r="AT137" i="2"/>
  <c r="AT79" i="2"/>
  <c r="AT11" i="2"/>
  <c r="AT82" i="2"/>
  <c r="AT114" i="2"/>
  <c r="AT89" i="2"/>
  <c r="AT36" i="2"/>
  <c r="AT123" i="2"/>
  <c r="AT84" i="2"/>
  <c r="AT148" i="2"/>
  <c r="AT145" i="2"/>
  <c r="AT99" i="2"/>
  <c r="AT132" i="2"/>
  <c r="AT25" i="2"/>
  <c r="V158" i="4" l="1"/>
  <c r="H3" i="3"/>
  <c r="AD96" i="4"/>
  <c r="AR96" i="4" s="1"/>
  <c r="AS96" i="4" s="1"/>
  <c r="AD57" i="4"/>
  <c r="AR57" i="4" s="1"/>
  <c r="AS57" i="4" s="1"/>
  <c r="AD77" i="4"/>
  <c r="AR77" i="4" s="1"/>
  <c r="AS77" i="4" s="1"/>
  <c r="AU124" i="4"/>
  <c r="AD124" i="4" s="1"/>
  <c r="AR124" i="4" s="1"/>
  <c r="AS124" i="4" s="1"/>
  <c r="AD149" i="4"/>
  <c r="AU12" i="4"/>
  <c r="AD12" i="4" s="1"/>
  <c r="AR12" i="4" s="1"/>
  <c r="AS12" i="4" s="1"/>
  <c r="AD142" i="4"/>
  <c r="AR142" i="4" s="1"/>
  <c r="AS142" i="4" s="1"/>
  <c r="AD52" i="4"/>
  <c r="AR52" i="4" s="1"/>
  <c r="AS52" i="4" s="1"/>
  <c r="AD23" i="4"/>
  <c r="AR23" i="4" s="1"/>
  <c r="AS23" i="4" s="1"/>
  <c r="AD147" i="4"/>
  <c r="AR147" i="4" s="1"/>
  <c r="AS147" i="4" s="1"/>
  <c r="AU47" i="4"/>
  <c r="AD47" i="4" s="1"/>
  <c r="AR47" i="4" s="1"/>
  <c r="AS47" i="4" s="1"/>
  <c r="AD55" i="4"/>
  <c r="AR55" i="4" s="1"/>
  <c r="AS55" i="4" s="1"/>
  <c r="AD13" i="4"/>
  <c r="AR13" i="4" s="1"/>
  <c r="AS13" i="4" s="1"/>
  <c r="AU30" i="4"/>
  <c r="AD30" i="4" s="1"/>
  <c r="AD159" i="4"/>
  <c r="AD80" i="4"/>
  <c r="AR80" i="4" s="1"/>
  <c r="AS80" i="4" s="1"/>
  <c r="AD86" i="4"/>
  <c r="AR86" i="4" s="1"/>
  <c r="AS86" i="4" s="1"/>
  <c r="AD10" i="4"/>
  <c r="AR10" i="4" s="1"/>
  <c r="AS10" i="4" s="1"/>
  <c r="AD19" i="4"/>
  <c r="AR19" i="4" s="1"/>
  <c r="AS19" i="4" s="1"/>
  <c r="AD53" i="4"/>
  <c r="AR53" i="4" s="1"/>
  <c r="AS53" i="4" s="1"/>
  <c r="AD22" i="4"/>
  <c r="AR22" i="4" s="1"/>
  <c r="AS22" i="4" s="1"/>
  <c r="AD110" i="4"/>
  <c r="AR110" i="4" s="1"/>
  <c r="AS110" i="4" s="1"/>
  <c r="AD63" i="4"/>
  <c r="AR63" i="4" s="1"/>
  <c r="AS63" i="4" s="1"/>
  <c r="AU35" i="4"/>
  <c r="AD35" i="4" s="1"/>
  <c r="AR35" i="4" s="1"/>
  <c r="AS35" i="4" s="1"/>
  <c r="AD79" i="4"/>
  <c r="AR79" i="4" s="1"/>
  <c r="AS79" i="4" s="1"/>
  <c r="AU97" i="4"/>
  <c r="AD97" i="4" s="1"/>
  <c r="AR26" i="4"/>
  <c r="AS26" i="4" s="1"/>
  <c r="AR46" i="4"/>
  <c r="AS46" i="4" s="1"/>
  <c r="AR29" i="4"/>
  <c r="AS29" i="4" s="1"/>
  <c r="AR40" i="4"/>
  <c r="AS40" i="4" s="1"/>
  <c r="AR31" i="4"/>
  <c r="AS31" i="4" s="1"/>
  <c r="AR137" i="4"/>
  <c r="AS137" i="4" s="1"/>
  <c r="AR105" i="4"/>
  <c r="AS105" i="4" s="1"/>
  <c r="AR143" i="4"/>
  <c r="AS143" i="4" s="1"/>
  <c r="AR20" i="4"/>
  <c r="AS20" i="4" s="1"/>
  <c r="AR27" i="4"/>
  <c r="AS27" i="4" s="1"/>
  <c r="AR106" i="4"/>
  <c r="AS106" i="4" s="1"/>
  <c r="AR45" i="4"/>
  <c r="AS45" i="4" s="1"/>
  <c r="AR101" i="4"/>
  <c r="AS101" i="4" s="1"/>
  <c r="AR32" i="4"/>
  <c r="AS32" i="4" s="1"/>
  <c r="AR122" i="4"/>
  <c r="AS122" i="4" s="1"/>
  <c r="AR42" i="4"/>
  <c r="AS42" i="4" s="1"/>
  <c r="AR136" i="4"/>
  <c r="AS136" i="4" s="1"/>
  <c r="AR48" i="4"/>
  <c r="AS48" i="4" s="1"/>
  <c r="AR112" i="4"/>
  <c r="AS112" i="4" s="1"/>
  <c r="AR133" i="4"/>
  <c r="AS133" i="4" s="1"/>
  <c r="AR129" i="4"/>
  <c r="AS129" i="4" s="1"/>
  <c r="AR152" i="4"/>
  <c r="AS152" i="4" s="1"/>
  <c r="AR65" i="4"/>
  <c r="AS65" i="4" s="1"/>
  <c r="AR154" i="4"/>
  <c r="AS154" i="4" s="1"/>
  <c r="AR84" i="4"/>
  <c r="AS84" i="4" s="1"/>
  <c r="AR117" i="4"/>
  <c r="AS117" i="4" s="1"/>
  <c r="AR33" i="4"/>
  <c r="AS33" i="4" s="1"/>
  <c r="AR135" i="4"/>
  <c r="AS135" i="4" s="1"/>
  <c r="AR104" i="4"/>
  <c r="AS104" i="4" s="1"/>
  <c r="AR71" i="4"/>
  <c r="AS71" i="4" s="1"/>
  <c r="AR157" i="4"/>
  <c r="AS157" i="4" s="1"/>
  <c r="AR38" i="4"/>
  <c r="AS38" i="4" s="1"/>
  <c r="AR116" i="4"/>
  <c r="AS116" i="4" s="1"/>
  <c r="AR73" i="4"/>
  <c r="AS73" i="4" s="1"/>
  <c r="AR141" i="4"/>
  <c r="AS141" i="4" s="1"/>
  <c r="AR134" i="4"/>
  <c r="AS134" i="4" s="1"/>
  <c r="AR140" i="4"/>
  <c r="AS140" i="4" s="1"/>
  <c r="AR17" i="4"/>
  <c r="AS17" i="4" s="1"/>
  <c r="AR99" i="4"/>
  <c r="AS99" i="4" s="1"/>
  <c r="AR37" i="4"/>
  <c r="AS37" i="4" s="1"/>
  <c r="AR125" i="4"/>
  <c r="AS125" i="4" s="1"/>
  <c r="AR150" i="4"/>
  <c r="AS150" i="4" s="1"/>
  <c r="AR83" i="4"/>
  <c r="AS83" i="4" s="1"/>
  <c r="AR144" i="4"/>
  <c r="AS144" i="4" s="1"/>
  <c r="AR114" i="4"/>
  <c r="AS114" i="4" s="1"/>
  <c r="AR25" i="4"/>
  <c r="AS25" i="4" s="1"/>
  <c r="AR44" i="4"/>
  <c r="AS44" i="4" s="1"/>
  <c r="AR72" i="4"/>
  <c r="AS72" i="4" s="1"/>
  <c r="AR34" i="4"/>
  <c r="AS34" i="4" s="1"/>
  <c r="AR43" i="4"/>
  <c r="AS43" i="4" s="1"/>
  <c r="AU98" i="4"/>
  <c r="AD98" i="4" s="1"/>
  <c r="AR59" i="4"/>
  <c r="AS59" i="4" s="1"/>
  <c r="AU54" i="4"/>
  <c r="AD54" i="4" s="1"/>
  <c r="AU123" i="4"/>
  <c r="AD123" i="4" s="1"/>
  <c r="AR58" i="4"/>
  <c r="AS58" i="4" s="1"/>
  <c r="AR128" i="4"/>
  <c r="AS128" i="4" s="1"/>
  <c r="AU145" i="4"/>
  <c r="AD145" i="4" s="1"/>
  <c r="AU66" i="4"/>
  <c r="AD66" i="4" s="1"/>
  <c r="AU28" i="4"/>
  <c r="AD28" i="4" s="1"/>
  <c r="AR138" i="4"/>
  <c r="AS138" i="4" s="1"/>
  <c r="AU100" i="4"/>
  <c r="AD100" i="4" s="1"/>
  <c r="AR8" i="4"/>
  <c r="AS8" i="4" s="1"/>
  <c r="AU127" i="4"/>
  <c r="AD127" i="4" s="1"/>
  <c r="AR75" i="4"/>
  <c r="AS75" i="4" s="1"/>
  <c r="AR139" i="4"/>
  <c r="AS139" i="4" s="1"/>
  <c r="AR78" i="4"/>
  <c r="AS78" i="4" s="1"/>
  <c r="AU89" i="4"/>
  <c r="AD89" i="4" s="1"/>
  <c r="AU94" i="4"/>
  <c r="AD94" i="4" s="1"/>
  <c r="AR70" i="4"/>
  <c r="AS70" i="4" s="1"/>
  <c r="AR120" i="4"/>
  <c r="AS120" i="4" s="1"/>
  <c r="AU87" i="4"/>
  <c r="AD87" i="4" s="1"/>
  <c r="AU148" i="4"/>
  <c r="AD148" i="4" s="1"/>
  <c r="AR132" i="4"/>
  <c r="AS132" i="4" s="1"/>
  <c r="AR21" i="4"/>
  <c r="AS21" i="4" s="1"/>
  <c r="AU115" i="4"/>
  <c r="AD115" i="4" s="1"/>
  <c r="AR85" i="4"/>
  <c r="AS85" i="4" s="1"/>
  <c r="AR111" i="4"/>
  <c r="AS111" i="4" s="1"/>
  <c r="AU24" i="4"/>
  <c r="AD24" i="4" s="1"/>
  <c r="AU18" i="4"/>
  <c r="AD18" i="4" s="1"/>
  <c r="AU130" i="4"/>
  <c r="AD130" i="4" s="1"/>
  <c r="AU62" i="4"/>
  <c r="AD62" i="4" s="1"/>
  <c r="AR108" i="4"/>
  <c r="AS108" i="4" s="1"/>
  <c r="AU61" i="4"/>
  <c r="AD61" i="4" s="1"/>
  <c r="AU11" i="4"/>
  <c r="AD11" i="4" s="1"/>
  <c r="AU91" i="4"/>
  <c r="AD91" i="4" s="1"/>
  <c r="AR15" i="4"/>
  <c r="AS15" i="4" s="1"/>
  <c r="AU16" i="4"/>
  <c r="AD16" i="4" s="1"/>
  <c r="AU49" i="4"/>
  <c r="AD49" i="4" s="1"/>
  <c r="AU82" i="4"/>
  <c r="AD82" i="4" s="1"/>
  <c r="AR149" i="4"/>
  <c r="AS149" i="4" s="1"/>
  <c r="AR9" i="4"/>
  <c r="AS9" i="4" s="1"/>
  <c r="AU131" i="4"/>
  <c r="AD131" i="4" s="1"/>
  <c r="AU64" i="4"/>
  <c r="AD64" i="4" s="1"/>
  <c r="AU92" i="4"/>
  <c r="AD92" i="4" s="1"/>
  <c r="AU126" i="4"/>
  <c r="AD126" i="4" s="1"/>
  <c r="AR14" i="4"/>
  <c r="AS14" i="4" s="1"/>
  <c r="AR153" i="4"/>
  <c r="AS153" i="4" s="1"/>
  <c r="AR151" i="4"/>
  <c r="AS151" i="4" s="1"/>
  <c r="AU118" i="4"/>
  <c r="AD118" i="4" s="1"/>
  <c r="AR90" i="4"/>
  <c r="AS90" i="4" s="1"/>
  <c r="AU60" i="4"/>
  <c r="AD60" i="4" s="1"/>
  <c r="AR109" i="4"/>
  <c r="AS109" i="4" s="1"/>
  <c r="AU146" i="4"/>
  <c r="AD146" i="4" s="1"/>
  <c r="AU121" i="4"/>
  <c r="AD121" i="4" s="1"/>
  <c r="AU76" i="4"/>
  <c r="AD76" i="4" s="1"/>
  <c r="AU67" i="4"/>
  <c r="AD67" i="4" s="1"/>
  <c r="AR88" i="4"/>
  <c r="AS88" i="4" s="1"/>
  <c r="AR41" i="4"/>
  <c r="AS41" i="4" s="1"/>
  <c r="AR102" i="4"/>
  <c r="AS102" i="4" s="1"/>
  <c r="AU95" i="4"/>
  <c r="AD95" i="4" s="1"/>
  <c r="AU113" i="4"/>
  <c r="AD113" i="4" s="1"/>
  <c r="AU93" i="4"/>
  <c r="AD93" i="4" s="1"/>
  <c r="AR68" i="4"/>
  <c r="AS68" i="4" s="1"/>
  <c r="AU81" i="4"/>
  <c r="AD81" i="4" s="1"/>
  <c r="AU50" i="4"/>
  <c r="AD50" i="4" s="1"/>
  <c r="AU51" i="4"/>
  <c r="AD51" i="4" s="1"/>
  <c r="AU7" i="4"/>
  <c r="AD7" i="4" s="1"/>
  <c r="AR56" i="4"/>
  <c r="AS56" i="4" s="1"/>
  <c r="AR119" i="4"/>
  <c r="AS119" i="4" s="1"/>
  <c r="AU69" i="4"/>
  <c r="AD69" i="4" s="1"/>
  <c r="AR36" i="4"/>
  <c r="AS36" i="4" s="1"/>
  <c r="AU155" i="4"/>
  <c r="AD155" i="4" s="1"/>
  <c r="AU13" i="2"/>
  <c r="AD13" i="2" s="1"/>
  <c r="AR13" i="2" s="1"/>
  <c r="AS13" i="2" s="1"/>
  <c r="AU38" i="2"/>
  <c r="AD38" i="2" s="1"/>
  <c r="AR38" i="2" s="1"/>
  <c r="AS38" i="2" s="1"/>
  <c r="AD63" i="2"/>
  <c r="AR63" i="2" s="1"/>
  <c r="AS63" i="2" s="1"/>
  <c r="AD22" i="2"/>
  <c r="AR22" i="2" s="1"/>
  <c r="AS22" i="2" s="1"/>
  <c r="AD159" i="2"/>
  <c r="AD56" i="2"/>
  <c r="AR56" i="2" s="1"/>
  <c r="AS56" i="2" s="1"/>
  <c r="AD62" i="2"/>
  <c r="AR62" i="2" s="1"/>
  <c r="AS62" i="2" s="1"/>
  <c r="AU139" i="2"/>
  <c r="AD139" i="2" s="1"/>
  <c r="AD109" i="2"/>
  <c r="AR109" i="2" s="1"/>
  <c r="AS109" i="2" s="1"/>
  <c r="AD73" i="2"/>
  <c r="AR73" i="2" s="1"/>
  <c r="AS73" i="2" s="1"/>
  <c r="AD146" i="2"/>
  <c r="AR146" i="2" s="1"/>
  <c r="AU83" i="2"/>
  <c r="AD83" i="2" s="1"/>
  <c r="AD41" i="2"/>
  <c r="AR41" i="2" s="1"/>
  <c r="AU149" i="2"/>
  <c r="AD149" i="2" s="1"/>
  <c r="AD85" i="2"/>
  <c r="AR85" i="2" s="1"/>
  <c r="AU112" i="2"/>
  <c r="AD112" i="2" s="1"/>
  <c r="AR110" i="2"/>
  <c r="AS110" i="2" s="1"/>
  <c r="AR80" i="2"/>
  <c r="AS80" i="2" s="1"/>
  <c r="AR44" i="2"/>
  <c r="AS44" i="2" s="1"/>
  <c r="AR144" i="2"/>
  <c r="AS144" i="2" s="1"/>
  <c r="AR75" i="2"/>
  <c r="AS75" i="2" s="1"/>
  <c r="AR128" i="2"/>
  <c r="AS128" i="2" s="1"/>
  <c r="AR68" i="2"/>
  <c r="AS68" i="2" s="1"/>
  <c r="AR155" i="2"/>
  <c r="AS155" i="2" s="1"/>
  <c r="AR104" i="2"/>
  <c r="AS104" i="2" s="1"/>
  <c r="AR54" i="2"/>
  <c r="AS54" i="2" s="1"/>
  <c r="AR138" i="2"/>
  <c r="AS138" i="2" s="1"/>
  <c r="AR66" i="2"/>
  <c r="AS66" i="2" s="1"/>
  <c r="AR49" i="2"/>
  <c r="AS49" i="2" s="1"/>
  <c r="AR141" i="2"/>
  <c r="AS141" i="2" s="1"/>
  <c r="AR53" i="2"/>
  <c r="AS53" i="2" s="1"/>
  <c r="AR81" i="2"/>
  <c r="AS81" i="2" s="1"/>
  <c r="AR40" i="2"/>
  <c r="AS40" i="2" s="1"/>
  <c r="AR116" i="2"/>
  <c r="AS116" i="2" s="1"/>
  <c r="AR125" i="2"/>
  <c r="AS125" i="2" s="1"/>
  <c r="AR105" i="2"/>
  <c r="AS105" i="2" s="1"/>
  <c r="AR150" i="2"/>
  <c r="AS150" i="2" s="1"/>
  <c r="AR55" i="2"/>
  <c r="AS55" i="2" s="1"/>
  <c r="AR61" i="2"/>
  <c r="AS61" i="2" s="1"/>
  <c r="AR70" i="2"/>
  <c r="AS70" i="2" s="1"/>
  <c r="AR34" i="2"/>
  <c r="AS34" i="2" s="1"/>
  <c r="AR60" i="2"/>
  <c r="AS60" i="2" s="1"/>
  <c r="AR108" i="2"/>
  <c r="AS108" i="2" s="1"/>
  <c r="AR30" i="2"/>
  <c r="AS30" i="2" s="1"/>
  <c r="AR32" i="2"/>
  <c r="AS32" i="2" s="1"/>
  <c r="AR88" i="2"/>
  <c r="AS88" i="2" s="1"/>
  <c r="AR26" i="2"/>
  <c r="AS26" i="2" s="1"/>
  <c r="AU127" i="2"/>
  <c r="AD127" i="2" s="1"/>
  <c r="AR115" i="2"/>
  <c r="AS115" i="2" s="1"/>
  <c r="AU145" i="2"/>
  <c r="AD145" i="2" s="1"/>
  <c r="AU58" i="2"/>
  <c r="AD58" i="2" s="1"/>
  <c r="AU33" i="2"/>
  <c r="AD33" i="2" s="1"/>
  <c r="AU7" i="2"/>
  <c r="AD7" i="2" s="1"/>
  <c r="AR92" i="2"/>
  <c r="AS92" i="2" s="1"/>
  <c r="AU126" i="2"/>
  <c r="AD126" i="2" s="1"/>
  <c r="AU148" i="2"/>
  <c r="AD148" i="2" s="1"/>
  <c r="AU103" i="2"/>
  <c r="AD103" i="2" s="1"/>
  <c r="AU124" i="2"/>
  <c r="AD124" i="2" s="1"/>
  <c r="AU120" i="2"/>
  <c r="AD120" i="2" s="1"/>
  <c r="AU123" i="2"/>
  <c r="AD123" i="2" s="1"/>
  <c r="AU147" i="2"/>
  <c r="AD147" i="2" s="1"/>
  <c r="AU96" i="2"/>
  <c r="AD96" i="2" s="1"/>
  <c r="AU90" i="2"/>
  <c r="AD90" i="2" s="1"/>
  <c r="AU121" i="2"/>
  <c r="AD121" i="2" s="1"/>
  <c r="AU118" i="2"/>
  <c r="AD118" i="2" s="1"/>
  <c r="AU153" i="2"/>
  <c r="AD153" i="2" s="1"/>
  <c r="AU31" i="2"/>
  <c r="AD31" i="2" s="1"/>
  <c r="AU28" i="2"/>
  <c r="AD28" i="2" s="1"/>
  <c r="AU87" i="2"/>
  <c r="AD87" i="2" s="1"/>
  <c r="AU89" i="2"/>
  <c r="AD89" i="2" s="1"/>
  <c r="AR67" i="2"/>
  <c r="AS67" i="2" s="1"/>
  <c r="AU36" i="2"/>
  <c r="AD36" i="2" s="1"/>
  <c r="AU114" i="2"/>
  <c r="AD114" i="2" s="1"/>
  <c r="AU102" i="2"/>
  <c r="AD102" i="2" s="1"/>
  <c r="AR100" i="2"/>
  <c r="AS100" i="2" s="1"/>
  <c r="AU69" i="2"/>
  <c r="AD69" i="2" s="1"/>
  <c r="AU107" i="2"/>
  <c r="AD107" i="2" s="1"/>
  <c r="AU46" i="2"/>
  <c r="AD46" i="2" s="1"/>
  <c r="AU19" i="2"/>
  <c r="AD19" i="2" s="1"/>
  <c r="AU97" i="2"/>
  <c r="AD97" i="2" s="1"/>
  <c r="AU91" i="2"/>
  <c r="AD91" i="2" s="1"/>
  <c r="AU65" i="2"/>
  <c r="AD65" i="2" s="1"/>
  <c r="AR133" i="2"/>
  <c r="AS133" i="2" s="1"/>
  <c r="AU154" i="2"/>
  <c r="AD154" i="2" s="1"/>
  <c r="AR156" i="2"/>
  <c r="AS156" i="2" s="1"/>
  <c r="AR113" i="2"/>
  <c r="AS113" i="2" s="1"/>
  <c r="AU27" i="2"/>
  <c r="AD27" i="2" s="1"/>
  <c r="AU131" i="2"/>
  <c r="AD131" i="2" s="1"/>
  <c r="AR93" i="2"/>
  <c r="AS93" i="2" s="1"/>
  <c r="AU18" i="2"/>
  <c r="AD18" i="2" s="1"/>
  <c r="AU51" i="2"/>
  <c r="AD51" i="2" s="1"/>
  <c r="AU152" i="2"/>
  <c r="AD152" i="2" s="1"/>
  <c r="AU23" i="2"/>
  <c r="AD23" i="2" s="1"/>
  <c r="AR12" i="2"/>
  <c r="AS12" i="2" s="1"/>
  <c r="AU143" i="2"/>
  <c r="AD143" i="2" s="1"/>
  <c r="AU52" i="2"/>
  <c r="AD52" i="2" s="1"/>
  <c r="AU136" i="2"/>
  <c r="AD136" i="2" s="1"/>
  <c r="AU117" i="2"/>
  <c r="AD117" i="2" s="1"/>
  <c r="AU98" i="2"/>
  <c r="AD98" i="2" s="1"/>
  <c r="AR20" i="2"/>
  <c r="AS20" i="2" s="1"/>
  <c r="AU72" i="2"/>
  <c r="AD72" i="2" s="1"/>
  <c r="AR35" i="2"/>
  <c r="AS35" i="2" s="1"/>
  <c r="AR14" i="2"/>
  <c r="AS14" i="2" s="1"/>
  <c r="AU25" i="2"/>
  <c r="AD25" i="2" s="1"/>
  <c r="AU74" i="2"/>
  <c r="AD74" i="2" s="1"/>
  <c r="AU29" i="2"/>
  <c r="AD29" i="2" s="1"/>
  <c r="AR48" i="2"/>
  <c r="AS48" i="2" s="1"/>
  <c r="AU9" i="2"/>
  <c r="AD9" i="2" s="1"/>
  <c r="AU76" i="2"/>
  <c r="AD76" i="2" s="1"/>
  <c r="AR43" i="2"/>
  <c r="AS43" i="2" s="1"/>
  <c r="AR77" i="2"/>
  <c r="AS77" i="2" s="1"/>
  <c r="AU137" i="2"/>
  <c r="AD137" i="2" s="1"/>
  <c r="AU132" i="2"/>
  <c r="AD132" i="2" s="1"/>
  <c r="AU140" i="2"/>
  <c r="AD140" i="2" s="1"/>
  <c r="AU94" i="2"/>
  <c r="AD94" i="2" s="1"/>
  <c r="H4" i="3"/>
  <c r="C7" i="3" s="1"/>
  <c r="C8" i="3" s="1"/>
  <c r="V158" i="2"/>
  <c r="AR111" i="2"/>
  <c r="AS111" i="2" s="1"/>
  <c r="AU24" i="2"/>
  <c r="AD24" i="2" s="1"/>
  <c r="AU17" i="2"/>
  <c r="AD17" i="2" s="1"/>
  <c r="AU101" i="2"/>
  <c r="AD101" i="2" s="1"/>
  <c r="AR106" i="2"/>
  <c r="AS106" i="2" s="1"/>
  <c r="AR15" i="2"/>
  <c r="AS15" i="2" s="1"/>
  <c r="AR16" i="2"/>
  <c r="AS16" i="2" s="1"/>
  <c r="AU45" i="2"/>
  <c r="AD45" i="2" s="1"/>
  <c r="AR157" i="2"/>
  <c r="AS157" i="2" s="1"/>
  <c r="AU95" i="2"/>
  <c r="AD95" i="2" s="1"/>
  <c r="AR59" i="2"/>
  <c r="AS59" i="2" s="1"/>
  <c r="AR78" i="2"/>
  <c r="AS78" i="2" s="1"/>
  <c r="AR86" i="2"/>
  <c r="AS86" i="2" s="1"/>
  <c r="AU134" i="2"/>
  <c r="AD134" i="2" s="1"/>
  <c r="AU122" i="2"/>
  <c r="AD122" i="2" s="1"/>
  <c r="AU84" i="2"/>
  <c r="AD84" i="2" s="1"/>
  <c r="AU82" i="2"/>
  <c r="AD82" i="2" s="1"/>
  <c r="AR119" i="2"/>
  <c r="AS119" i="2" s="1"/>
  <c r="AU135" i="2"/>
  <c r="AD135" i="2" s="1"/>
  <c r="AU64" i="2"/>
  <c r="AD64" i="2" s="1"/>
  <c r="AU130" i="2"/>
  <c r="AD130" i="2" s="1"/>
  <c r="AU151" i="2"/>
  <c r="AD151" i="2" s="1"/>
  <c r="AR39" i="2"/>
  <c r="AS39" i="2" s="1"/>
  <c r="AU47" i="2"/>
  <c r="AD47" i="2" s="1"/>
  <c r="AU21" i="2"/>
  <c r="AD21" i="2" s="1"/>
  <c r="AU142" i="2"/>
  <c r="AD142" i="2" s="1"/>
  <c r="AR37" i="2"/>
  <c r="AS37" i="2" s="1"/>
  <c r="AU11" i="2"/>
  <c r="AD11" i="2" s="1"/>
  <c r="AU129" i="2"/>
  <c r="AD129" i="2" s="1"/>
  <c r="AR10" i="2"/>
  <c r="AS10" i="2" s="1"/>
  <c r="AU57" i="2"/>
  <c r="AD57" i="2" s="1"/>
  <c r="AU79" i="2"/>
  <c r="AD79" i="2" s="1"/>
  <c r="AU71" i="2"/>
  <c r="AD71" i="2" s="1"/>
  <c r="AU99" i="2"/>
  <c r="AD99" i="2" s="1"/>
  <c r="AU8" i="2"/>
  <c r="AD8" i="2" s="1"/>
  <c r="AR30" i="4" l="1"/>
  <c r="AS30" i="4" s="1"/>
  <c r="AR97" i="4"/>
  <c r="AS97" i="4" s="1"/>
  <c r="AR98" i="4"/>
  <c r="AS98" i="4" s="1"/>
  <c r="AR64" i="4"/>
  <c r="AS64" i="4" s="1"/>
  <c r="AR131" i="4"/>
  <c r="AS131" i="4" s="1"/>
  <c r="AR89" i="4"/>
  <c r="AS89" i="4" s="1"/>
  <c r="AR93" i="4"/>
  <c r="AS93" i="4" s="1"/>
  <c r="AR76" i="4"/>
  <c r="AS76" i="4" s="1"/>
  <c r="AR67" i="4"/>
  <c r="AS67" i="4" s="1"/>
  <c r="AR100" i="4"/>
  <c r="AS100" i="4" s="1"/>
  <c r="AR130" i="4"/>
  <c r="AS130" i="4" s="1"/>
  <c r="AR66" i="4"/>
  <c r="AS66" i="4" s="1"/>
  <c r="AR126" i="4"/>
  <c r="AS126" i="4" s="1"/>
  <c r="AR69" i="4"/>
  <c r="AS69" i="4" s="1"/>
  <c r="AR51" i="4"/>
  <c r="AS51" i="4" s="1"/>
  <c r="AR28" i="4"/>
  <c r="AS28" i="4" s="1"/>
  <c r="AR145" i="4"/>
  <c r="AS145" i="4" s="1"/>
  <c r="AR121" i="4"/>
  <c r="AS121" i="4" s="1"/>
  <c r="AR148" i="4"/>
  <c r="AS148" i="4" s="1"/>
  <c r="AR92" i="4"/>
  <c r="AS92" i="4" s="1"/>
  <c r="AR81" i="4"/>
  <c r="AS81" i="4" s="1"/>
  <c r="AR123" i="4"/>
  <c r="AS123" i="4" s="1"/>
  <c r="AR82" i="4"/>
  <c r="AS82" i="4" s="1"/>
  <c r="AR18" i="4"/>
  <c r="AS18" i="4" s="1"/>
  <c r="AR91" i="4"/>
  <c r="AS91" i="4" s="1"/>
  <c r="AR61" i="4"/>
  <c r="AS61" i="4" s="1"/>
  <c r="AR87" i="4"/>
  <c r="AS87" i="4" s="1"/>
  <c r="AR50" i="4"/>
  <c r="AS50" i="4" s="1"/>
  <c r="AR146" i="4"/>
  <c r="AS146" i="4" s="1"/>
  <c r="AR60" i="4"/>
  <c r="AS60" i="4" s="1"/>
  <c r="AR54" i="4"/>
  <c r="AS54" i="4" s="1"/>
  <c r="AR113" i="4"/>
  <c r="AS113" i="4" s="1"/>
  <c r="AR155" i="4"/>
  <c r="AS155" i="4" s="1"/>
  <c r="AR115" i="4"/>
  <c r="AS115" i="4" s="1"/>
  <c r="AR127" i="4"/>
  <c r="AS127" i="4" s="1"/>
  <c r="AR94" i="4"/>
  <c r="AS94" i="4" s="1"/>
  <c r="AR11" i="4"/>
  <c r="AS11" i="4" s="1"/>
  <c r="AR62" i="4"/>
  <c r="AS62" i="4" s="1"/>
  <c r="AR24" i="4"/>
  <c r="AS24" i="4" s="1"/>
  <c r="AR95" i="4"/>
  <c r="AS95" i="4" s="1"/>
  <c r="AR16" i="4"/>
  <c r="AS16" i="4" s="1"/>
  <c r="AR7" i="4"/>
  <c r="AS7" i="4" s="1"/>
  <c r="AR118" i="4"/>
  <c r="AS118" i="4" s="1"/>
  <c r="AR49" i="4"/>
  <c r="AS49" i="4" s="1"/>
  <c r="AR139" i="2"/>
  <c r="AS139" i="2" s="1"/>
  <c r="AS146" i="2"/>
  <c r="AR112" i="2"/>
  <c r="AS112" i="2" s="1"/>
  <c r="AR83" i="2"/>
  <c r="AS83" i="2" s="1"/>
  <c r="AR149" i="2"/>
  <c r="AS149" i="2" s="1"/>
  <c r="AS41" i="2"/>
  <c r="AS85" i="2"/>
  <c r="AR51" i="2"/>
  <c r="AS51" i="2" s="1"/>
  <c r="AR25" i="2"/>
  <c r="AS25" i="2" s="1"/>
  <c r="AR18" i="2"/>
  <c r="AS18" i="2" s="1"/>
  <c r="AR114" i="2"/>
  <c r="AS114" i="2" s="1"/>
  <c r="AR17" i="2"/>
  <c r="AS17" i="2" s="1"/>
  <c r="AR89" i="2"/>
  <c r="AS89" i="2" s="1"/>
  <c r="AR127" i="2"/>
  <c r="AS127" i="2" s="1"/>
  <c r="AR140" i="2"/>
  <c r="AS140" i="2" s="1"/>
  <c r="AR71" i="2"/>
  <c r="AS71" i="2" s="1"/>
  <c r="AR91" i="2"/>
  <c r="AS91" i="2" s="1"/>
  <c r="AR79" i="2"/>
  <c r="AS79" i="2" s="1"/>
  <c r="AR117" i="2"/>
  <c r="AS117" i="2" s="1"/>
  <c r="AR57" i="2"/>
  <c r="AS57" i="2" s="1"/>
  <c r="AR96" i="2"/>
  <c r="AS96" i="2" s="1"/>
  <c r="AR94" i="2"/>
  <c r="AS94" i="2" s="1"/>
  <c r="AR11" i="2"/>
  <c r="AS11" i="2" s="1"/>
  <c r="AR122" i="2"/>
  <c r="AS122" i="2" s="1"/>
  <c r="AR8" i="2"/>
  <c r="AS8" i="2" s="1"/>
  <c r="AR124" i="2"/>
  <c r="AS124" i="2" s="1"/>
  <c r="AR101" i="2"/>
  <c r="AS101" i="2" s="1"/>
  <c r="AR131" i="2"/>
  <c r="AS131" i="2" s="1"/>
  <c r="AR72" i="2"/>
  <c r="AS72" i="2" s="1"/>
  <c r="AR31" i="2"/>
  <c r="AS31" i="2" s="1"/>
  <c r="AR129" i="2"/>
  <c r="AS129" i="2" s="1"/>
  <c r="AR107" i="2"/>
  <c r="AS107" i="2" s="1"/>
  <c r="AR103" i="2"/>
  <c r="AS103" i="2" s="1"/>
  <c r="AR145" i="2"/>
  <c r="AS145" i="2" s="1"/>
  <c r="AR99" i="2"/>
  <c r="AS99" i="2" s="1"/>
  <c r="AR69" i="2"/>
  <c r="AS69" i="2" s="1"/>
  <c r="AR28" i="2"/>
  <c r="AS28" i="2" s="1"/>
  <c r="AR147" i="2"/>
  <c r="AS147" i="2" s="1"/>
  <c r="AR134" i="2"/>
  <c r="AS134" i="2" s="1"/>
  <c r="AR19" i="2"/>
  <c r="AS19" i="2" s="1"/>
  <c r="AR142" i="2"/>
  <c r="AS142" i="2" s="1"/>
  <c r="AR120" i="2"/>
  <c r="AS120" i="2" s="1"/>
  <c r="AR47" i="2"/>
  <c r="AS47" i="2" s="1"/>
  <c r="AR95" i="2"/>
  <c r="AS95" i="2" s="1"/>
  <c r="AR98" i="2"/>
  <c r="AS98" i="2" s="1"/>
  <c r="AR102" i="2"/>
  <c r="AS102" i="2" s="1"/>
  <c r="AR76" i="2"/>
  <c r="AS76" i="2" s="1"/>
  <c r="AR136" i="2"/>
  <c r="AS136" i="2" s="1"/>
  <c r="AR64" i="2"/>
  <c r="AS64" i="2" s="1"/>
  <c r="AR123" i="2"/>
  <c r="AS123" i="2" s="1"/>
  <c r="AR148" i="2"/>
  <c r="AS148" i="2" s="1"/>
  <c r="AR29" i="2"/>
  <c r="AS29" i="2" s="1"/>
  <c r="AR33" i="2"/>
  <c r="AS33" i="2" s="1"/>
  <c r="AR132" i="2"/>
  <c r="AS132" i="2" s="1"/>
  <c r="AR151" i="2"/>
  <c r="AS151" i="2" s="1"/>
  <c r="AR143" i="2"/>
  <c r="AS143" i="2" s="1"/>
  <c r="AR82" i="2"/>
  <c r="AS82" i="2" s="1"/>
  <c r="AR23" i="2"/>
  <c r="AS23" i="2" s="1"/>
  <c r="AR153" i="2"/>
  <c r="AS153" i="2" s="1"/>
  <c r="AR27" i="2"/>
  <c r="AS27" i="2" s="1"/>
  <c r="AR154" i="2"/>
  <c r="AS154" i="2" s="1"/>
  <c r="AR52" i="2"/>
  <c r="AS52" i="2" s="1"/>
  <c r="AR135" i="2"/>
  <c r="AS135" i="2" s="1"/>
  <c r="AR97" i="2"/>
  <c r="AS97" i="2" s="1"/>
  <c r="AR84" i="2"/>
  <c r="AS84" i="2" s="1"/>
  <c r="AR24" i="2"/>
  <c r="AS24" i="2" s="1"/>
  <c r="AR152" i="2"/>
  <c r="AS152" i="2" s="1"/>
  <c r="AR118" i="2"/>
  <c r="AS118" i="2" s="1"/>
  <c r="AR58" i="2"/>
  <c r="AS58" i="2" s="1"/>
  <c r="AR21" i="2"/>
  <c r="AS21" i="2" s="1"/>
  <c r="AR65" i="2"/>
  <c r="AS65" i="2" s="1"/>
  <c r="AR7" i="2"/>
  <c r="AS7" i="2" s="1"/>
  <c r="AR74" i="2"/>
  <c r="AS74" i="2" s="1"/>
  <c r="AR45" i="2"/>
  <c r="AS45" i="2" s="1"/>
  <c r="AR9" i="2"/>
  <c r="AS9" i="2" s="1"/>
  <c r="AR130" i="2"/>
  <c r="AS130" i="2" s="1"/>
  <c r="AR46" i="2"/>
  <c r="AS46" i="2" s="1"/>
  <c r="AR121" i="2"/>
  <c r="AS121" i="2" s="1"/>
  <c r="AR36" i="2"/>
  <c r="AS36" i="2" s="1"/>
  <c r="AR137" i="2"/>
  <c r="AS137" i="2" s="1"/>
  <c r="AR126" i="2"/>
  <c r="AS126" i="2" s="1"/>
  <c r="AR90" i="2"/>
  <c r="AS90" i="2" s="1"/>
  <c r="AR87" i="2"/>
  <c r="AS87" i="2" s="1"/>
  <c r="AD163" i="4" l="1"/>
  <c r="AD165" i="4"/>
  <c r="J3" i="3" s="1"/>
  <c r="AD165" i="2"/>
  <c r="AD163" i="2"/>
  <c r="AE165" i="4" l="1"/>
  <c r="AD167" i="4"/>
  <c r="AB165" i="4" s="1"/>
  <c r="AD167" i="2"/>
  <c r="Y170" i="2" s="1"/>
  <c r="J4" i="3"/>
  <c r="C4" i="3" s="1"/>
  <c r="AE165" i="2"/>
  <c r="Y170" i="4" l="1"/>
  <c r="AD169" i="4"/>
  <c r="AB161" i="4"/>
  <c r="AB165" i="2"/>
  <c r="AB161" i="2"/>
  <c r="AD169" i="2"/>
  <c r="I4" i="3" s="1"/>
  <c r="AB159" i="2" l="1"/>
  <c r="AB159" i="4"/>
  <c r="I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Dasher</author>
  </authors>
  <commentList>
    <comment ref="X5" authorId="0" shapeId="0" xr:uid="{55ACF289-9427-48B3-8DAE-F7039ADFACEF}">
      <text>
        <r>
          <rPr>
            <b/>
            <sz val="10"/>
            <color rgb="FF000000"/>
            <rFont val="Tahoma"/>
            <family val="2"/>
          </rPr>
          <t>Includes Tax/Shipping</t>
        </r>
      </text>
    </comment>
    <comment ref="Q6" authorId="0" shapeId="0" xr:uid="{7989F923-1299-4DAA-859B-7E7A1086909B}">
      <text>
        <r>
          <rPr>
            <b/>
            <sz val="10"/>
            <color rgb="FF000000"/>
            <rFont val="Tahoma"/>
            <family val="2"/>
          </rPr>
          <t>Adds 20% for waste unless columns M-P are entered.</t>
        </r>
      </text>
    </comment>
    <comment ref="BA6" authorId="0" shapeId="0" xr:uid="{FCF06214-1510-455B-9241-FE26ADAE1432}">
      <text>
        <r>
          <rPr>
            <b/>
            <sz val="10"/>
            <color rgb="FF000000"/>
            <rFont val="Tahoma"/>
            <family val="2"/>
          </rPr>
          <t>$1.5 per ft2 base labor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BG6" authorId="0" shapeId="0" xr:uid="{F7D5CA00-4E53-47F9-8A3B-13E94E42C7FA}">
      <text>
        <r>
          <rPr>
            <b/>
            <sz val="10"/>
            <color rgb="FF000000"/>
            <rFont val="Tahoma"/>
            <family val="2"/>
          </rPr>
          <t>Kyle Dasher: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Commerical job - 500 ft2 per day, per remover, divided by 8 hours, equals 62.5 ft2 per hour.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Line item ft2 divided by 62.5 ft2, equals amount of hours needed.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Same for residential job except - 300 ft2 per day.
</t>
        </r>
      </text>
    </comment>
    <comment ref="BI6" authorId="0" shapeId="0" xr:uid="{84619FB7-36B0-4F2A-9513-55C9EBE9E060}">
      <text>
        <r>
          <rPr>
            <sz val="10"/>
            <color rgb="FF000000"/>
            <rFont val="Tahoma"/>
            <family val="2"/>
          </rPr>
          <t>$1 per ft2 base labor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Dasher</author>
  </authors>
  <commentList>
    <comment ref="X5" authorId="0" shapeId="0" xr:uid="{A8D10890-99CD-4A65-9594-2A8374ADB267}">
      <text>
        <r>
          <rPr>
            <b/>
            <sz val="10"/>
            <color rgb="FF000000"/>
            <rFont val="Tahoma"/>
            <family val="2"/>
          </rPr>
          <t>Includes Tax/Shipping</t>
        </r>
      </text>
    </comment>
    <comment ref="Q6" authorId="0" shapeId="0" xr:uid="{8DAEB7AB-1CE0-491B-8C96-782A8AF3443B}">
      <text>
        <r>
          <rPr>
            <b/>
            <sz val="10"/>
            <color rgb="FF000000"/>
            <rFont val="Tahoma"/>
            <family val="2"/>
          </rPr>
          <t>Adds 20% for waste unless columns M-P are entered.</t>
        </r>
      </text>
    </comment>
    <comment ref="BA6" authorId="0" shapeId="0" xr:uid="{405F56A6-709C-4199-B7A6-D9F886808A58}">
      <text>
        <r>
          <rPr>
            <b/>
            <sz val="10"/>
            <color rgb="FF000000"/>
            <rFont val="Tahoma"/>
            <family val="2"/>
          </rPr>
          <t>$1.5 per ft2 base labor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BG6" authorId="0" shapeId="0" xr:uid="{2D96F878-D167-4432-BBE9-2EF8AA3D670E}">
      <text>
        <r>
          <rPr>
            <b/>
            <sz val="10"/>
            <color rgb="FF000000"/>
            <rFont val="Tahoma"/>
            <family val="2"/>
          </rPr>
          <t>Kyle Dasher: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Commerical job - 500 ft2 per day, per remover, divided by 8 hours, equals 62.5 ft2 per hour.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Line item ft2 divided by 62.5 ft2, equals amount of hours needed.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Same for residential job except - 300 ft2 per day.
</t>
        </r>
      </text>
    </comment>
    <comment ref="BI6" authorId="0" shapeId="0" xr:uid="{2B571126-1212-4CB1-9F6C-D3C1C76E3BCB}">
      <text>
        <r>
          <rPr>
            <sz val="10"/>
            <color rgb="FF000000"/>
            <rFont val="Tahoma"/>
            <family val="2"/>
          </rPr>
          <t>$1 per ft2 base labor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<sst xmlns="http://schemas.openxmlformats.org/spreadsheetml/2006/main" count="1620" uniqueCount="400">
  <si>
    <t>Proposed Total:</t>
  </si>
  <si>
    <t xml:space="preserve">PROPOSED TOTAL: </t>
  </si>
  <si>
    <t>LABOR HOURS</t>
  </si>
  <si>
    <t xml:space="preserve">Total $ p/ft2: </t>
  </si>
  <si>
    <t xml:space="preserve">TOTAL: </t>
  </si>
  <si>
    <t>LABOR $</t>
  </si>
  <si>
    <t>20% - 30%</t>
  </si>
  <si>
    <t>Custom Print</t>
  </si>
  <si>
    <t>PROFIT</t>
  </si>
  <si>
    <t>OTHER</t>
  </si>
  <si>
    <t xml:space="preserve">SPECIAL SERVICES: </t>
  </si>
  <si>
    <t>20% - 40%</t>
  </si>
  <si>
    <t>Com. Deco</t>
  </si>
  <si>
    <t>SALES OH</t>
  </si>
  <si>
    <t>Markup %</t>
  </si>
  <si>
    <t>PRODUCTION</t>
  </si>
  <si>
    <t xml:space="preserve">SUB-TOTAL: </t>
  </si>
  <si>
    <t>Glanz</t>
  </si>
  <si>
    <t>OPS OH</t>
  </si>
  <si>
    <t xml:space="preserve">DJC: </t>
  </si>
  <si>
    <t>MATERIALS</t>
  </si>
  <si>
    <t>SPECIAL SERVICE #2:</t>
  </si>
  <si>
    <t>25% - 30%</t>
  </si>
  <si>
    <t>Irvine Company</t>
  </si>
  <si>
    <t xml:space="preserve">Profit $: </t>
  </si>
  <si>
    <t xml:space="preserve">Company Profit %: </t>
  </si>
  <si>
    <t>18% - 30%</t>
  </si>
  <si>
    <t>Com. Sun</t>
  </si>
  <si>
    <t>Profit p/hr:</t>
  </si>
  <si>
    <t xml:space="preserve">Sales Overhead $: </t>
  </si>
  <si>
    <t xml:space="preserve">Sales Overhead %: </t>
  </si>
  <si>
    <t>Based on 1st phase</t>
  </si>
  <si>
    <t>2nd Phase</t>
  </si>
  <si>
    <t>20%-30%</t>
  </si>
  <si>
    <t>Other Res.</t>
  </si>
  <si>
    <t xml:space="preserve">Ops Overhead $: </t>
  </si>
  <si>
    <t xml:space="preserve">Ops Overhead %: </t>
  </si>
  <si>
    <t>18% - 25%</t>
  </si>
  <si>
    <t>3M Res.</t>
  </si>
  <si>
    <t>3M Prestige</t>
  </si>
  <si>
    <t>SPECIAL SERVICE #1:</t>
  </si>
  <si>
    <t xml:space="preserve">Total DJC $: </t>
  </si>
  <si>
    <t xml:space="preserve">Total DJC %: </t>
  </si>
  <si>
    <t>GC Bids</t>
  </si>
  <si>
    <t>Total LF:</t>
  </si>
  <si>
    <t>Total Labor $:</t>
  </si>
  <si>
    <t>Total Material $:</t>
  </si>
  <si>
    <t>Margin Recommendations</t>
  </si>
  <si>
    <t>Man Day(s):</t>
  </si>
  <si>
    <t>Labor Hrs:</t>
  </si>
  <si>
    <t>Linear Feet:</t>
  </si>
  <si>
    <t>Total Rem P's:</t>
  </si>
  <si>
    <t>Total Rem ft2:</t>
  </si>
  <si>
    <t>Total P's:</t>
  </si>
  <si>
    <t>Total ft2:</t>
  </si>
  <si>
    <t>Standard</t>
  </si>
  <si>
    <t>Casper</t>
  </si>
  <si>
    <t>Visual Pro - UV Printed Optically Clear - 3 Layer Ink</t>
  </si>
  <si>
    <t>Visual Pro - UV Printed Optically Clear - 2 Layer Ink</t>
  </si>
  <si>
    <t>Visual Pro - UV Printed Optically Clear - White Ink</t>
  </si>
  <si>
    <t>Visual Pro - UV Printed 3M DC</t>
  </si>
  <si>
    <t>Visual Pro- 3M DC Contour Cut w/ Application Tape</t>
  </si>
  <si>
    <t>HO-Dark Ceramic 20</t>
  </si>
  <si>
    <t>HO-Single Layer Ceramic 45</t>
  </si>
  <si>
    <t>HO-Single Layer Ceramic 35</t>
  </si>
  <si>
    <t>HO-Ceramic 60</t>
  </si>
  <si>
    <t>HO-Ceramic 50</t>
  </si>
  <si>
    <t>HO-Multi-layer Ceramic</t>
  </si>
  <si>
    <t>HO-Ceramic 70</t>
  </si>
  <si>
    <t>HO-KLAR 85</t>
  </si>
  <si>
    <t>HO-Select DREI</t>
  </si>
  <si>
    <t>HO-Select SECH</t>
  </si>
  <si>
    <t>SG-7 Mil GraffitiGard</t>
  </si>
  <si>
    <t>SG-6 Mil GraffitiGard</t>
  </si>
  <si>
    <t>SG-4 Mil GraffitiGard</t>
  </si>
  <si>
    <t>SG-10 Mil Clear</t>
  </si>
  <si>
    <t>SG-8 Mil Clear</t>
  </si>
  <si>
    <t>SG-7 Mil Clear</t>
  </si>
  <si>
    <t>SG-4 Mil Clear</t>
  </si>
  <si>
    <t>SG-Silver 20</t>
  </si>
  <si>
    <t>SG-Silver 35</t>
  </si>
  <si>
    <t>SG-Silver 50</t>
  </si>
  <si>
    <t>SG-Grey/Silver/Grey 10</t>
  </si>
  <si>
    <t>SG-PureVue 60</t>
  </si>
  <si>
    <t>SG-PureVue 50</t>
  </si>
  <si>
    <t>SG-PureVue 35</t>
  </si>
  <si>
    <t>SG-SS 20</t>
  </si>
  <si>
    <t>SG-SS 35</t>
  </si>
  <si>
    <t>SG-SS 50</t>
  </si>
  <si>
    <t>SG-TrueVue 5</t>
  </si>
  <si>
    <t>SG-TrueVue 15</t>
  </si>
  <si>
    <t>SG-TrueVue 30</t>
  </si>
  <si>
    <t>SG-TrueVue 40</t>
  </si>
  <si>
    <t>SG-White Opaque</t>
  </si>
  <si>
    <t>SG-Black Opaque</t>
  </si>
  <si>
    <t xml:space="preserve">SG-Clear Frost </t>
  </si>
  <si>
    <t>ST-7M</t>
  </si>
  <si>
    <t>ST-8M</t>
  </si>
  <si>
    <t>ST-6M AG</t>
  </si>
  <si>
    <t>ST-Black Out</t>
  </si>
  <si>
    <t>ST-White Out</t>
  </si>
  <si>
    <t>ST-White Matte</t>
  </si>
  <si>
    <t>ST-SDS 20</t>
  </si>
  <si>
    <t>ST-SDS 35</t>
  </si>
  <si>
    <t>ST-DRDS 15</t>
  </si>
  <si>
    <t>ST-DRDS 25</t>
  </si>
  <si>
    <t>ST-DRDS 35</t>
  </si>
  <si>
    <t>ST-SYDS 15</t>
  </si>
  <si>
    <t>ST-SYDS 25</t>
  </si>
  <si>
    <t>ST-SYDS 35</t>
  </si>
  <si>
    <t>ST-SYDS 50</t>
  </si>
  <si>
    <t>ST-ULVDS 40</t>
  </si>
  <si>
    <t>ST-ULVDS 50</t>
  </si>
  <si>
    <t>ST-ULVDS 70</t>
  </si>
  <si>
    <t>AD-AG 6Mil</t>
  </si>
  <si>
    <t>AD-SF Clear 8Mil i</t>
  </si>
  <si>
    <t>AD-SF Clear 7Mil (i/mod)</t>
  </si>
  <si>
    <t>AD-SF Clear 4Mil (i/mod)</t>
  </si>
  <si>
    <t>AD-DS UV Filter i</t>
  </si>
  <si>
    <t>AD-Dusted Crystal Matte</t>
  </si>
  <si>
    <t>AD-DS White i</t>
  </si>
  <si>
    <t>AD-DS Black i</t>
  </si>
  <si>
    <t>AD-DS Matte 2Mil i</t>
  </si>
  <si>
    <t>AD-EXTERIOR Skylite 20 XTRM</t>
  </si>
  <si>
    <t xml:space="preserve">AD-EXTERIOR DR Grey 35X </t>
  </si>
  <si>
    <t xml:space="preserve">AD-EXTERIOR DR Grey 20X </t>
  </si>
  <si>
    <t xml:space="preserve">AD-EXTERIOR DR Grey 10X </t>
  </si>
  <si>
    <t>AD-SP e-Lite 70i</t>
  </si>
  <si>
    <t>AD-SP e-Lite 45i</t>
  </si>
  <si>
    <t>AD-NT Natura 30i</t>
  </si>
  <si>
    <t>AD-NT Natura 15i</t>
  </si>
  <si>
    <t>AD-NT Natura 05i</t>
  </si>
  <si>
    <t>AD-Silver 35 i</t>
  </si>
  <si>
    <t>AD-Silver 20 i</t>
  </si>
  <si>
    <t>AD-NT Perlite CM 70i</t>
  </si>
  <si>
    <t>AD-NT Perlite CM 50i</t>
  </si>
  <si>
    <t>AD-NT Perlite CM 35i</t>
  </si>
  <si>
    <t>AD-NT Perlite CM 20i</t>
  </si>
  <si>
    <t>AD-Dr Optitune 40i</t>
  </si>
  <si>
    <t>AD-Dr Optitune 30i</t>
  </si>
  <si>
    <t>AD-Dr Optitune 20i</t>
  </si>
  <si>
    <t>AD-Dr Optitune 15i</t>
  </si>
  <si>
    <t>AD-Dr Optitune 05i</t>
  </si>
  <si>
    <t>3M-3635-22B Black Blockout Matte</t>
  </si>
  <si>
    <t>3M-3635-20 White Blockout Matte</t>
  </si>
  <si>
    <t>3M-7725-12 Black Electrocut</t>
  </si>
  <si>
    <t>3M-7725-10 White Electrocut</t>
  </si>
  <si>
    <t>3M-7725-324 Frosted Crystal</t>
  </si>
  <si>
    <t>3M-7725-314 Dusted Crystal</t>
  </si>
  <si>
    <t>3M-SH2MAMM San Marino-Milky Milky</t>
  </si>
  <si>
    <t>3M-SH2MAOW Opaque White</t>
  </si>
  <si>
    <t>3M-SH2BKOP Opaque Black</t>
  </si>
  <si>
    <t>3M-SH2MLCRX Milky Crystal</t>
  </si>
  <si>
    <t>3M-SH2MAML Milano-Milky White</t>
  </si>
  <si>
    <t>3M-SH2MACRX-2 Mat Crystal CRX2</t>
  </si>
  <si>
    <t>3M-SH2MACR-I Mat Crystal I</t>
  </si>
  <si>
    <t>3M-SH2FNCR Fine Cystal</t>
  </si>
  <si>
    <t>3M-Privacy Mirror</t>
  </si>
  <si>
    <t>3M-Privacy Matte</t>
  </si>
  <si>
    <t>3M-AG6</t>
  </si>
  <si>
    <t>3M-S80</t>
  </si>
  <si>
    <t>3M-S70</t>
  </si>
  <si>
    <t>3M-S70 Ext</t>
  </si>
  <si>
    <t>3M-Ultra S800</t>
  </si>
  <si>
    <t>3M-Ultra PR70</t>
  </si>
  <si>
    <t>3M-Ultra PR50</t>
  </si>
  <si>
    <t>3M-Ultra NV S25</t>
  </si>
  <si>
    <t>3M-AFF30</t>
  </si>
  <si>
    <t>3M-AFF15</t>
  </si>
  <si>
    <t>3M-EXTERIOR PRX90</t>
  </si>
  <si>
    <t>3M-EXTERIOR PRX70</t>
  </si>
  <si>
    <t>3M-EXTERIOR PRX40</t>
  </si>
  <si>
    <t>3M-PR70</t>
  </si>
  <si>
    <t>3M-PR60</t>
  </si>
  <si>
    <t>30'</t>
  </si>
  <si>
    <t>3M-PR50</t>
  </si>
  <si>
    <t>29'</t>
  </si>
  <si>
    <t>3M-PR40</t>
  </si>
  <si>
    <t>28'</t>
  </si>
  <si>
    <t>3M-PR20</t>
  </si>
  <si>
    <t>27'</t>
  </si>
  <si>
    <t>3M-CM50</t>
  </si>
  <si>
    <t>26'</t>
  </si>
  <si>
    <t>3M-CM40</t>
  </si>
  <si>
    <t>25'</t>
  </si>
  <si>
    <t>3M-CM30</t>
  </si>
  <si>
    <t>24'</t>
  </si>
  <si>
    <t>3M-NV35</t>
  </si>
  <si>
    <t>23'</t>
  </si>
  <si>
    <t>3M-NV25</t>
  </si>
  <si>
    <t>22'</t>
  </si>
  <si>
    <t>3M-NV15</t>
  </si>
  <si>
    <t>21'</t>
  </si>
  <si>
    <t>3M-Silver P-18</t>
  </si>
  <si>
    <t>20'</t>
  </si>
  <si>
    <t>3M-RE70</t>
  </si>
  <si>
    <t>19'</t>
  </si>
  <si>
    <t>3M-RE50</t>
  </si>
  <si>
    <t xml:space="preserve">sky </t>
  </si>
  <si>
    <t>18'</t>
  </si>
  <si>
    <t>3M-RE35</t>
  </si>
  <si>
    <t>pup</t>
  </si>
  <si>
    <t>17'</t>
  </si>
  <si>
    <t>3M-RE20</t>
  </si>
  <si>
    <t>tran</t>
  </si>
  <si>
    <t>16'</t>
  </si>
  <si>
    <t>sdlt</t>
  </si>
  <si>
    <t>15'</t>
  </si>
  <si>
    <t>Safety/Security</t>
  </si>
  <si>
    <t>PGW Whiteout</t>
  </si>
  <si>
    <t>door</t>
  </si>
  <si>
    <t>NE</t>
  </si>
  <si>
    <t>14'</t>
  </si>
  <si>
    <t>Remove/Replace</t>
  </si>
  <si>
    <t>PGW Blackout</t>
  </si>
  <si>
    <t>sd</t>
  </si>
  <si>
    <t>E</t>
  </si>
  <si>
    <t>13'</t>
  </si>
  <si>
    <t>Retail</t>
  </si>
  <si>
    <t>Repair</t>
  </si>
  <si>
    <t>PGW Clear Frost</t>
  </si>
  <si>
    <t>60 min</t>
  </si>
  <si>
    <t>case</t>
  </si>
  <si>
    <t>SE</t>
  </si>
  <si>
    <t>12'</t>
  </si>
  <si>
    <t>Divided</t>
  </si>
  <si>
    <t>Public Area</t>
  </si>
  <si>
    <t>TI</t>
  </si>
  <si>
    <t>Special Services #2</t>
  </si>
  <si>
    <t>pw labor $ p/hour</t>
  </si>
  <si>
    <t>PGW Matte Frost</t>
  </si>
  <si>
    <t>45 min</t>
  </si>
  <si>
    <t>From Tall Ladder/Scaffold</t>
  </si>
  <si>
    <t>Extreme (2x Normal)</t>
  </si>
  <si>
    <t>xox</t>
  </si>
  <si>
    <t>S</t>
  </si>
  <si>
    <t>11'</t>
  </si>
  <si>
    <t>Frameless</t>
  </si>
  <si>
    <t>Putty</t>
  </si>
  <si>
    <t>DP Low E</t>
  </si>
  <si>
    <t>Residence</t>
  </si>
  <si>
    <t>Decorative</t>
  </si>
  <si>
    <t>Special Services #1</t>
  </si>
  <si>
    <t>Supp. Quote Final Cal</t>
  </si>
  <si>
    <t>30 min</t>
  </si>
  <si>
    <t>Hard</t>
  </si>
  <si>
    <t>xo</t>
  </si>
  <si>
    <t>SW</t>
  </si>
  <si>
    <t>10'</t>
  </si>
  <si>
    <t>Drywall</t>
  </si>
  <si>
    <t>Foam</t>
  </si>
  <si>
    <t>DP Tinted</t>
  </si>
  <si>
    <t>Warehouse</t>
  </si>
  <si>
    <t>Privacy</t>
  </si>
  <si>
    <t>Total $</t>
  </si>
  <si>
    <t>removal only</t>
  </si>
  <si>
    <t>San Diego</t>
  </si>
  <si>
    <t>20 min</t>
  </si>
  <si>
    <t>sh</t>
  </si>
  <si>
    <t>W</t>
  </si>
  <si>
    <t>9'</t>
  </si>
  <si>
    <t>Wood</t>
  </si>
  <si>
    <t>Silicone</t>
  </si>
  <si>
    <t>DP Clear</t>
  </si>
  <si>
    <t>Furnished</t>
  </si>
  <si>
    <t>Construction Site</t>
  </si>
  <si>
    <t>Glare</t>
  </si>
  <si>
    <t>avg overhead $ p/hour</t>
  </si>
  <si>
    <t>Inch Total:</t>
  </si>
  <si>
    <t>Riverside/San B/Orange</t>
  </si>
  <si>
    <t>No</t>
  </si>
  <si>
    <t>15 min</t>
  </si>
  <si>
    <t>Easy</t>
  </si>
  <si>
    <t>sp</t>
  </si>
  <si>
    <t>NW</t>
  </si>
  <si>
    <t>8'</t>
  </si>
  <si>
    <t>Vinyl</t>
  </si>
  <si>
    <t>Rubber - Soft</t>
  </si>
  <si>
    <t>SP Tinted</t>
  </si>
  <si>
    <t>Unoccupied</t>
  </si>
  <si>
    <t>Lab</t>
  </si>
  <si>
    <t>Fading</t>
  </si>
  <si>
    <t>TBD</t>
  </si>
  <si>
    <t>Yes</t>
  </si>
  <si>
    <t>10 min</t>
  </si>
  <si>
    <t>None</t>
  </si>
  <si>
    <t>p</t>
  </si>
  <si>
    <t>N</t>
  </si>
  <si>
    <t>7'</t>
  </si>
  <si>
    <t>Aluminum</t>
  </si>
  <si>
    <t>Rubber - Hard</t>
  </si>
  <si>
    <t>SP Clear</t>
  </si>
  <si>
    <t>Occupied</t>
  </si>
  <si>
    <t xml:space="preserve">Office </t>
  </si>
  <si>
    <t>Heat</t>
  </si>
  <si>
    <t>Inches</t>
  </si>
  <si>
    <t xml:space="preserve">Feet </t>
  </si>
  <si>
    <t>Linear Feet</t>
  </si>
  <si>
    <t>I $ p/ft2</t>
  </si>
  <si>
    <t>Cost - Tax and Shipping Only</t>
  </si>
  <si>
    <t>Wholesale Price</t>
  </si>
  <si>
    <t>Film Type</t>
  </si>
  <si>
    <t>PW</t>
  </si>
  <si>
    <t>Question</t>
  </si>
  <si>
    <t>Labor Time Add</t>
  </si>
  <si>
    <t>Removal $</t>
  </si>
  <si>
    <t>Removal</t>
  </si>
  <si>
    <t>$ multiplier</t>
  </si>
  <si>
    <t>Install</t>
  </si>
  <si>
    <t>Additional Minutes</t>
  </si>
  <si>
    <t>Additonal Hours</t>
  </si>
  <si>
    <t>Window Type</t>
  </si>
  <si>
    <t>Exposure</t>
  </si>
  <si>
    <t>Max Height</t>
  </si>
  <si>
    <t>Frame</t>
  </si>
  <si>
    <t>Gasket</t>
  </si>
  <si>
    <t>Glass</t>
  </si>
  <si>
    <t>Status</t>
  </si>
  <si>
    <t>Site Type</t>
  </si>
  <si>
    <t>Motivation</t>
  </si>
  <si>
    <t>ops oh $</t>
  </si>
  <si>
    <t>Markup $</t>
  </si>
  <si>
    <t>DJC</t>
  </si>
  <si>
    <t>rem panes</t>
  </si>
  <si>
    <t>rem $</t>
  </si>
  <si>
    <t>removal $ p/ft</t>
  </si>
  <si>
    <t>removal time (hours)</t>
  </si>
  <si>
    <t>removal ft2</t>
  </si>
  <si>
    <t>install time (hours)</t>
  </si>
  <si>
    <t>line add $</t>
  </si>
  <si>
    <t>install panes</t>
  </si>
  <si>
    <t>install $</t>
  </si>
  <si>
    <t>final install $ p/ft</t>
  </si>
  <si>
    <t>install multiplyer</t>
  </si>
  <si>
    <t>base install $ p/ft2</t>
  </si>
  <si>
    <t>install ft2</t>
  </si>
  <si>
    <t>profit  $</t>
  </si>
  <si>
    <t>sales oh $</t>
  </si>
  <si>
    <t>pw labor $</t>
  </si>
  <si>
    <t>after hours install $</t>
  </si>
  <si>
    <t>lab/trav add $</t>
  </si>
  <si>
    <t>base labor $</t>
  </si>
  <si>
    <t>equal material $</t>
  </si>
  <si>
    <t>base material $</t>
  </si>
  <si>
    <t>avg labor $ p/hour for pricing</t>
  </si>
  <si>
    <t>Perimeter LF</t>
  </si>
  <si>
    <t>Material ft2</t>
  </si>
  <si>
    <t>pull x's</t>
  </si>
  <si>
    <t>pull lth</t>
  </si>
  <si>
    <t>slit w</t>
  </si>
  <si>
    <t>roll w</t>
  </si>
  <si>
    <t>Install ft2</t>
  </si>
  <si>
    <t>Prototype:</t>
  </si>
  <si>
    <t xml:space="preserve">  Time Add (Minutes)               Reason</t>
  </si>
  <si>
    <t>ft2 Film Net $</t>
  </si>
  <si>
    <t>Notes</t>
  </si>
  <si>
    <t>Waste %:</t>
  </si>
  <si>
    <t>Pane qty</t>
  </si>
  <si>
    <t>h</t>
  </si>
  <si>
    <t>w</t>
  </si>
  <si>
    <t>Type</t>
  </si>
  <si>
    <t>Facing</t>
  </si>
  <si>
    <t>Area</t>
  </si>
  <si>
    <t>Location</t>
  </si>
  <si>
    <t xml:space="preserve"> Eq Time Add (Hours)               Reason</t>
  </si>
  <si>
    <t xml:space="preserve"> Supplier Quote Equal Add $     Source/Reason</t>
  </si>
  <si>
    <t>Max Height:</t>
  </si>
  <si>
    <t>Frame:</t>
  </si>
  <si>
    <t>Material Layout</t>
  </si>
  <si>
    <t>Gasket:</t>
  </si>
  <si>
    <t>Glass:</t>
  </si>
  <si>
    <t>Condition:</t>
  </si>
  <si>
    <t>Site Type:</t>
  </si>
  <si>
    <t>Line 
Total</t>
  </si>
  <si>
    <t>Add Travel (Hours):</t>
  </si>
  <si>
    <t>PW Office $</t>
  </si>
  <si>
    <t>PW Labor</t>
  </si>
  <si>
    <t>After Hours Labor</t>
  </si>
  <si>
    <t>Motivation:</t>
  </si>
  <si>
    <t>Contact:</t>
  </si>
  <si>
    <t>Address:</t>
  </si>
  <si>
    <t>Job Name:</t>
  </si>
  <si>
    <t>MC</t>
  </si>
  <si>
    <t>Rep:</t>
  </si>
  <si>
    <t>Survey Date:</t>
  </si>
  <si>
    <t>Man Days:</t>
  </si>
  <si>
    <t>Man Hours:</t>
  </si>
  <si>
    <t>Panels:</t>
  </si>
  <si>
    <t>SQFT:</t>
  </si>
  <si>
    <t>Profit Total:</t>
  </si>
  <si>
    <t>Total Bid:</t>
  </si>
  <si>
    <t>Profit</t>
  </si>
  <si>
    <t>Estimate</t>
  </si>
  <si>
    <t>Man Hours</t>
  </si>
  <si>
    <t>Panels</t>
  </si>
  <si>
    <t>SQFT</t>
  </si>
  <si>
    <t>Survey 1</t>
  </si>
  <si>
    <t>Survey 2</t>
  </si>
  <si>
    <t xml:space="preserve"> </t>
  </si>
  <si>
    <t>Final $ 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</si>
</sst>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0.0"/>
    <numFmt numFmtId="167" formatCode="#,##0.0"/>
    <numFmt numFmtId="168" formatCode="#\'\'"/>
    <numFmt numFmtId="169" formatCode="&quot;$&quot;#,##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b/>
      <sz val="8.5"/>
      <color theme="1"/>
      <name val="Calibri"/>
      <family val="2"/>
      <scheme val="minor"/>
    </font>
    <font>
      <sz val="8.5"/>
      <color theme="1"/>
      <name val="Calibri"/>
      <family val="2"/>
    </font>
    <font>
      <b/>
      <sz val="8.5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8.5"/>
      <name val="Calibri"/>
      <family val="2"/>
      <scheme val="minor"/>
    </font>
    <font>
      <b/>
      <sz val="8.5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8.5"/>
      <name val="Calibri"/>
      <family val="2"/>
      <scheme val="minor"/>
    </font>
    <font>
      <sz val="8.5"/>
      <color rgb="FF333333"/>
      <name val="Calibri"/>
      <family val="2"/>
      <scheme val="minor"/>
    </font>
    <font>
      <sz val="8.5"/>
      <color rgb="FF0500FF"/>
      <name val="Calibri"/>
      <family val="2"/>
      <scheme val="minor"/>
    </font>
    <font>
      <sz val="8.5"/>
      <color rgb="FF000000"/>
      <name val="Calibri"/>
      <family val="2"/>
    </font>
    <font>
      <sz val="8.5"/>
      <color theme="4" tint="-0.249977111117893"/>
      <name val="Calibri"/>
      <family val="2"/>
      <scheme val="minor"/>
    </font>
    <font>
      <b/>
      <sz val="8.5"/>
      <color theme="0"/>
      <name val="Calibri"/>
      <family val="2"/>
      <scheme val="minor"/>
    </font>
    <font>
      <sz val="8.5"/>
      <color theme="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FF65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8FB33"/>
        <bgColor rgb="FF000000"/>
      </patternFill>
    </fill>
    <fill>
      <patternFill patternType="solid">
        <fgColor rgb="FF99FF3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8FB33"/>
        <bgColor indexed="64"/>
      </patternFill>
    </fill>
    <fill>
      <patternFill patternType="solid">
        <fgColor rgb="FF7688A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E5D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EEBF8"/>
        <bgColor indexed="64"/>
      </patternFill>
    </fill>
    <fill>
      <patternFill patternType="solid">
        <fgColor rgb="FFE2F0DB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indexed="64"/>
      </patternFill>
    </fill>
    <fill>
      <patternFill patternType="solid">
        <fgColor rgb="FFFCE5D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DE5D7"/>
        <bgColor indexed="64"/>
      </patternFill>
    </fill>
    <fill>
      <patternFill patternType="solid">
        <fgColor rgb="FFFEE6D8"/>
        <bgColor indexed="64"/>
      </patternFill>
    </fill>
    <fill>
      <patternFill patternType="solid">
        <fgColor theme="4" tint="0.39997558519241921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theme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theme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310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vertical="center"/>
      <protection locked="0"/>
    </xf>
    <xf numFmtId="2" fontId="2" fillId="0" borderId="0" xfId="0" applyNumberFormat="1" applyFont="1" applyAlignment="1" applyProtection="1">
      <alignment vertical="center"/>
      <protection locked="0"/>
    </xf>
    <xf numFmtId="9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2" fontId="3" fillId="0" borderId="0" xfId="0" applyNumberFormat="1" applyFont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165" fontId="3" fillId="0" borderId="0" xfId="0" applyNumberFormat="1" applyFont="1" applyAlignment="1">
      <alignment horizontal="center" vertical="center"/>
    </xf>
    <xf numFmtId="0" fontId="5" fillId="0" borderId="0" xfId="0" applyFont="1" applyAlignment="1" applyProtection="1">
      <alignment vertical="center"/>
      <protection locked="0"/>
    </xf>
    <xf numFmtId="164" fontId="3" fillId="0" borderId="0" xfId="0" applyNumberFormat="1" applyFont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 applyProtection="1">
      <alignment horizontal="right" vertical="center"/>
      <protection locked="0"/>
    </xf>
    <xf numFmtId="164" fontId="3" fillId="2" borderId="8" xfId="3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vertical="center"/>
      <protection locked="0"/>
    </xf>
    <xf numFmtId="166" fontId="3" fillId="5" borderId="10" xfId="1" applyNumberFormat="1" applyFont="1" applyFill="1" applyBorder="1" applyAlignment="1" applyProtection="1">
      <alignment horizontal="center" vertical="center"/>
      <protection locked="0"/>
    </xf>
    <xf numFmtId="164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 applyProtection="1">
      <alignment horizontal="center" vertical="center"/>
      <protection locked="0"/>
    </xf>
    <xf numFmtId="164" fontId="5" fillId="7" borderId="23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2" fillId="8" borderId="0" xfId="0" applyFont="1" applyFill="1" applyAlignment="1" applyProtection="1">
      <alignment horizontal="center" vertical="center"/>
      <protection locked="0"/>
    </xf>
    <xf numFmtId="0" fontId="2" fillId="8" borderId="27" xfId="0" applyFont="1" applyFill="1" applyBorder="1" applyAlignment="1" applyProtection="1">
      <alignment horizontal="center" vertical="center"/>
      <protection locked="0"/>
    </xf>
    <xf numFmtId="164" fontId="5" fillId="9" borderId="8" xfId="0" applyNumberFormat="1" applyFont="1" applyFill="1" applyBorder="1" applyAlignment="1" applyProtection="1">
      <alignment horizontal="center" vertical="center"/>
      <protection locked="0"/>
    </xf>
    <xf numFmtId="0" fontId="5" fillId="4" borderId="22" xfId="0" applyFont="1" applyFill="1" applyBorder="1" applyAlignment="1" applyProtection="1">
      <alignment horizontal="center" vertical="center"/>
      <protection locked="0"/>
    </xf>
    <xf numFmtId="10" fontId="3" fillId="10" borderId="19" xfId="0" applyNumberFormat="1" applyFont="1" applyFill="1" applyBorder="1" applyAlignment="1" applyProtection="1">
      <alignment horizontal="center" vertical="center"/>
      <protection locked="0"/>
    </xf>
    <xf numFmtId="0" fontId="5" fillId="4" borderId="18" xfId="0" applyFont="1" applyFill="1" applyBorder="1" applyAlignment="1" applyProtection="1">
      <alignment horizontal="left" vertical="center"/>
      <protection locked="0"/>
    </xf>
    <xf numFmtId="164" fontId="5" fillId="0" borderId="0" xfId="0" applyNumberFormat="1" applyFont="1" applyAlignment="1">
      <alignment horizontal="center" vertical="center"/>
    </xf>
    <xf numFmtId="164" fontId="3" fillId="12" borderId="29" xfId="0" applyNumberFormat="1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right" vertical="center"/>
      <protection locked="0"/>
    </xf>
    <xf numFmtId="9" fontId="11" fillId="8" borderId="0" xfId="2" applyFont="1" applyFill="1" applyBorder="1" applyAlignment="1" applyProtection="1">
      <alignment horizontal="center" vertical="center" wrapText="1"/>
      <protection locked="0"/>
    </xf>
    <xf numFmtId="1" fontId="11" fillId="8" borderId="27" xfId="2" applyNumberFormat="1" applyFont="1" applyFill="1" applyBorder="1" applyAlignment="1" applyProtection="1">
      <alignment horizontal="center" vertical="center" wrapText="1"/>
      <protection locked="0"/>
    </xf>
    <xf numFmtId="165" fontId="3" fillId="12" borderId="10" xfId="0" applyNumberFormat="1" applyFont="1" applyFill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left" vertical="center"/>
      <protection locked="0"/>
    </xf>
    <xf numFmtId="164" fontId="5" fillId="10" borderId="16" xfId="0" applyNumberFormat="1" applyFont="1" applyFill="1" applyBorder="1" applyAlignment="1">
      <alignment horizontal="center" vertical="center"/>
    </xf>
    <xf numFmtId="0" fontId="3" fillId="3" borderId="13" xfId="0" applyFont="1" applyFill="1" applyBorder="1" applyAlignment="1" applyProtection="1">
      <alignment horizontal="right" vertical="center"/>
      <protection locked="0"/>
    </xf>
    <xf numFmtId="165" fontId="3" fillId="10" borderId="10" xfId="0" applyNumberFormat="1" applyFont="1" applyFill="1" applyBorder="1" applyAlignment="1" applyProtection="1">
      <alignment horizontal="center" vertical="center"/>
      <protection locked="0"/>
    </xf>
    <xf numFmtId="164" fontId="5" fillId="9" borderId="22" xfId="0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right" vertical="center"/>
      <protection locked="0"/>
    </xf>
    <xf numFmtId="164" fontId="3" fillId="2" borderId="10" xfId="3" applyNumberFormat="1" applyFont="1" applyFill="1" applyBorder="1" applyAlignment="1" applyProtection="1">
      <alignment horizontal="center" vertical="center"/>
      <protection locked="0"/>
    </xf>
    <xf numFmtId="164" fontId="9" fillId="0" borderId="10" xfId="0" applyNumberFormat="1" applyFont="1" applyBorder="1" applyAlignment="1" applyProtection="1">
      <alignment horizontal="center" vertical="center"/>
      <protection locked="0"/>
    </xf>
    <xf numFmtId="164" fontId="5" fillId="7" borderId="13" xfId="0" applyNumberFormat="1" applyFont="1" applyFill="1" applyBorder="1" applyAlignment="1" applyProtection="1">
      <alignment horizontal="center" vertical="center"/>
      <protection locked="0"/>
    </xf>
    <xf numFmtId="9" fontId="11" fillId="8" borderId="0" xfId="2" applyFont="1" applyFill="1" applyBorder="1" applyAlignment="1" applyProtection="1">
      <alignment horizontal="center" vertical="center"/>
      <protection locked="0"/>
    </xf>
    <xf numFmtId="164" fontId="5" fillId="9" borderId="10" xfId="0" applyNumberFormat="1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0" fontId="3" fillId="10" borderId="13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>
      <alignment horizontal="center" vertical="center" readingOrder="1"/>
    </xf>
    <xf numFmtId="165" fontId="3" fillId="12" borderId="13" xfId="0" applyNumberFormat="1" applyFont="1" applyFill="1" applyBorder="1" applyAlignment="1" applyProtection="1">
      <alignment horizontal="center" vertical="center"/>
      <protection locked="0"/>
    </xf>
    <xf numFmtId="165" fontId="3" fillId="10" borderId="13" xfId="0" applyNumberFormat="1" applyFont="1" applyFill="1" applyBorder="1" applyAlignment="1" applyProtection="1">
      <alignment horizontal="center" vertical="center"/>
      <protection locked="0"/>
    </xf>
    <xf numFmtId="164" fontId="5" fillId="9" borderId="13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166" fontId="9" fillId="0" borderId="40" xfId="0" applyNumberFormat="1" applyFont="1" applyBorder="1" applyAlignment="1" applyProtection="1">
      <alignment horizontal="center" vertical="center"/>
      <protection locked="0"/>
    </xf>
    <xf numFmtId="0" fontId="2" fillId="0" borderId="41" xfId="0" applyFont="1" applyBorder="1" applyAlignment="1" applyProtection="1">
      <alignment horizontal="right" vertical="center"/>
      <protection locked="0"/>
    </xf>
    <xf numFmtId="164" fontId="2" fillId="15" borderId="42" xfId="0" applyNumberFormat="1" applyFont="1" applyFill="1" applyBorder="1" applyAlignment="1" applyProtection="1">
      <alignment horizontal="center" vertical="center"/>
      <protection locked="0"/>
    </xf>
    <xf numFmtId="0" fontId="2" fillId="15" borderId="43" xfId="0" applyFont="1" applyFill="1" applyBorder="1" applyAlignment="1" applyProtection="1">
      <alignment horizontal="right" vertical="center"/>
      <protection locked="0"/>
    </xf>
    <xf numFmtId="164" fontId="2" fillId="15" borderId="44" xfId="0" applyNumberFormat="1" applyFont="1" applyFill="1" applyBorder="1" applyAlignment="1" applyProtection="1">
      <alignment horizontal="center" vertical="center"/>
      <protection locked="0"/>
    </xf>
    <xf numFmtId="167" fontId="3" fillId="16" borderId="13" xfId="0" applyNumberFormat="1" applyFont="1" applyFill="1" applyBorder="1" applyAlignment="1">
      <alignment horizontal="center" vertical="center"/>
    </xf>
    <xf numFmtId="0" fontId="3" fillId="16" borderId="13" xfId="0" applyFont="1" applyFill="1" applyBorder="1" applyAlignment="1">
      <alignment horizontal="center" vertical="center"/>
    </xf>
    <xf numFmtId="1" fontId="3" fillId="16" borderId="13" xfId="0" applyNumberFormat="1" applyFont="1" applyFill="1" applyBorder="1" applyAlignment="1">
      <alignment horizontal="center" vertical="center"/>
    </xf>
    <xf numFmtId="0" fontId="3" fillId="16" borderId="13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4" fontId="2" fillId="0" borderId="13" xfId="0" applyNumberFormat="1" applyFont="1" applyBorder="1" applyAlignment="1" applyProtection="1">
      <alignment horizontal="center" vertical="center"/>
      <protection locked="0"/>
    </xf>
    <xf numFmtId="166" fontId="2" fillId="0" borderId="13" xfId="0" applyNumberFormat="1" applyFont="1" applyBorder="1" applyAlignment="1" applyProtection="1">
      <alignment horizontal="center" vertical="center"/>
      <protection locked="0"/>
    </xf>
    <xf numFmtId="8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165" fontId="2" fillId="0" borderId="13" xfId="0" applyNumberFormat="1" applyFont="1" applyBorder="1" applyAlignment="1" applyProtection="1">
      <alignment horizontal="center" vertical="center"/>
      <protection locked="0"/>
    </xf>
    <xf numFmtId="164" fontId="2" fillId="0" borderId="47" xfId="0" applyNumberFormat="1" applyFont="1" applyBorder="1" applyAlignment="1" applyProtection="1">
      <alignment horizontal="center" vertical="center"/>
      <protection locked="0"/>
    </xf>
    <xf numFmtId="164" fontId="2" fillId="17" borderId="13" xfId="0" applyNumberFormat="1" applyFont="1" applyFill="1" applyBorder="1" applyAlignment="1" applyProtection="1">
      <alignment horizontal="center" vertical="center"/>
      <protection locked="0"/>
    </xf>
    <xf numFmtId="164" fontId="2" fillId="17" borderId="10" xfId="0" applyNumberFormat="1" applyFont="1" applyFill="1" applyBorder="1" applyAlignment="1" applyProtection="1">
      <alignment horizontal="center" vertical="center"/>
      <protection locked="0"/>
    </xf>
    <xf numFmtId="164" fontId="2" fillId="0" borderId="13" xfId="1" applyNumberFormat="1" applyFont="1" applyFill="1" applyBorder="1" applyAlignment="1" applyProtection="1">
      <alignment horizontal="center" vertical="center"/>
      <protection locked="0"/>
    </xf>
    <xf numFmtId="166" fontId="2" fillId="0" borderId="47" xfId="0" applyNumberFormat="1" applyFont="1" applyBorder="1" applyAlignment="1" applyProtection="1">
      <alignment horizontal="center" vertical="center"/>
      <protection locked="0"/>
    </xf>
    <xf numFmtId="164" fontId="2" fillId="18" borderId="13" xfId="0" applyNumberFormat="1" applyFont="1" applyFill="1" applyBorder="1" applyAlignment="1" applyProtection="1">
      <alignment horizontal="center" vertical="center"/>
      <protection locked="0"/>
    </xf>
    <xf numFmtId="0" fontId="2" fillId="19" borderId="13" xfId="0" applyFont="1" applyFill="1" applyBorder="1" applyAlignment="1" applyProtection="1">
      <alignment horizontal="left" vertical="center"/>
      <protection locked="0"/>
    </xf>
    <xf numFmtId="1" fontId="2" fillId="19" borderId="10" xfId="0" applyNumberFormat="1" applyFont="1" applyFill="1" applyBorder="1" applyAlignment="1" applyProtection="1">
      <alignment horizontal="center" vertical="center"/>
      <protection locked="0"/>
    </xf>
    <xf numFmtId="164" fontId="2" fillId="5" borderId="13" xfId="0" applyNumberFormat="1" applyFont="1" applyFill="1" applyBorder="1" applyAlignment="1" applyProtection="1">
      <alignment horizontal="center" vertical="center"/>
      <protection locked="0"/>
    </xf>
    <xf numFmtId="1" fontId="2" fillId="20" borderId="13" xfId="0" applyNumberFormat="1" applyFont="1" applyFill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2" fillId="21" borderId="48" xfId="0" applyFont="1" applyFill="1" applyBorder="1" applyAlignment="1" applyProtection="1">
      <alignment horizontal="center" vertical="center"/>
      <protection locked="0"/>
    </xf>
    <xf numFmtId="0" fontId="2" fillId="21" borderId="49" xfId="0" applyFont="1" applyFill="1" applyBorder="1" applyAlignment="1" applyProtection="1">
      <alignment horizontal="center" vertical="center"/>
      <protection locked="0"/>
    </xf>
    <xf numFmtId="164" fontId="4" fillId="0" borderId="50" xfId="0" applyNumberFormat="1" applyFont="1" applyBorder="1" applyAlignment="1" applyProtection="1">
      <alignment horizontal="center" vertical="center"/>
      <protection locked="0"/>
    </xf>
    <xf numFmtId="6" fontId="2" fillId="0" borderId="0" xfId="0" applyNumberFormat="1" applyFont="1" applyAlignment="1" applyProtection="1">
      <alignment horizontal="center" vertical="center"/>
      <protection locked="0"/>
    </xf>
    <xf numFmtId="165" fontId="2" fillId="0" borderId="0" xfId="0" applyNumberFormat="1" applyFont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164" fontId="4" fillId="0" borderId="52" xfId="0" applyNumberFormat="1" applyFont="1" applyBorder="1" applyAlignment="1" applyProtection="1">
      <alignment horizontal="center" vertical="center"/>
      <protection locked="0"/>
    </xf>
    <xf numFmtId="9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9" fontId="2" fillId="0" borderId="50" xfId="0" applyNumberFormat="1" applyFont="1" applyBorder="1" applyAlignment="1" applyProtection="1">
      <alignment horizontal="center" vertical="center"/>
      <protection locked="0"/>
    </xf>
    <xf numFmtId="0" fontId="2" fillId="0" borderId="50" xfId="0" applyFont="1" applyBorder="1" applyAlignment="1">
      <alignment horizontal="center" vertical="center"/>
    </xf>
    <xf numFmtId="6" fontId="3" fillId="0" borderId="31" xfId="0" applyNumberFormat="1" applyFont="1" applyBorder="1" applyAlignment="1" applyProtection="1">
      <alignment horizontal="center" vertical="center"/>
      <protection locked="0"/>
    </xf>
    <xf numFmtId="2" fontId="15" fillId="0" borderId="0" xfId="0" applyNumberFormat="1" applyFont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44" fontId="2" fillId="22" borderId="28" xfId="1" applyFont="1" applyFill="1" applyBorder="1" applyAlignment="1" applyProtection="1">
      <alignment vertical="center"/>
      <protection locked="0"/>
    </xf>
    <xf numFmtId="44" fontId="2" fillId="23" borderId="28" xfId="1" applyFont="1" applyFill="1" applyBorder="1" applyAlignment="1" applyProtection="1">
      <alignment vertical="center"/>
      <protection locked="0"/>
    </xf>
    <xf numFmtId="2" fontId="15" fillId="21" borderId="0" xfId="0" applyNumberFormat="1" applyFont="1" applyFill="1" applyAlignment="1">
      <alignment horizontal="center" vertical="center"/>
    </xf>
    <xf numFmtId="164" fontId="15" fillId="0" borderId="51" xfId="0" applyNumberFormat="1" applyFont="1" applyBorder="1" applyAlignment="1">
      <alignment horizontal="center" vertical="center"/>
    </xf>
    <xf numFmtId="0" fontId="15" fillId="0" borderId="51" xfId="0" applyFont="1" applyBorder="1" applyAlignment="1">
      <alignment horizontal="center" vertical="center"/>
    </xf>
    <xf numFmtId="0" fontId="2" fillId="21" borderId="50" xfId="0" applyFont="1" applyFill="1" applyBorder="1" applyAlignment="1">
      <alignment horizontal="center" vertical="center"/>
    </xf>
    <xf numFmtId="0" fontId="3" fillId="0" borderId="13" xfId="0" applyFont="1" applyBorder="1" applyAlignment="1" applyProtection="1">
      <alignment horizontal="center" vertical="center"/>
      <protection locked="0"/>
    </xf>
    <xf numFmtId="0" fontId="9" fillId="21" borderId="49" xfId="0" applyFont="1" applyFill="1" applyBorder="1" applyAlignment="1" applyProtection="1">
      <alignment horizontal="center" vertical="center"/>
      <protection locked="0"/>
    </xf>
    <xf numFmtId="164" fontId="15" fillId="21" borderId="51" xfId="0" applyNumberFormat="1" applyFont="1" applyFill="1" applyBorder="1" applyAlignment="1">
      <alignment horizontal="center" vertical="center"/>
    </xf>
    <xf numFmtId="0" fontId="15" fillId="21" borderId="51" xfId="0" applyFont="1" applyFill="1" applyBorder="1" applyAlignment="1">
      <alignment horizontal="center" vertical="center"/>
    </xf>
    <xf numFmtId="168" fontId="0" fillId="18" borderId="56" xfId="0" applyNumberFormat="1" applyFill="1" applyBorder="1" applyAlignment="1">
      <alignment vertical="center"/>
    </xf>
    <xf numFmtId="0" fontId="2" fillId="25" borderId="56" xfId="0" applyFont="1" applyFill="1" applyBorder="1" applyAlignment="1" applyProtection="1">
      <alignment vertical="center"/>
      <protection locked="0"/>
    </xf>
    <xf numFmtId="9" fontId="2" fillId="0" borderId="52" xfId="0" applyNumberFormat="1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6" fontId="3" fillId="0" borderId="0" xfId="0" applyNumberFormat="1" applyFont="1" applyAlignment="1" applyProtection="1">
      <alignment horizontal="center" vertical="center"/>
      <protection locked="0"/>
    </xf>
    <xf numFmtId="0" fontId="0" fillId="26" borderId="32" xfId="0" applyFill="1" applyBorder="1" applyAlignment="1">
      <alignment vertical="center"/>
    </xf>
    <xf numFmtId="0" fontId="0" fillId="27" borderId="32" xfId="0" applyFill="1" applyBorder="1" applyAlignment="1">
      <alignment vertical="center"/>
    </xf>
    <xf numFmtId="2" fontId="15" fillId="21" borderId="51" xfId="0" applyNumberFormat="1" applyFont="1" applyFill="1" applyBorder="1" applyAlignment="1">
      <alignment horizontal="center" vertical="center"/>
    </xf>
    <xf numFmtId="0" fontId="0" fillId="28" borderId="54" xfId="0" applyFill="1" applyBorder="1" applyAlignment="1">
      <alignment vertical="center"/>
    </xf>
    <xf numFmtId="0" fontId="0" fillId="24" borderId="55" xfId="0" applyFill="1" applyBorder="1" applyAlignment="1">
      <alignment vertical="center"/>
    </xf>
    <xf numFmtId="164" fontId="16" fillId="29" borderId="52" xfId="0" applyNumberFormat="1" applyFont="1" applyFill="1" applyBorder="1" applyAlignment="1" applyProtection="1">
      <alignment horizontal="center" vertical="center"/>
      <protection locked="0"/>
    </xf>
    <xf numFmtId="164" fontId="16" fillId="29" borderId="57" xfId="0" applyNumberFormat="1" applyFont="1" applyFill="1" applyBorder="1" applyAlignment="1" applyProtection="1">
      <alignment horizontal="center" vertical="center"/>
      <protection locked="0"/>
    </xf>
    <xf numFmtId="0" fontId="16" fillId="29" borderId="49" xfId="0" applyFont="1" applyFill="1" applyBorder="1" applyAlignment="1" applyProtection="1">
      <alignment horizontal="center" vertical="center"/>
      <protection locked="0"/>
    </xf>
    <xf numFmtId="2" fontId="16" fillId="29" borderId="0" xfId="0" applyNumberFormat="1" applyFont="1" applyFill="1" applyAlignment="1">
      <alignment horizontal="center" vertical="center"/>
    </xf>
    <xf numFmtId="0" fontId="16" fillId="29" borderId="0" xfId="0" applyFont="1" applyFill="1" applyAlignment="1">
      <alignment horizontal="center" vertical="center"/>
    </xf>
    <xf numFmtId="9" fontId="16" fillId="29" borderId="52" xfId="0" applyNumberFormat="1" applyFont="1" applyFill="1" applyBorder="1" applyAlignment="1" applyProtection="1">
      <alignment horizontal="center" vertical="center"/>
      <protection locked="0"/>
    </xf>
    <xf numFmtId="0" fontId="16" fillId="29" borderId="52" xfId="0" applyFont="1" applyFill="1" applyBorder="1" applyAlignment="1">
      <alignment horizontal="center" vertical="center"/>
    </xf>
    <xf numFmtId="0" fontId="17" fillId="30" borderId="0" xfId="0" applyFont="1" applyFill="1" applyAlignment="1" applyProtection="1">
      <alignment horizontal="center" vertical="center"/>
      <protection locked="0"/>
    </xf>
    <xf numFmtId="0" fontId="3" fillId="17" borderId="13" xfId="0" applyFont="1" applyFill="1" applyBorder="1" applyAlignment="1" applyProtection="1">
      <alignment horizontal="center" vertical="center"/>
      <protection locked="0"/>
    </xf>
    <xf numFmtId="0" fontId="2" fillId="0" borderId="47" xfId="0" applyFont="1" applyBorder="1" applyAlignment="1" applyProtection="1">
      <alignment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17" borderId="10" xfId="0" applyFont="1" applyFill="1" applyBorder="1" applyAlignment="1" applyProtection="1">
      <alignment horizontal="center" vertical="center"/>
      <protection locked="0"/>
    </xf>
    <xf numFmtId="0" fontId="3" fillId="0" borderId="22" xfId="0" applyFont="1" applyBorder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/>
    </xf>
    <xf numFmtId="0" fontId="3" fillId="32" borderId="13" xfId="0" applyFont="1" applyFill="1" applyBorder="1" applyAlignment="1" applyProtection="1">
      <alignment horizontal="center" vertical="center"/>
      <protection locked="0"/>
    </xf>
    <xf numFmtId="9" fontId="3" fillId="5" borderId="13" xfId="2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right" vertical="center"/>
      <protection locked="0"/>
    </xf>
    <xf numFmtId="0" fontId="2" fillId="5" borderId="10" xfId="0" applyFont="1" applyFill="1" applyBorder="1" applyAlignment="1" applyProtection="1">
      <alignment vertical="center"/>
      <protection locked="0"/>
    </xf>
    <xf numFmtId="166" fontId="2" fillId="5" borderId="10" xfId="1" applyNumberFormat="1" applyFont="1" applyFill="1" applyBorder="1" applyAlignment="1" applyProtection="1">
      <alignment horizontal="center" vertical="center"/>
      <protection locked="0"/>
    </xf>
    <xf numFmtId="164" fontId="2" fillId="5" borderId="38" xfId="0" applyNumberFormat="1" applyFont="1" applyFill="1" applyBorder="1" applyAlignment="1" applyProtection="1">
      <alignment vertical="center"/>
      <protection locked="0"/>
    </xf>
    <xf numFmtId="164" fontId="2" fillId="5" borderId="10" xfId="0" applyNumberFormat="1" applyFont="1" applyFill="1" applyBorder="1" applyAlignment="1" applyProtection="1">
      <alignment vertical="center"/>
      <protection locked="0"/>
    </xf>
    <xf numFmtId="166" fontId="2" fillId="5" borderId="10" xfId="0" applyNumberFormat="1" applyFont="1" applyFill="1" applyBorder="1" applyAlignment="1" applyProtection="1">
      <alignment horizontal="center" vertical="center"/>
      <protection locked="0"/>
    </xf>
    <xf numFmtId="169" fontId="2" fillId="5" borderId="13" xfId="0" applyNumberFormat="1" applyFont="1" applyFill="1" applyBorder="1" applyAlignment="1" applyProtection="1">
      <alignment horizontal="center" vertical="center"/>
      <protection locked="0"/>
    </xf>
    <xf numFmtId="166" fontId="3" fillId="33" borderId="10" xfId="0" applyNumberFormat="1" applyFont="1" applyFill="1" applyBorder="1" applyAlignment="1">
      <alignment horizontal="center" vertical="center" readingOrder="1"/>
    </xf>
    <xf numFmtId="0" fontId="3" fillId="34" borderId="13" xfId="0" applyFont="1" applyFill="1" applyBorder="1" applyAlignment="1" applyProtection="1">
      <alignment horizontal="center" vertical="center"/>
      <protection locked="0"/>
    </xf>
    <xf numFmtId="0" fontId="0" fillId="27" borderId="13" xfId="0" applyFill="1" applyBorder="1"/>
    <xf numFmtId="0" fontId="0" fillId="35" borderId="13" xfId="0" applyFill="1" applyBorder="1"/>
    <xf numFmtId="1" fontId="0" fillId="27" borderId="13" xfId="0" applyNumberFormat="1" applyFill="1" applyBorder="1"/>
    <xf numFmtId="6" fontId="0" fillId="27" borderId="13" xfId="0" applyNumberFormat="1" applyFill="1" applyBorder="1"/>
    <xf numFmtId="1" fontId="2" fillId="20" borderId="38" xfId="0" applyNumberFormat="1" applyFont="1" applyFill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11" fillId="0" borderId="20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11" fillId="0" borderId="28" xfId="0" applyFont="1" applyBorder="1" applyAlignment="1" applyProtection="1">
      <alignment horizontal="center" vertical="center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0" fillId="35" borderId="13" xfId="0" applyFill="1" applyBorder="1" applyAlignment="1">
      <alignment wrapText="1"/>
    </xf>
    <xf numFmtId="8" fontId="2" fillId="0" borderId="0" xfId="0" applyNumberFormat="1" applyFont="1" applyAlignment="1" applyProtection="1">
      <alignment vertical="center"/>
      <protection locked="0"/>
    </xf>
    <xf numFmtId="0" fontId="2" fillId="6" borderId="12" xfId="0" applyFont="1" applyFill="1" applyBorder="1" applyAlignment="1" applyProtection="1">
      <alignment horizontal="center" vertical="center"/>
      <protection locked="0"/>
    </xf>
    <xf numFmtId="0" fontId="2" fillId="6" borderId="15" xfId="0" applyFont="1" applyFill="1" applyBorder="1" applyAlignment="1" applyProtection="1">
      <alignment horizontal="center" vertical="center"/>
      <protection locked="0"/>
    </xf>
    <xf numFmtId="0" fontId="2" fillId="6" borderId="11" xfId="0" applyFont="1" applyFill="1" applyBorder="1" applyAlignment="1" applyProtection="1">
      <alignment horizontal="center" vertical="center"/>
      <protection locked="0"/>
    </xf>
    <xf numFmtId="0" fontId="2" fillId="6" borderId="14" xfId="0" applyFont="1" applyFill="1" applyBorder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right" vertical="center"/>
      <protection locked="0"/>
    </xf>
    <xf numFmtId="0" fontId="5" fillId="4" borderId="9" xfId="0" applyFont="1" applyFill="1" applyBorder="1" applyAlignment="1" applyProtection="1">
      <alignment horizontal="right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6" borderId="25" xfId="0" applyFont="1" applyFill="1" applyBorder="1" applyAlignment="1" applyProtection="1">
      <alignment horizontal="center" vertical="center"/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2" fillId="6" borderId="24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 applyProtection="1">
      <alignment horizontal="right" vertical="center"/>
      <protection locked="0"/>
    </xf>
    <xf numFmtId="164" fontId="9" fillId="0" borderId="16" xfId="0" applyNumberFormat="1" applyFont="1" applyBorder="1" applyAlignment="1">
      <alignment horizontal="center" vertical="center"/>
    </xf>
    <xf numFmtId="0" fontId="2" fillId="6" borderId="26" xfId="0" applyFont="1" applyFill="1" applyBorder="1" applyAlignment="1" applyProtection="1">
      <alignment horizontal="center" vertical="center"/>
      <protection locked="0"/>
    </xf>
    <xf numFmtId="0" fontId="5" fillId="4" borderId="19" xfId="0" applyFont="1" applyFill="1" applyBorder="1" applyAlignment="1" applyProtection="1">
      <alignment horizontal="center" vertical="center"/>
      <protection locked="0"/>
    </xf>
    <xf numFmtId="0" fontId="5" fillId="4" borderId="17" xfId="0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22" xfId="0" applyFont="1" applyFill="1" applyBorder="1" applyAlignment="1" applyProtection="1">
      <alignment horizontal="right" vertical="center"/>
      <protection locked="0"/>
    </xf>
    <xf numFmtId="0" fontId="8" fillId="3" borderId="21" xfId="0" applyFont="1" applyFill="1" applyBorder="1" applyAlignment="1" applyProtection="1">
      <alignment horizontal="center" vertical="center"/>
      <protection locked="0"/>
    </xf>
    <xf numFmtId="0" fontId="8" fillId="3" borderId="7" xfId="0" applyFont="1" applyFill="1" applyBorder="1" applyAlignment="1" applyProtection="1">
      <alignment horizontal="center" vertical="center"/>
      <protection locked="0"/>
    </xf>
    <xf numFmtId="164" fontId="7" fillId="3" borderId="20" xfId="0" applyNumberFormat="1" applyFont="1" applyFill="1" applyBorder="1" applyAlignment="1" applyProtection="1">
      <alignment horizontal="center" vertical="center"/>
      <protection locked="0"/>
    </xf>
    <xf numFmtId="164" fontId="7" fillId="3" borderId="6" xfId="0" applyNumberFormat="1" applyFont="1" applyFill="1" applyBorder="1" applyAlignment="1" applyProtection="1">
      <alignment horizontal="center" vertical="center"/>
      <protection locked="0"/>
    </xf>
    <xf numFmtId="0" fontId="3" fillId="3" borderId="19" xfId="0" applyFont="1" applyFill="1" applyBorder="1" applyAlignment="1" applyProtection="1">
      <alignment horizontal="center" vertical="center"/>
      <protection locked="0"/>
    </xf>
    <xf numFmtId="0" fontId="3" fillId="3" borderId="18" xfId="0" applyFont="1" applyFill="1" applyBorder="1" applyAlignment="1" applyProtection="1">
      <alignment horizontal="center" vertical="center"/>
      <protection locked="0"/>
    </xf>
    <xf numFmtId="0" fontId="3" fillId="3" borderId="17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2" fillId="6" borderId="19" xfId="3" applyFont="1" applyFill="1" applyBorder="1" applyAlignment="1" applyProtection="1">
      <alignment horizontal="center" vertical="center" readingOrder="1"/>
      <protection locked="0"/>
    </xf>
    <xf numFmtId="0" fontId="2" fillId="6" borderId="17" xfId="3" applyFont="1" applyFill="1" applyBorder="1" applyAlignment="1" applyProtection="1">
      <alignment horizontal="center" vertical="center" readingOrder="1"/>
      <protection locked="0"/>
    </xf>
    <xf numFmtId="0" fontId="2" fillId="6" borderId="25" xfId="3" applyFont="1" applyFill="1" applyBorder="1" applyAlignment="1" applyProtection="1">
      <alignment horizontal="center" vertical="center" readingOrder="1"/>
      <protection locked="0"/>
    </xf>
    <xf numFmtId="0" fontId="2" fillId="6" borderId="26" xfId="3" applyFont="1" applyFill="1" applyBorder="1" applyAlignment="1" applyProtection="1">
      <alignment horizontal="center" vertical="center" readingOrder="1"/>
      <protection locked="0"/>
    </xf>
    <xf numFmtId="0" fontId="2" fillId="6" borderId="12" xfId="3" applyFont="1" applyFill="1" applyBorder="1" applyAlignment="1" applyProtection="1">
      <alignment horizontal="center" vertical="center" readingOrder="1"/>
      <protection locked="0"/>
    </xf>
    <xf numFmtId="0" fontId="2" fillId="6" borderId="11" xfId="3" applyFont="1" applyFill="1" applyBorder="1" applyAlignment="1" applyProtection="1">
      <alignment horizontal="center" vertical="center" readingOrder="1"/>
      <protection locked="0"/>
    </xf>
    <xf numFmtId="0" fontId="2" fillId="6" borderId="19" xfId="0" applyFont="1" applyFill="1" applyBorder="1" applyAlignment="1" applyProtection="1">
      <alignment horizontal="center" vertical="center"/>
      <protection locked="0"/>
    </xf>
    <xf numFmtId="0" fontId="2" fillId="6" borderId="18" xfId="0" applyFont="1" applyFill="1" applyBorder="1" applyAlignment="1" applyProtection="1">
      <alignment horizontal="center" vertical="center"/>
      <protection locked="0"/>
    </xf>
    <xf numFmtId="0" fontId="2" fillId="6" borderId="17" xfId="0" applyFont="1" applyFill="1" applyBorder="1" applyAlignment="1" applyProtection="1">
      <alignment horizontal="center" vertical="center"/>
      <protection locked="0"/>
    </xf>
    <xf numFmtId="0" fontId="2" fillId="6" borderId="30" xfId="0" applyFont="1" applyFill="1" applyBorder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/>
    </xf>
    <xf numFmtId="165" fontId="10" fillId="5" borderId="19" xfId="2" applyNumberFormat="1" applyFont="1" applyFill="1" applyBorder="1" applyAlignment="1" applyProtection="1">
      <alignment horizontal="center" vertical="center"/>
      <protection locked="0"/>
    </xf>
    <xf numFmtId="165" fontId="10" fillId="5" borderId="25" xfId="2" applyNumberFormat="1" applyFont="1" applyFill="1" applyBorder="1" applyAlignment="1" applyProtection="1">
      <alignment horizontal="center" vertical="center"/>
      <protection locked="0"/>
    </xf>
    <xf numFmtId="165" fontId="10" fillId="5" borderId="12" xfId="2" applyNumberFormat="1" applyFont="1" applyFill="1" applyBorder="1" applyAlignment="1" applyProtection="1">
      <alignment horizontal="center" vertical="center"/>
      <protection locked="0"/>
    </xf>
    <xf numFmtId="0" fontId="3" fillId="11" borderId="13" xfId="0" applyFont="1" applyFill="1" applyBorder="1" applyAlignment="1" applyProtection="1">
      <alignment horizontal="center" vertical="center"/>
      <protection locked="0"/>
    </xf>
    <xf numFmtId="165" fontId="3" fillId="7" borderId="20" xfId="0" applyNumberFormat="1" applyFont="1" applyFill="1" applyBorder="1" applyAlignment="1" applyProtection="1">
      <alignment horizontal="center" vertical="center"/>
      <protection locked="0"/>
    </xf>
    <xf numFmtId="165" fontId="3" fillId="7" borderId="28" xfId="0" applyNumberFormat="1" applyFont="1" applyFill="1" applyBorder="1" applyAlignment="1" applyProtection="1">
      <alignment horizontal="center" vertical="center"/>
      <protection locked="0"/>
    </xf>
    <xf numFmtId="0" fontId="2" fillId="13" borderId="0" xfId="3" applyFont="1" applyFill="1" applyAlignment="1" applyProtection="1">
      <alignment horizontal="center" vertical="center" readingOrder="1"/>
      <protection locked="0"/>
    </xf>
    <xf numFmtId="0" fontId="2" fillId="13" borderId="36" xfId="3" applyFont="1" applyFill="1" applyBorder="1" applyAlignment="1" applyProtection="1">
      <alignment horizontal="center" vertical="center" readingOrder="1"/>
      <protection locked="0"/>
    </xf>
    <xf numFmtId="0" fontId="2" fillId="13" borderId="15" xfId="3" applyFont="1" applyFill="1" applyBorder="1" applyAlignment="1" applyProtection="1">
      <alignment horizontal="center" vertical="center" readingOrder="1"/>
      <protection locked="0"/>
    </xf>
    <xf numFmtId="0" fontId="2" fillId="13" borderId="33" xfId="3" applyFont="1" applyFill="1" applyBorder="1" applyAlignment="1" applyProtection="1">
      <alignment horizontal="center" vertical="center" readingOrder="1"/>
      <protection locked="0"/>
    </xf>
    <xf numFmtId="0" fontId="3" fillId="3" borderId="19" xfId="0" applyFont="1" applyFill="1" applyBorder="1" applyAlignment="1" applyProtection="1">
      <alignment horizontal="right" vertical="center"/>
      <protection locked="0"/>
    </xf>
    <xf numFmtId="0" fontId="3" fillId="3" borderId="17" xfId="0" applyFont="1" applyFill="1" applyBorder="1" applyAlignment="1" applyProtection="1">
      <alignment horizontal="right" vertical="center"/>
      <protection locked="0"/>
    </xf>
    <xf numFmtId="0" fontId="3" fillId="3" borderId="12" xfId="0" applyFont="1" applyFill="1" applyBorder="1" applyAlignment="1" applyProtection="1">
      <alignment horizontal="right" vertical="center"/>
      <protection locked="0"/>
    </xf>
    <xf numFmtId="0" fontId="3" fillId="3" borderId="11" xfId="0" applyFont="1" applyFill="1" applyBorder="1" applyAlignment="1" applyProtection="1">
      <alignment horizontal="right" vertical="center"/>
      <protection locked="0"/>
    </xf>
    <xf numFmtId="165" fontId="3" fillId="10" borderId="19" xfId="0" applyNumberFormat="1" applyFont="1" applyFill="1" applyBorder="1" applyAlignment="1">
      <alignment horizontal="center" vertical="center"/>
    </xf>
    <xf numFmtId="165" fontId="3" fillId="10" borderId="12" xfId="0" applyNumberFormat="1" applyFont="1" applyFill="1" applyBorder="1" applyAlignment="1">
      <alignment horizontal="center" vertical="center"/>
    </xf>
    <xf numFmtId="0" fontId="3" fillId="3" borderId="20" xfId="0" applyFont="1" applyFill="1" applyBorder="1" applyAlignment="1" applyProtection="1">
      <alignment horizontal="right" vertical="center"/>
      <protection locked="0"/>
    </xf>
    <xf numFmtId="0" fontId="3" fillId="3" borderId="32" xfId="0" applyFont="1" applyFill="1" applyBorder="1" applyAlignment="1" applyProtection="1">
      <alignment horizontal="right" vertical="center"/>
      <protection locked="0"/>
    </xf>
    <xf numFmtId="164" fontId="3" fillId="10" borderId="35" xfId="0" applyNumberFormat="1" applyFont="1" applyFill="1" applyBorder="1" applyAlignment="1">
      <alignment horizontal="center" vertical="center"/>
    </xf>
    <xf numFmtId="164" fontId="3" fillId="10" borderId="29" xfId="0" applyNumberFormat="1" applyFont="1" applyFill="1" applyBorder="1" applyAlignment="1">
      <alignment horizontal="center" vertical="center"/>
    </xf>
    <xf numFmtId="164" fontId="3" fillId="10" borderId="34" xfId="0" applyNumberFormat="1" applyFont="1" applyFill="1" applyBorder="1" applyAlignment="1" applyProtection="1">
      <alignment horizontal="center" vertical="center"/>
      <protection locked="0"/>
    </xf>
    <xf numFmtId="164" fontId="3" fillId="10" borderId="31" xfId="0" applyNumberFormat="1" applyFont="1" applyFill="1" applyBorder="1" applyAlignment="1" applyProtection="1">
      <alignment horizontal="center" vertical="center"/>
      <protection locked="0"/>
    </xf>
    <xf numFmtId="165" fontId="3" fillId="12" borderId="19" xfId="0" applyNumberFormat="1" applyFont="1" applyFill="1" applyBorder="1" applyAlignment="1">
      <alignment horizontal="center" vertical="center"/>
    </xf>
    <xf numFmtId="165" fontId="3" fillId="12" borderId="12" xfId="0" applyNumberFormat="1" applyFont="1" applyFill="1" applyBorder="1" applyAlignment="1">
      <alignment horizontal="center" vertical="center"/>
    </xf>
    <xf numFmtId="0" fontId="3" fillId="3" borderId="28" xfId="0" applyFont="1" applyFill="1" applyBorder="1" applyAlignment="1" applyProtection="1">
      <alignment horizontal="right" vertical="center"/>
      <protection locked="0"/>
    </xf>
    <xf numFmtId="0" fontId="3" fillId="3" borderId="39" xfId="0" applyFont="1" applyFill="1" applyBorder="1" applyAlignment="1" applyProtection="1">
      <alignment horizontal="center" vertical="center"/>
      <protection locked="0"/>
    </xf>
    <xf numFmtId="0" fontId="3" fillId="3" borderId="37" xfId="0" applyFont="1" applyFill="1" applyBorder="1" applyAlignment="1" applyProtection="1">
      <alignment horizontal="center" vertical="center"/>
      <protection locked="0"/>
    </xf>
    <xf numFmtId="0" fontId="5" fillId="4" borderId="38" xfId="0" applyFont="1" applyFill="1" applyBorder="1" applyAlignment="1" applyProtection="1">
      <alignment horizontal="right" vertical="center"/>
      <protection locked="0"/>
    </xf>
    <xf numFmtId="0" fontId="2" fillId="8" borderId="26" xfId="0" applyFont="1" applyFill="1" applyBorder="1" applyAlignment="1" applyProtection="1">
      <alignment horizontal="center" vertical="center" wrapText="1"/>
      <protection locked="0"/>
    </xf>
    <xf numFmtId="165" fontId="8" fillId="10" borderId="19" xfId="0" applyNumberFormat="1" applyFont="1" applyFill="1" applyBorder="1" applyAlignment="1">
      <alignment horizontal="center" vertical="center"/>
    </xf>
    <xf numFmtId="165" fontId="8" fillId="10" borderId="12" xfId="0" applyNumberFormat="1" applyFont="1" applyFill="1" applyBorder="1" applyAlignment="1">
      <alignment horizontal="center" vertical="center"/>
    </xf>
    <xf numFmtId="0" fontId="3" fillId="14" borderId="20" xfId="0" applyFont="1" applyFill="1" applyBorder="1" applyAlignment="1" applyProtection="1">
      <alignment horizontal="right" vertical="center"/>
      <protection locked="0"/>
    </xf>
    <xf numFmtId="0" fontId="3" fillId="14" borderId="28" xfId="0" applyFont="1" applyFill="1" applyBorder="1" applyAlignment="1" applyProtection="1">
      <alignment horizontal="right" vertical="center"/>
      <protection locked="0"/>
    </xf>
    <xf numFmtId="164" fontId="3" fillId="12" borderId="35" xfId="0" applyNumberFormat="1" applyFont="1" applyFill="1" applyBorder="1" applyAlignment="1">
      <alignment horizontal="center" vertical="center" readingOrder="1"/>
    </xf>
    <xf numFmtId="164" fontId="3" fillId="12" borderId="29" xfId="0" applyNumberFormat="1" applyFont="1" applyFill="1" applyBorder="1" applyAlignment="1">
      <alignment horizontal="center" vertical="center" readingOrder="1"/>
    </xf>
    <xf numFmtId="0" fontId="3" fillId="6" borderId="20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3" fillId="16" borderId="13" xfId="0" applyFont="1" applyFill="1" applyBorder="1" applyAlignment="1" applyProtection="1">
      <alignment horizontal="center" vertical="center" readingOrder="1"/>
      <protection locked="0"/>
    </xf>
    <xf numFmtId="166" fontId="3" fillId="16" borderId="13" xfId="0" applyNumberFormat="1" applyFont="1" applyFill="1" applyBorder="1" applyAlignment="1">
      <alignment horizontal="center" vertical="center" readingOrder="1"/>
    </xf>
    <xf numFmtId="0" fontId="3" fillId="8" borderId="46" xfId="0" applyFont="1" applyFill="1" applyBorder="1" applyAlignment="1" applyProtection="1">
      <alignment horizontal="center" vertical="center"/>
      <protection locked="0"/>
    </xf>
    <xf numFmtId="0" fontId="3" fillId="8" borderId="45" xfId="0" applyFont="1" applyFill="1" applyBorder="1" applyAlignment="1" applyProtection="1">
      <alignment horizontal="center" vertical="center"/>
      <protection locked="0"/>
    </xf>
    <xf numFmtId="0" fontId="2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3" borderId="15" xfId="0" applyFont="1" applyFill="1" applyBorder="1" applyAlignment="1" applyProtection="1">
      <alignment horizontal="center" vertical="center"/>
      <protection locked="0"/>
    </xf>
    <xf numFmtId="0" fontId="2" fillId="13" borderId="0" xfId="0" applyFont="1" applyFill="1" applyAlignment="1" applyProtection="1">
      <alignment horizontal="center" vertical="center"/>
      <protection locked="0"/>
    </xf>
    <xf numFmtId="0" fontId="2" fillId="13" borderId="33" xfId="0" applyFont="1" applyFill="1" applyBorder="1" applyAlignment="1" applyProtection="1">
      <alignment horizontal="center" vertical="center"/>
      <protection locked="0"/>
    </xf>
    <xf numFmtId="0" fontId="3" fillId="14" borderId="19" xfId="0" applyFont="1" applyFill="1" applyBorder="1" applyAlignment="1" applyProtection="1">
      <alignment horizontal="right" vertical="center"/>
      <protection locked="0"/>
    </xf>
    <xf numFmtId="0" fontId="3" fillId="14" borderId="17" xfId="0" applyFont="1" applyFill="1" applyBorder="1" applyAlignment="1" applyProtection="1">
      <alignment horizontal="right" vertical="center"/>
      <protection locked="0"/>
    </xf>
    <xf numFmtId="0" fontId="3" fillId="14" borderId="12" xfId="0" applyFont="1" applyFill="1" applyBorder="1" applyAlignment="1" applyProtection="1">
      <alignment horizontal="right" vertical="center"/>
      <protection locked="0"/>
    </xf>
    <xf numFmtId="0" fontId="3" fillId="14" borderId="11" xfId="0" applyFont="1" applyFill="1" applyBorder="1" applyAlignment="1" applyProtection="1">
      <alignment horizontal="right" vertical="center"/>
      <protection locked="0"/>
    </xf>
    <xf numFmtId="0" fontId="3" fillId="16" borderId="10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 applyProtection="1">
      <alignment horizontal="center" vertical="center"/>
      <protection locked="0"/>
    </xf>
    <xf numFmtId="0" fontId="3" fillId="16" borderId="22" xfId="0" applyFont="1" applyFill="1" applyBorder="1" applyAlignment="1" applyProtection="1">
      <alignment horizontal="center" vertical="center"/>
      <protection locked="0"/>
    </xf>
    <xf numFmtId="0" fontId="3" fillId="16" borderId="13" xfId="0" applyFont="1" applyFill="1" applyBorder="1" applyAlignment="1" applyProtection="1">
      <alignment horizontal="center" vertical="center"/>
      <protection locked="0"/>
    </xf>
    <xf numFmtId="4" fontId="3" fillId="16" borderId="13" xfId="0" applyNumberFormat="1" applyFont="1" applyFill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5" borderId="10" xfId="0" applyFont="1" applyFill="1" applyBorder="1" applyAlignment="1" applyProtection="1">
      <alignment horizontal="center" vertical="center"/>
      <protection locked="0"/>
    </xf>
    <xf numFmtId="0" fontId="2" fillId="5" borderId="38" xfId="0" applyFont="1" applyFill="1" applyBorder="1" applyAlignment="1" applyProtection="1">
      <alignment horizontal="center" vertical="center"/>
      <protection locked="0"/>
    </xf>
    <xf numFmtId="164" fontId="12" fillId="18" borderId="13" xfId="0" applyNumberFormat="1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24" borderId="55" xfId="0" applyFont="1" applyFill="1" applyBorder="1" applyAlignment="1" applyProtection="1">
      <alignment horizontal="center" vertical="center"/>
      <protection locked="0"/>
    </xf>
    <xf numFmtId="0" fontId="2" fillId="24" borderId="54" xfId="0" applyFont="1" applyFill="1" applyBorder="1" applyAlignment="1" applyProtection="1">
      <alignment horizontal="center" vertical="center"/>
      <protection locked="0"/>
    </xf>
    <xf numFmtId="0" fontId="3" fillId="18" borderId="13" xfId="0" applyFont="1" applyFill="1" applyBorder="1" applyAlignment="1" applyProtection="1">
      <alignment horizontal="center" vertical="center"/>
      <protection locked="0"/>
    </xf>
    <xf numFmtId="0" fontId="3" fillId="31" borderId="13" xfId="0" applyFont="1" applyFill="1" applyBorder="1" applyAlignment="1" applyProtection="1">
      <alignment horizontal="center" vertical="center"/>
      <protection locked="0"/>
    </xf>
    <xf numFmtId="0" fontId="3" fillId="31" borderId="18" xfId="0" applyFont="1" applyFill="1" applyBorder="1" applyAlignment="1" applyProtection="1">
      <alignment horizontal="left" vertical="center"/>
      <protection locked="0"/>
    </xf>
    <xf numFmtId="0" fontId="3" fillId="31" borderId="17" xfId="0" applyFont="1" applyFill="1" applyBorder="1" applyAlignment="1" applyProtection="1">
      <alignment horizontal="left" vertical="center"/>
      <protection locked="0"/>
    </xf>
    <xf numFmtId="0" fontId="3" fillId="31" borderId="15" xfId="0" applyFont="1" applyFill="1" applyBorder="1" applyAlignment="1" applyProtection="1">
      <alignment horizontal="left" vertical="center"/>
      <protection locked="0"/>
    </xf>
    <xf numFmtId="0" fontId="3" fillId="31" borderId="11" xfId="0" applyFont="1" applyFill="1" applyBorder="1" applyAlignment="1" applyProtection="1">
      <alignment horizontal="left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38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2" fontId="2" fillId="32" borderId="13" xfId="0" applyNumberFormat="1" applyFont="1" applyFill="1" applyBorder="1" applyAlignment="1" applyProtection="1">
      <alignment horizontal="center" vertical="center"/>
      <protection locked="0"/>
    </xf>
    <xf numFmtId="0" fontId="3" fillId="26" borderId="10" xfId="0" applyFont="1" applyFill="1" applyBorder="1" applyAlignment="1" applyProtection="1">
      <alignment horizontal="left" vertical="center"/>
      <protection locked="0"/>
    </xf>
    <xf numFmtId="0" fontId="3" fillId="26" borderId="22" xfId="0" applyFont="1" applyFill="1" applyBorder="1" applyAlignment="1" applyProtection="1">
      <alignment horizontal="left" vertical="center"/>
      <protection locked="0"/>
    </xf>
    <xf numFmtId="0" fontId="3" fillId="26" borderId="38" xfId="0" applyFont="1" applyFill="1" applyBorder="1" applyAlignment="1" applyProtection="1">
      <alignment horizontal="left" vertical="center"/>
      <protection locked="0"/>
    </xf>
    <xf numFmtId="164" fontId="2" fillId="5" borderId="10" xfId="1" applyNumberFormat="1" applyFont="1" applyFill="1" applyBorder="1" applyAlignment="1" applyProtection="1">
      <alignment horizontal="center" vertical="center"/>
      <protection locked="0"/>
    </xf>
    <xf numFmtId="164" fontId="2" fillId="5" borderId="38" xfId="1" applyNumberFormat="1" applyFont="1" applyFill="1" applyBorder="1" applyAlignment="1" applyProtection="1">
      <alignment horizontal="center" vertical="center"/>
      <protection locked="0"/>
    </xf>
    <xf numFmtId="0" fontId="2" fillId="32" borderId="13" xfId="0" applyFont="1" applyFill="1" applyBorder="1" applyAlignment="1" applyProtection="1">
      <alignment horizontal="center" vertical="center"/>
      <protection locked="0"/>
    </xf>
    <xf numFmtId="0" fontId="3" fillId="32" borderId="13" xfId="0" applyFont="1" applyFill="1" applyBorder="1" applyAlignment="1" applyProtection="1">
      <alignment horizontal="center" vertical="center"/>
      <protection locked="0"/>
    </xf>
    <xf numFmtId="0" fontId="3" fillId="26" borderId="22" xfId="0" applyFont="1" applyFill="1" applyBorder="1" applyAlignment="1" applyProtection="1">
      <alignment horizontal="center" vertical="center"/>
      <protection locked="0"/>
    </xf>
    <xf numFmtId="0" fontId="3" fillId="26" borderId="38" xfId="0" applyFont="1" applyFill="1" applyBorder="1" applyAlignment="1" applyProtection="1">
      <alignment horizontal="center" vertical="center"/>
      <protection locked="0"/>
    </xf>
    <xf numFmtId="0" fontId="3" fillId="26" borderId="10" xfId="0" applyFont="1" applyFill="1" applyBorder="1" applyAlignment="1" applyProtection="1">
      <alignment horizontal="center" vertical="center"/>
      <protection locked="0"/>
    </xf>
    <xf numFmtId="0" fontId="3" fillId="18" borderId="13" xfId="0" applyFont="1" applyFill="1" applyBorder="1" applyAlignment="1" applyProtection="1">
      <alignment horizontal="center" vertical="center" wrapText="1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11" fillId="32" borderId="13" xfId="0" applyFont="1" applyFill="1" applyBorder="1" applyAlignment="1" applyProtection="1">
      <alignment horizontal="center" vertical="center"/>
      <protection locked="0"/>
    </xf>
    <xf numFmtId="0" fontId="2" fillId="32" borderId="18" xfId="0" applyFont="1" applyFill="1" applyBorder="1" applyAlignment="1" applyProtection="1">
      <alignment horizontal="center" wrapText="1"/>
      <protection locked="0"/>
    </xf>
    <xf numFmtId="0" fontId="2" fillId="32" borderId="18" xfId="0" applyFont="1" applyFill="1" applyBorder="1" applyAlignment="1" applyProtection="1">
      <alignment horizontal="center"/>
      <protection locked="0"/>
    </xf>
    <xf numFmtId="0" fontId="2" fillId="32" borderId="17" xfId="0" applyFont="1" applyFill="1" applyBorder="1" applyAlignment="1" applyProtection="1">
      <alignment horizontal="center"/>
      <protection locked="0"/>
    </xf>
    <xf numFmtId="0" fontId="2" fillId="32" borderId="15" xfId="0" applyFont="1" applyFill="1" applyBorder="1" applyAlignment="1" applyProtection="1">
      <alignment horizontal="center"/>
      <protection locked="0"/>
    </xf>
    <xf numFmtId="0" fontId="2" fillId="32" borderId="11" xfId="0" applyFont="1" applyFill="1" applyBorder="1" applyAlignment="1" applyProtection="1">
      <alignment horizontal="center"/>
      <protection locked="0"/>
    </xf>
    <xf numFmtId="0" fontId="2" fillId="32" borderId="13" xfId="0" applyFont="1" applyFill="1" applyBorder="1" applyAlignment="1" applyProtection="1">
      <alignment horizontal="center" vertical="center" wrapText="1"/>
      <protection locked="0"/>
    </xf>
    <xf numFmtId="14" fontId="2" fillId="3" borderId="13" xfId="0" applyNumberFormat="1" applyFont="1" applyFill="1" applyBorder="1" applyAlignment="1" applyProtection="1">
      <alignment horizontal="center" vertical="center"/>
      <protection locked="0"/>
    </xf>
    <xf numFmtId="14" fontId="2" fillId="32" borderId="13" xfId="0" applyNumberFormat="1" applyFont="1" applyFill="1" applyBorder="1" applyAlignment="1" applyProtection="1">
      <alignment horizontal="center" vertical="center"/>
      <protection locked="0"/>
    </xf>
    <xf numFmtId="0" fontId="2" fillId="32" borderId="19" xfId="0" applyFont="1" applyFill="1" applyBorder="1" applyAlignment="1" applyProtection="1">
      <alignment horizontal="center" vertical="center"/>
      <protection locked="0"/>
    </xf>
    <xf numFmtId="0" fontId="2" fillId="32" borderId="18" xfId="0" applyFont="1" applyFill="1" applyBorder="1" applyAlignment="1" applyProtection="1">
      <alignment horizontal="center" vertical="center"/>
      <protection locked="0"/>
    </xf>
    <xf numFmtId="0" fontId="2" fillId="32" borderId="12" xfId="0" applyFont="1" applyFill="1" applyBorder="1" applyAlignment="1" applyProtection="1">
      <alignment horizontal="center" vertical="center"/>
      <protection locked="0"/>
    </xf>
    <xf numFmtId="0" fontId="2" fillId="32" borderId="15" xfId="0" applyFont="1" applyFill="1" applyBorder="1" applyAlignment="1" applyProtection="1">
      <alignment horizontal="center" vertical="center"/>
      <protection locked="0"/>
    </xf>
  </cellXfs>
  <cellStyles count="4">
    <cellStyle name="Currency" xfId="1" builtinId="4"/>
    <cellStyle name="Normal" xfId="0" builtinId="0"/>
    <cellStyle name="Normal 3 2" xfId="3" xr:uid="{0A083EFF-A998-407D-BA51-853412505A19}"/>
    <cellStyle name="Percent" xfId="2" builtinId="5"/>
  </cellStyles>
  <dxfs count="166">
    <dxf>
      <font>
        <strike val="0"/>
        <color theme="0"/>
      </font>
      <fill>
        <patternFill patternType="gray0625">
          <fgColor theme="4" tint="-0.24994659260841701"/>
          <bgColor theme="5" tint="0.79998168889431442"/>
        </patternFill>
      </fill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0"/>
      </font>
      <fill>
        <patternFill patternType="gray0625">
          <fgColor theme="4" tint="-0.24994659260841701"/>
          <bgColor theme="5" tint="0.79998168889431442"/>
        </patternFill>
      </fill>
    </dxf>
    <dxf>
      <font>
        <color theme="1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Calibri"/>
        <family val="2"/>
        <scheme val="minor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5B9BD5"/>
        </top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 outline="0">
        <top style="thin">
          <color rgb="FF5B9BD5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2F75B5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9BC2E6"/>
        </top>
      </border>
    </dxf>
    <dxf>
      <border outline="0"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0" formatCode="General"/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  <protection locked="0" hidden="0"/>
    </dxf>
    <dxf>
      <border outline="0">
        <left style="thin">
          <color rgb="FF8EA9DB"/>
        </left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Calibri"/>
        <family val="2"/>
        <scheme val="minor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5B9BD5"/>
        </top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4" tint="-0.249977111117893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border outline="0">
        <top style="thin">
          <color rgb="FF5B9BD5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2F75B5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9BC2E6"/>
        </top>
      </border>
    </dxf>
    <dxf>
      <border outline="0"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.5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0" formatCode="General"/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  <protection locked="0" hidden="0"/>
    </dxf>
    <dxf>
      <border outline="0">
        <left style="thin">
          <color rgb="FF8EA9DB"/>
        </left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8.5"/>
        <name val="Calibri"/>
        <family val="2"/>
        <scheme val="none"/>
      </font>
      <alignment vertical="center" textRotation="0" wrapText="0" indent="0" justifyLastLine="0" shrinkToFit="0"/>
      <protection locked="0" hidden="0"/>
    </dxf>
    <dxf>
      <font>
        <strike val="0"/>
        <outline val="0"/>
        <shadow val="0"/>
        <vertAlign val="baseline"/>
        <sz val="8.5"/>
        <name val="Calibri"/>
        <family val="2"/>
        <scheme val="minor"/>
      </font>
      <alignment vertical="center" textRotation="0" wrapText="0" indent="0" justifyLastLine="0" shrinkToFit="0"/>
      <protection locked="0" hidden="0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86FAC75-B9E6-4911-BB9D-23097CDBB9FA}" name="Table13523820" displayName="Table13523820" ref="BQ6:BQ15" totalsRowShown="0" headerRowDxfId="165" dataDxfId="164" tableBorderDxfId="163">
  <autoFilter ref="BQ6:BQ15" xr:uid="{A11A25F4-8C08-3B43-A566-A3FA3850CF0F}"/>
  <tableColumns count="1">
    <tableColumn id="1" xr3:uid="{51D5D1D4-CF03-4D45-A2BC-CC8E6DAE86A0}" name="Motivation" dataDxfId="1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09D781E-E828-4C36-8DBC-60370EB33652}" name="Table3633921" displayName="Table3633921" ref="BY6:BY18" totalsRowShown="0" headerRowDxfId="161" dataDxfId="160">
  <autoFilter ref="BY6:BY18" xr:uid="{BDFE04D6-F5E5-6746-833B-0BE849951A2E}"/>
  <tableColumns count="1">
    <tableColumn id="1" xr3:uid="{16C3DB6F-0D67-47B4-9720-0157CD1AA582}" name="Window Type" dataDxfId="1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96F3F77-8389-4A66-9765-7DCD230F06C3}" name="Table1784022" displayName="Table1784022" ref="BX6:BX14" totalsRowShown="0" headerRowDxfId="158" dataDxfId="157">
  <autoFilter ref="BX6:BX14" xr:uid="{C84E50B6-8B2C-CD4B-AAFB-05489C17C139}"/>
  <tableColumns count="1">
    <tableColumn id="1" xr3:uid="{B1EC86A1-D1CD-4219-BE07-11EB5F427F54}" name="Exposure" dataDxfId="1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71A222B-FCD2-45F8-AAB1-D4E90A7269DA}" name="Table394123" displayName="Table394123" ref="CK6:CO154" headerRowDxfId="155" dataDxfId="154" tableBorderDxfId="153">
  <autoFilter ref="CK6:CO154" xr:uid="{B2BBC930-CA7E-5C46-B440-DDBC7F1F87AF}"/>
  <tableColumns count="5">
    <tableColumn id="1" xr3:uid="{E023FF60-2E39-43A5-AE9B-6983AD0D3AA2}" name="Film Type" totalsRowLabel="Total" dataDxfId="152" totalsRowDxfId="151"/>
    <tableColumn id="2" xr3:uid="{4A749467-8F77-4EDA-9176-D1AD35662C3F}" name="Wholesale Price" dataDxfId="150" totalsRowDxfId="149"/>
    <tableColumn id="4" xr3:uid="{CA332DCD-0D1B-4EE0-9595-A3079E26306D}" name="Cost - Tax and Shipping Only" dataDxfId="148" totalsRowDxfId="147">
      <calculatedColumnFormula>CL7*1.1</calculatedColumnFormula>
    </tableColumn>
    <tableColumn id="3" xr3:uid="{74FD2666-9AB2-4872-89AF-12F32A852296}" name="I $ p/ft2" totalsRowFunction="sum" dataDxfId="146" totalsRowDxfId="145"/>
    <tableColumn id="5" xr3:uid="{4045DA13-06B3-4871-9B18-CAD919A6534A}" name="Linear Feet" dataDxfId="144">
      <calculatedColumnFormula>(O7*K7)/12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2F7C274-459F-4269-A1E0-3D29446F732E}" name="Table135264224" displayName="Table135264224" ref="BV6:BV11" totalsRowShown="0" headerRowDxfId="143" dataDxfId="142" tableBorderDxfId="141">
  <autoFilter ref="BV6:BV11" xr:uid="{E91FA976-A22F-2248-9871-DF541956E6A3}"/>
  <tableColumns count="1">
    <tableColumn id="1" xr3:uid="{4A1972C8-5DB3-4632-A0B8-44F50616AD92}" name="Frame" dataDxfId="1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9F70627-0D8E-4C39-B234-FF28161A3E29}" name="Table1352674325" displayName="Table1352674325" ref="BW6:BW30" totalsRowShown="0" headerRowDxfId="139" dataDxfId="138" tableBorderDxfId="137">
  <autoFilter ref="BW6:BW30" xr:uid="{19E8D3AE-54BE-614F-B5BC-1DFC6E47D726}"/>
  <tableColumns count="1">
    <tableColumn id="1" xr3:uid="{DA5CD752-F084-45B8-8B8A-684E7BBF8B20}" name="Max Height" dataDxfId="1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A301045-9B8E-4702-AD15-3467156FD472}" name="Table1352684426" displayName="Table1352684426" ref="BT6:BT12" totalsRowShown="0" headerRowDxfId="135" dataDxfId="134" tableBorderDxfId="133">
  <autoFilter ref="BT6:BT12" xr:uid="{6C67584E-E635-C84B-903D-9124750F2BFC}"/>
  <tableColumns count="1">
    <tableColumn id="1" xr3:uid="{6A8FEC80-D47F-4479-8FEE-A23F21A7F96C}" name="Glass" dataDxfId="1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6BF9EB0-BE6F-4C00-AE51-B6DE4F7A337B}" name="Table1352694527" displayName="Table1352694527" ref="BU6:BU11" totalsRowShown="0" headerRowDxfId="131" dataDxfId="130" tableBorderDxfId="129">
  <autoFilter ref="BU6:BU11" xr:uid="{703CE024-15E6-C142-A37D-8077BEC66389}"/>
  <tableColumns count="1">
    <tableColumn id="1" xr3:uid="{9C804B87-EE07-47A6-BC8F-C753E0B980DE}" name="Gasket" dataDxfId="1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12016F11-D06C-4EB9-AB25-70DB8D9A4CA0}" name="Table13526104628" displayName="Table13526104628" ref="BR6:BR13" totalsRowShown="0" headerRowDxfId="127" dataDxfId="126" tableBorderDxfId="125">
  <autoFilter ref="BR6:BR13" xr:uid="{4C8550CA-1A96-A749-8F0D-3C82F179F7F0}"/>
  <tableColumns count="1">
    <tableColumn id="1" xr3:uid="{B159E88D-8751-47DC-A782-EECDC8413F61}" name="Site Type" dataDxfId="1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ADDCB6D-8A84-4517-BCCC-70EE6A8136A0}" name="Table135269114729" displayName="Table135269114729" ref="BS6:BS9" totalsRowShown="0" headerRowDxfId="123" dataDxfId="122" tableBorderDxfId="121">
  <autoFilter ref="BS6:BS9" xr:uid="{AA38758E-811B-1345-80C4-A2C5BCEE6C8E}"/>
  <tableColumns count="1">
    <tableColumn id="1" xr3:uid="{CF766DC7-070B-4EEB-9244-8F5773C30B3D}" name="Status" dataDxfId="1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5698076-80DB-4602-8E1F-02C24C2A5713}" name="Table114830" displayName="Table114830" ref="CA6:CA26" totalsRowShown="0" headerRowDxfId="119" dataDxfId="117" headerRowBorderDxfId="118" tableBorderDxfId="116" totalsRowBorderDxfId="115">
  <autoFilter ref="CA6:CA26" xr:uid="{903BE483-C306-CD4B-9470-AEFD09286118}"/>
  <tableColumns count="1">
    <tableColumn id="1" xr3:uid="{8D226C4B-2575-49C3-8BB0-2E230AAB4F1D}" name="Additonal Hours" dataDxfId="114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1AC29767-CD64-4E62-A408-DC52FF65DBA0}" name="Table134931" displayName="Table134931" ref="CC6:CD11" totalsRowShown="0" headerRowDxfId="113" dataDxfId="111" headerRowBorderDxfId="112">
  <autoFilter ref="CC6:CD11" xr:uid="{4EA1A3D9-2983-934C-A393-B0D00CB0FA39}"/>
  <tableColumns count="2">
    <tableColumn id="1" xr3:uid="{DB4C6C55-18C7-44B4-B15E-2669FDD62E08}" name="Install" dataDxfId="110"/>
    <tableColumn id="2" xr3:uid="{4062E8A2-8F9B-4C5E-B308-60922E0D23B3}" name="$ multiplier" dataDxfId="109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769EBAC-09D7-4505-9BEF-11A8F9D07270}" name="Table145032" displayName="Table145032" ref="CG6:CG12" totalsRowShown="0" headerRowDxfId="108" dataDxfId="107" tableBorderDxfId="106">
  <autoFilter ref="CG6:CG12" xr:uid="{62BA1AC5-9747-AD4E-A351-387493B0F03B}"/>
  <tableColumns count="1">
    <tableColumn id="1" xr3:uid="{2883383B-711B-4CB5-97B7-13F370548D9E}" name="Labor Time Add" dataDxfId="105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612B56A-187F-451F-9ECB-6D510CA984C3}" name="Table155133" displayName="Table155133" ref="CE6:CF11" totalsRowShown="0" headerRowDxfId="104" tableBorderDxfId="103">
  <autoFilter ref="CE6:CF11" xr:uid="{CC588051-8D35-EC47-9AA9-35327552A6C7}"/>
  <tableColumns count="2">
    <tableColumn id="1" xr3:uid="{58B803A6-3C63-4973-830E-67E22706E19E}" name="Removal"/>
    <tableColumn id="2" xr3:uid="{BF16BD7E-21AE-4F08-976F-9B69AC021527}" name="Removal $" dataDxfId="102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BE3472C-A490-4226-B20A-8DDD8668460B}" name="Table165234" displayName="Table165234" ref="CB6:CB14" totalsRowShown="0" headerRowDxfId="101" dataDxfId="99" headerRowBorderDxfId="100" tableBorderDxfId="98">
  <autoFilter ref="CB6:CB14" xr:uid="{13BADE2F-4E73-9C46-8635-1FEA17C7027F}"/>
  <tableColumns count="1">
    <tableColumn id="1" xr3:uid="{584928CB-1569-4F40-A4EA-850F025F5172}" name="Additional Minutes" dataDxfId="97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3F2E2FF-50B9-4BB1-9BB9-78C4E8C41D5F}" name="Table175335" displayName="Table175335" ref="BZ6:BZ7" totalsRowShown="0" headerRowDxfId="96" dataDxfId="95">
  <autoFilter ref="BZ6:BZ7" xr:uid="{9B4AE313-D9A1-0545-ABA9-0858A7B6AB58}"/>
  <tableColumns count="1">
    <tableColumn id="1" xr3:uid="{3FDE2401-1AD0-4D44-A12C-EDF666986251}" name="Removal" dataDxfId="94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0FC5B5F-3D26-4EEB-A0B1-ED7CE35D7025}" name="Table125436" displayName="Table125436" ref="CH6:CH8" totalsRowShown="0" headerRowDxfId="93">
  <autoFilter ref="CH6:CH8" xr:uid="{6B5342F8-38A8-4E43-BBDE-31B4905234F2}"/>
  <tableColumns count="1">
    <tableColumn id="1" xr3:uid="{8016443B-527C-4DB3-B7E7-0F2E858BBA8E}" name="Question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6FCD1A0-95EC-4CEC-A5E7-EABA5180D453}" name="Table185537" displayName="Table185537" ref="CI6:CI9" totalsRowShown="0" headerRowDxfId="92">
  <autoFilter ref="CI6:CI9" xr:uid="{169B9ECE-1C4E-DE4F-A064-55E394A7F405}"/>
  <tableColumns count="1">
    <tableColumn id="1" xr3:uid="{F08CBB9A-3916-46A6-BEE5-9318281639AC}" name="PW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D62F20-4F7F-48D5-8B1A-D69965C9B08B}" name="Table135238" displayName="Table135238" ref="BQ6:BQ15" totalsRowShown="0" headerRowDxfId="91" dataDxfId="90" tableBorderDxfId="89">
  <autoFilter ref="BQ6:BQ15" xr:uid="{A11A25F4-8C08-3B43-A566-A3FA3850CF0F}"/>
  <tableColumns count="1">
    <tableColumn id="1" xr3:uid="{916C35E0-F26C-44BA-8C1D-33AB2A381DC3}" name="Motivation" dataDxfId="8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88CB3E-2749-4045-8B56-D7AD806F74F7}" name="Table36339" displayName="Table36339" ref="BY6:BY18" totalsRowShown="0" headerRowDxfId="87" dataDxfId="86">
  <autoFilter ref="BY6:BY18" xr:uid="{BDFE04D6-F5E5-6746-833B-0BE849951A2E}"/>
  <tableColumns count="1">
    <tableColumn id="1" xr3:uid="{488ABA36-888B-4BF4-8D5B-0A43C7AB4088}" name="Window Type" dataDxfId="8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55328F-3BB9-44F7-B4E4-B3A9B5615727}" name="Table17840" displayName="Table17840" ref="BX6:BX14" totalsRowShown="0" headerRowDxfId="84" dataDxfId="83">
  <autoFilter ref="BX6:BX14" xr:uid="{C84E50B6-8B2C-CD4B-AAFB-05489C17C139}"/>
  <tableColumns count="1">
    <tableColumn id="1" xr3:uid="{BEBC9395-E763-4CC9-97D1-06432B72982B}" name="Exposure" dataDxfId="8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4C7926-B8F4-4065-A057-C2E9CA33F106}" name="Table3941" displayName="Table3941" ref="CK6:CO154" headerRowDxfId="81" dataDxfId="80" tableBorderDxfId="79">
  <autoFilter ref="CK6:CO154" xr:uid="{B2BBC930-CA7E-5C46-B440-DDBC7F1F87AF}"/>
  <tableColumns count="5">
    <tableColumn id="1" xr3:uid="{7CE240DC-B54E-4216-B502-8D6568FE4426}" name="Film Type" totalsRowLabel="Total" dataDxfId="78" totalsRowDxfId="77"/>
    <tableColumn id="2" xr3:uid="{5D5CAD64-C0D2-4155-9641-2322297B458E}" name="Wholesale Price" dataDxfId="76" totalsRowDxfId="75"/>
    <tableColumn id="4" xr3:uid="{444CB5B7-A97E-42DE-ADF7-2733A3C31B4C}" name="Cost - Tax and Shipping Only" dataDxfId="74" totalsRowDxfId="73">
      <calculatedColumnFormula>CL7*1.1</calculatedColumnFormula>
    </tableColumn>
    <tableColumn id="3" xr3:uid="{45F792AB-5E02-4DCD-919D-F21FA8179C2F}" name="I $ p/ft2" totalsRowFunction="sum" dataDxfId="72" totalsRowDxfId="71"/>
    <tableColumn id="5" xr3:uid="{6F1ECFFE-D17B-425F-951B-7FE873437891}" name="Linear Feet" dataDxfId="70">
      <calculatedColumnFormula>ROUNDUP(MAX((P7*O7)/12)*(K7*J7)/12,0)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263A66-7FB4-4548-932F-F2DB66640B1A}" name="Table1352642" displayName="Table1352642" ref="BV6:BV11" totalsRowShown="0" headerRowDxfId="69" dataDxfId="68" tableBorderDxfId="67">
  <autoFilter ref="BV6:BV11" xr:uid="{E91FA976-A22F-2248-9871-DF541956E6A3}"/>
  <tableColumns count="1">
    <tableColumn id="1" xr3:uid="{35DB68BD-3ED5-403B-9FD5-94E79C1AE468}" name="Frame" dataDxfId="6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EF796C-C4AA-44C1-AE42-335607A9CCD6}" name="Table13526743" displayName="Table13526743" ref="BW6:BW30" totalsRowShown="0" headerRowDxfId="65" dataDxfId="64" tableBorderDxfId="63">
  <autoFilter ref="BW6:BW30" xr:uid="{19E8D3AE-54BE-614F-B5BC-1DFC6E47D726}"/>
  <tableColumns count="1">
    <tableColumn id="1" xr3:uid="{1A250D9B-3F96-49A0-A2C3-23EFCEBF15E1}" name="Max Height" dataDxfId="6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E7F5BDB-BBDC-444A-9A5D-59E074B1773F}" name="Table13526844" displayName="Table13526844" ref="BT6:BT12" totalsRowShown="0" headerRowDxfId="61" dataDxfId="60" tableBorderDxfId="59">
  <autoFilter ref="BT6:BT12" xr:uid="{6C67584E-E635-C84B-903D-9124750F2BFC}"/>
  <tableColumns count="1">
    <tableColumn id="1" xr3:uid="{7EB535E1-81D6-4C75-896A-3F8BF3E27BE7}" name="Glass" dataDxfId="5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B11185-DF96-471F-8D27-40ACC2E37D60}" name="Table13526945" displayName="Table13526945" ref="BU6:BU11" totalsRowShown="0" headerRowDxfId="57" dataDxfId="56" tableBorderDxfId="55">
  <autoFilter ref="BU6:BU11" xr:uid="{703CE024-15E6-C142-A37D-8077BEC66389}"/>
  <tableColumns count="1">
    <tableColumn id="1" xr3:uid="{36A6CEB2-B127-44F8-B3EA-265C26444DAB}" name="Gasket" dataDxfId="5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22247E-65AB-4C38-8A08-8BD71306E3E7}" name="Table135261046" displayName="Table135261046" ref="BR6:BR13" totalsRowShown="0" headerRowDxfId="53" dataDxfId="52" tableBorderDxfId="51">
  <autoFilter ref="BR6:BR13" xr:uid="{4C8550CA-1A96-A749-8F0D-3C82F179F7F0}"/>
  <tableColumns count="1">
    <tableColumn id="1" xr3:uid="{F2C6484F-E176-4E96-9635-D091D7E90191}" name="Site Type" dataDxfId="5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86466F2-4075-414E-A81B-AB374A882E86}" name="Table1352691147" displayName="Table1352691147" ref="BS6:BS9" totalsRowShown="0" headerRowDxfId="49" dataDxfId="48" tableBorderDxfId="47">
  <autoFilter ref="BS6:BS9" xr:uid="{AA38758E-811B-1345-80C4-A2C5BCEE6C8E}"/>
  <tableColumns count="1">
    <tableColumn id="1" xr3:uid="{C2B11DFF-8E3A-4B85-A6B6-F6E477961B75}" name="Status" dataDxfId="4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5D64D7-38D5-45F9-A242-A86822562AA0}" name="Table1148" displayName="Table1148" ref="CA6:CA26" totalsRowShown="0" headerRowDxfId="45" dataDxfId="43" headerRowBorderDxfId="44" tableBorderDxfId="42" totalsRowBorderDxfId="41">
  <autoFilter ref="CA6:CA26" xr:uid="{903BE483-C306-CD4B-9470-AEFD09286118}"/>
  <tableColumns count="1">
    <tableColumn id="1" xr3:uid="{AA17941C-3141-4C54-A57E-59C50D8F8BAF}" name="Additonal Hours" dataDxfId="40"/>
  </tableColumns>
  <tableStyleInfo name="TableStyleLight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4EF040D-C9C4-428C-9FAE-521829E6DC4A}" name="Table1349" displayName="Table1349" ref="CC6:CD11" totalsRowShown="0" headerRowDxfId="39" dataDxfId="37" headerRowBorderDxfId="38">
  <autoFilter ref="CC6:CD11" xr:uid="{4EA1A3D9-2983-934C-A393-B0D00CB0FA39}"/>
  <tableColumns count="2">
    <tableColumn id="1" xr3:uid="{91C8FB41-2AA7-4984-8072-230146C0A194}" name="Install" dataDxfId="36"/>
    <tableColumn id="2" xr3:uid="{5CAE6557-FA68-4850-AB7B-B7344ABFA349}" name="$ multiplier" dataDxfId="35"/>
  </tableColumns>
  <tableStyleInfo name="TableStyleLight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E8E6598-BF11-4AE7-817F-E1AABBB4919E}" name="Table1450" displayName="Table1450" ref="CG6:CG12" totalsRowShown="0" headerRowDxfId="34" dataDxfId="33" tableBorderDxfId="32">
  <autoFilter ref="CG6:CG12" xr:uid="{62BA1AC5-9747-AD4E-A351-387493B0F03B}"/>
  <tableColumns count="1">
    <tableColumn id="1" xr3:uid="{A1B0F9C4-0012-4612-9F1D-53D5B6841F6C}" name="Labor Time Add" dataDxfId="31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D34F2ED-D989-4029-B607-A70300250DEB}" name="Table1551" displayName="Table1551" ref="CE6:CF11" totalsRowShown="0" headerRowDxfId="30" tableBorderDxfId="29">
  <autoFilter ref="CE6:CF11" xr:uid="{CC588051-8D35-EC47-9AA9-35327552A6C7}"/>
  <tableColumns count="2">
    <tableColumn id="1" xr3:uid="{D5F9EA77-925C-407E-B9BF-53EAF3033E48}" name="Removal"/>
    <tableColumn id="2" xr3:uid="{1C48F4CE-9F07-47BF-827D-B64480E1B0F1}" name="Removal $" dataDxfId="28"/>
  </tableColumns>
  <tableStyleInfo name="TableStyleLight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F47CF79-5FD9-4261-85C8-F1EE38C77DAF}" name="Table1652" displayName="Table1652" ref="CB6:CB14" totalsRowShown="0" headerRowDxfId="27" dataDxfId="25" headerRowBorderDxfId="26" tableBorderDxfId="24">
  <autoFilter ref="CB6:CB14" xr:uid="{13BADE2F-4E73-9C46-8635-1FEA17C7027F}"/>
  <tableColumns count="1">
    <tableColumn id="1" xr3:uid="{9D885C76-B1ED-4235-B6C7-A5A7F4BB5076}" name="Additional Minutes" dataDxfId="23"/>
  </tableColumns>
  <tableStyleInfo name="TableStyleLight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54D04A8-7578-4335-9EC8-ED31D30FB115}" name="Table1753" displayName="Table1753" ref="BZ6:BZ7" totalsRowShown="0" headerRowDxfId="22" dataDxfId="21">
  <autoFilter ref="BZ6:BZ7" xr:uid="{9B4AE313-D9A1-0545-ABA9-0858A7B6AB58}"/>
  <tableColumns count="1">
    <tableColumn id="1" xr3:uid="{C6F70D90-4A72-4BFA-9885-31E6E921F406}" name="Removal" dataDxfId="20"/>
  </tableColumns>
  <tableStyleInfo name="TableStyleLight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16F3B03-AD43-4E38-B575-4A6566967A09}" name="Table1254" displayName="Table1254" ref="CH6:CH8" totalsRowShown="0" headerRowDxfId="19">
  <autoFilter ref="CH6:CH8" xr:uid="{6B5342F8-38A8-4E43-BBDE-31B4905234F2}"/>
  <tableColumns count="1">
    <tableColumn id="1" xr3:uid="{83A63D45-0899-42ED-B7BC-176AA651ED64}" name="Question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EF45ED5-9D7D-4976-B338-6A26418235CB}" name="Table1855" displayName="Table1855" ref="CI6:CI9" totalsRowShown="0" headerRowDxfId="18">
  <autoFilter ref="CI6:CI9" xr:uid="{169B9ECE-1C4E-DE4F-A064-55E394A7F405}"/>
  <tableColumns count="1">
    <tableColumn id="1" xr3:uid="{4B91EED9-4A22-411E-8807-9E7959AABCDF}" name="PW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comments" Target="../comments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13" Type="http://schemas.openxmlformats.org/officeDocument/2006/relationships/table" Target="../tables/table29.xml"/><Relationship Id="rId18" Type="http://schemas.openxmlformats.org/officeDocument/2006/relationships/table" Target="../tables/table34.xml"/><Relationship Id="rId3" Type="http://schemas.openxmlformats.org/officeDocument/2006/relationships/table" Target="../tables/table19.xml"/><Relationship Id="rId21" Type="http://schemas.openxmlformats.org/officeDocument/2006/relationships/comments" Target="../comments2.xml"/><Relationship Id="rId7" Type="http://schemas.openxmlformats.org/officeDocument/2006/relationships/table" Target="../tables/table23.xml"/><Relationship Id="rId12" Type="http://schemas.openxmlformats.org/officeDocument/2006/relationships/table" Target="../tables/table28.xml"/><Relationship Id="rId17" Type="http://schemas.openxmlformats.org/officeDocument/2006/relationships/table" Target="../tables/table33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32.xml"/><Relationship Id="rId20" Type="http://schemas.openxmlformats.org/officeDocument/2006/relationships/table" Target="../tables/table36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5" Type="http://schemas.openxmlformats.org/officeDocument/2006/relationships/table" Target="../tables/table31.xml"/><Relationship Id="rId10" Type="http://schemas.openxmlformats.org/officeDocument/2006/relationships/table" Target="../tables/table26.xml"/><Relationship Id="rId19" Type="http://schemas.openxmlformats.org/officeDocument/2006/relationships/table" Target="../tables/table35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Relationship Id="rId14" Type="http://schemas.openxmlformats.org/officeDocument/2006/relationships/table" Target="../tables/table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133A0-2605-4ECB-A854-65191C147820}">
  <dimension ref="A1:CR195"/>
  <sheetViews>
    <sheetView tabSelected="1" zoomScaleNormal="100" workbookViewId="0">
      <selection activeCell="AC171" sqref="AC171"/>
    </sheetView>
  </sheetViews>
  <sheetFormatPr defaultColWidth="11.3984375" defaultRowHeight="11.1" customHeight="1" x14ac:dyDescent="0.45"/>
  <cols>
    <col min="1" max="1" width="9" style="1" bestFit="1" customWidth="1"/>
    <col min="2" max="2" width="9.265625" style="1" bestFit="1" customWidth="1"/>
    <col min="3" max="3" width="14.19921875" style="1" bestFit="1" customWidth="1"/>
    <col min="4" max="4" width="2.265625" style="1" customWidth="1"/>
    <col min="5" max="5" width="5.1328125" style="1" customWidth="1"/>
    <col min="6" max="6" width="4.33203125" style="1" customWidth="1"/>
    <col min="7" max="7" width="4.46484375" style="1" customWidth="1"/>
    <col min="8" max="8" width="6.19921875" style="1" bestFit="1" customWidth="1"/>
    <col min="9" max="10" width="5.3984375" style="1" customWidth="1"/>
    <col min="11" max="11" width="6.19921875" style="1" customWidth="1"/>
    <col min="12" max="12" width="7" style="1" bestFit="1" customWidth="1"/>
    <col min="13" max="15" width="5.6640625" style="1" customWidth="1"/>
    <col min="16" max="16" width="4.73046875" style="1" customWidth="1"/>
    <col min="17" max="17" width="8.33203125" style="1" bestFit="1" customWidth="1"/>
    <col min="18" max="18" width="9.3984375" style="1" customWidth="1"/>
    <col min="19" max="19" width="8.59765625" style="1" customWidth="1"/>
    <col min="20" max="20" width="9.1328125" style="1" customWidth="1"/>
    <col min="21" max="21" width="7.265625" style="1" customWidth="1"/>
    <col min="22" max="22" width="7" style="1" customWidth="1"/>
    <col min="23" max="23" width="7.3984375" style="1" customWidth="1"/>
    <col min="24" max="24" width="8.33203125" style="1" customWidth="1"/>
    <col min="25" max="25" width="9.6640625" style="1" customWidth="1"/>
    <col min="26" max="27" width="6.73046875" style="1" customWidth="1"/>
    <col min="28" max="28" width="14.3984375" style="1" customWidth="1"/>
    <col min="29" max="29" width="13.19921875" style="1" customWidth="1"/>
    <col min="30" max="30" width="12.3984375" style="1" customWidth="1"/>
    <col min="31" max="31" width="8.59765625" style="1" customWidth="1"/>
    <col min="32" max="32" width="8.59765625" style="1" hidden="1" customWidth="1"/>
    <col min="33" max="34" width="10.33203125" style="6" hidden="1" customWidth="1"/>
    <col min="35" max="35" width="20.73046875" style="6" hidden="1" customWidth="1"/>
    <col min="36" max="40" width="10.33203125" style="6" hidden="1" customWidth="1"/>
    <col min="41" max="42" width="13.33203125" style="1" hidden="1" customWidth="1"/>
    <col min="43" max="48" width="10.33203125" style="1" hidden="1" customWidth="1"/>
    <col min="49" max="49" width="10.59765625" style="1" hidden="1" customWidth="1"/>
    <col min="50" max="52" width="14.3984375" style="6" hidden="1" customWidth="1"/>
    <col min="53" max="53" width="8.59765625" style="1" hidden="1" customWidth="1"/>
    <col min="54" max="55" width="10.59765625" style="1" hidden="1" customWidth="1"/>
    <col min="56" max="56" width="14.3984375" style="6" hidden="1" customWidth="1"/>
    <col min="57" max="57" width="11.265625" style="1" hidden="1" customWidth="1"/>
    <col min="58" max="58" width="11.3984375" style="1" hidden="1" customWidth="1"/>
    <col min="59" max="60" width="14.3984375" style="1" hidden="1" customWidth="1"/>
    <col min="61" max="61" width="7.9296875" style="1" hidden="1" customWidth="1"/>
    <col min="62" max="63" width="11.3984375" style="1" hidden="1" customWidth="1"/>
    <col min="64" max="64" width="14" style="1" hidden="1" customWidth="1"/>
    <col min="65" max="65" width="12.6640625" style="1" hidden="1" customWidth="1"/>
    <col min="66" max="69" width="11.3984375" style="1" hidden="1" customWidth="1"/>
    <col min="70" max="71" width="14.3984375" style="1" hidden="1" customWidth="1"/>
    <col min="72" max="76" width="11.3984375" style="1" hidden="1" customWidth="1"/>
    <col min="77" max="77" width="14.6640625" style="1" hidden="1" customWidth="1"/>
    <col min="78" max="78" width="11.3984375" style="1" hidden="1" customWidth="1"/>
    <col min="79" max="81" width="20.33203125" style="1" hidden="1" customWidth="1"/>
    <col min="82" max="82" width="20.33203125" style="5" hidden="1" customWidth="1"/>
    <col min="83" max="83" width="20.33203125" style="1" hidden="1" customWidth="1"/>
    <col min="84" max="84" width="17.59765625" style="1" hidden="1" customWidth="1"/>
    <col min="85" max="87" width="20.33203125" style="4" hidden="1" customWidth="1"/>
    <col min="88" max="88" width="13.19921875" style="1" hidden="1" customWidth="1"/>
    <col min="89" max="89" width="31.59765625" style="1" hidden="1" customWidth="1"/>
    <col min="90" max="90" width="25.3984375" style="2" hidden="1" customWidth="1"/>
    <col min="91" max="91" width="18.6640625" style="3" hidden="1" customWidth="1"/>
    <col min="92" max="92" width="11.3984375" style="2" hidden="1" customWidth="1"/>
    <col min="93" max="94" width="11.3984375" style="1" customWidth="1"/>
    <col min="95" max="96" width="8.06640625" style="1" customWidth="1"/>
    <col min="97" max="119" width="11.3984375" style="1" customWidth="1"/>
    <col min="120" max="16384" width="11.3984375" style="1"/>
  </cols>
  <sheetData>
    <row r="1" spans="1:96" ht="11.25" x14ac:dyDescent="0.45">
      <c r="A1" s="304" t="s">
        <v>384</v>
      </c>
      <c r="B1" s="305"/>
      <c r="C1" s="283" t="s">
        <v>383</v>
      </c>
      <c r="D1" s="290" t="s">
        <v>382</v>
      </c>
      <c r="E1" s="290"/>
      <c r="F1" s="283" t="s">
        <v>381</v>
      </c>
      <c r="G1" s="283"/>
      <c r="H1" s="306" t="str" cm="1">
        <f t="array" aca="1" ref="H1" ca="1">SUBSTITUTE(MID(CELL("filename"),SEARCH("[",CELL("filename"))+1, SEARCH("]",CELL("filename"))-SEARCH("[",CELL("filename"))-1), ".xlsx", "")</f>
        <v>1aa Window Film Survey - 2024 V002</v>
      </c>
      <c r="I1" s="307"/>
      <c r="J1" s="307"/>
      <c r="K1" s="307"/>
      <c r="L1" s="283" t="s">
        <v>380</v>
      </c>
      <c r="M1" s="283"/>
      <c r="N1" s="298"/>
      <c r="O1" s="299"/>
      <c r="P1" s="300"/>
      <c r="Q1" s="283" t="s">
        <v>379</v>
      </c>
      <c r="R1" s="303"/>
      <c r="S1" s="290"/>
      <c r="T1" s="283" t="s">
        <v>378</v>
      </c>
      <c r="U1" s="290"/>
      <c r="V1" s="290"/>
      <c r="W1" s="290"/>
      <c r="X1" s="292" t="s">
        <v>377</v>
      </c>
      <c r="Y1" s="293"/>
      <c r="Z1" s="294" t="s">
        <v>376</v>
      </c>
      <c r="AA1" s="293"/>
      <c r="AB1" s="151" t="s">
        <v>375</v>
      </c>
      <c r="AC1" s="150" t="s">
        <v>374</v>
      </c>
      <c r="AD1" s="295" t="s">
        <v>373</v>
      </c>
    </row>
    <row r="2" spans="1:96" ht="12" customHeight="1" x14ac:dyDescent="0.45">
      <c r="A2" s="304"/>
      <c r="B2" s="305"/>
      <c r="C2" s="283"/>
      <c r="D2" s="290"/>
      <c r="E2" s="290"/>
      <c r="F2" s="283"/>
      <c r="G2" s="283"/>
      <c r="H2" s="308"/>
      <c r="I2" s="309"/>
      <c r="J2" s="309"/>
      <c r="K2" s="309"/>
      <c r="L2" s="283"/>
      <c r="M2" s="283"/>
      <c r="N2" s="301"/>
      <c r="O2" s="301"/>
      <c r="P2" s="302"/>
      <c r="Q2" s="283"/>
      <c r="R2" s="290"/>
      <c r="S2" s="290"/>
      <c r="T2" s="283"/>
      <c r="U2" s="290"/>
      <c r="V2" s="290"/>
      <c r="W2" s="290"/>
      <c r="X2" s="296" t="s">
        <v>270</v>
      </c>
      <c r="Y2" s="296"/>
      <c r="Z2" s="296" t="s">
        <v>270</v>
      </c>
      <c r="AA2" s="296"/>
      <c r="AB2" s="149">
        <f>IF($Z$2="No",(0),"$300")</f>
        <v>0</v>
      </c>
      <c r="AC2" s="148">
        <v>0</v>
      </c>
      <c r="AD2" s="295"/>
    </row>
    <row r="3" spans="1:96" ht="11.25" x14ac:dyDescent="0.45">
      <c r="A3" s="283" t="s">
        <v>372</v>
      </c>
      <c r="B3" s="297" t="s">
        <v>293</v>
      </c>
      <c r="C3" s="283" t="s">
        <v>371</v>
      </c>
      <c r="D3" s="297" t="s">
        <v>292</v>
      </c>
      <c r="E3" s="297"/>
      <c r="F3" s="283" t="s">
        <v>370</v>
      </c>
      <c r="G3" s="283"/>
      <c r="H3" s="290" t="s">
        <v>291</v>
      </c>
      <c r="I3" s="290"/>
      <c r="J3" s="283" t="s">
        <v>369</v>
      </c>
      <c r="K3" s="290" t="s">
        <v>290</v>
      </c>
      <c r="L3" s="290"/>
      <c r="M3" s="291" t="s">
        <v>368</v>
      </c>
      <c r="N3" s="291"/>
      <c r="O3" s="291"/>
      <c r="P3" s="291"/>
      <c r="Q3" s="283" t="s">
        <v>367</v>
      </c>
      <c r="R3" s="290" t="s">
        <v>289</v>
      </c>
      <c r="S3" s="290"/>
      <c r="T3" s="283" t="s">
        <v>366</v>
      </c>
      <c r="U3" s="284" t="s">
        <v>260</v>
      </c>
      <c r="V3" s="284"/>
      <c r="W3" s="284"/>
      <c r="X3" s="285" t="s">
        <v>365</v>
      </c>
      <c r="Y3" s="286"/>
      <c r="Z3" s="286"/>
      <c r="AA3" s="287"/>
      <c r="AB3" s="285" t="s">
        <v>364</v>
      </c>
      <c r="AC3" s="287"/>
      <c r="AD3" s="295"/>
      <c r="AE3" s="8"/>
      <c r="AF3" s="8"/>
      <c r="AG3" s="9"/>
      <c r="AH3" s="9"/>
      <c r="AI3" s="9"/>
      <c r="AJ3" s="9"/>
      <c r="AK3" s="9"/>
      <c r="AL3" s="9"/>
      <c r="AM3" s="9"/>
      <c r="AN3" s="9"/>
      <c r="AQ3" s="8"/>
      <c r="AR3" s="8"/>
      <c r="AX3" s="1"/>
      <c r="AY3" s="1"/>
      <c r="AZ3" s="1"/>
      <c r="BD3" s="1"/>
      <c r="BE3" s="6"/>
    </row>
    <row r="4" spans="1:96" ht="11.25" x14ac:dyDescent="0.45">
      <c r="A4" s="283"/>
      <c r="B4" s="297"/>
      <c r="C4" s="283"/>
      <c r="D4" s="297"/>
      <c r="E4" s="297"/>
      <c r="F4" s="283"/>
      <c r="G4" s="283"/>
      <c r="H4" s="290"/>
      <c r="I4" s="290"/>
      <c r="J4" s="283"/>
      <c r="K4" s="290"/>
      <c r="L4" s="290"/>
      <c r="M4" s="291"/>
      <c r="N4" s="291"/>
      <c r="O4" s="291"/>
      <c r="P4" s="291"/>
      <c r="Q4" s="283"/>
      <c r="R4" s="290"/>
      <c r="S4" s="290"/>
      <c r="T4" s="283"/>
      <c r="U4" s="284"/>
      <c r="V4" s="284"/>
      <c r="W4" s="284"/>
      <c r="X4" s="288"/>
      <c r="Y4" s="289"/>
      <c r="Z4" s="147"/>
      <c r="AA4" s="146"/>
      <c r="AB4" s="145"/>
      <c r="AC4" s="144"/>
      <c r="AD4" s="295"/>
      <c r="AE4" s="8"/>
      <c r="AF4" s="8"/>
      <c r="AG4" s="9"/>
      <c r="AH4" s="9"/>
      <c r="AI4" s="9"/>
      <c r="AJ4" s="9"/>
      <c r="AK4" s="9"/>
      <c r="AL4" s="9"/>
      <c r="AM4" s="9"/>
      <c r="AN4" s="9"/>
      <c r="AQ4" s="8"/>
      <c r="AR4" s="8"/>
      <c r="AW4" s="6"/>
      <c r="AX4" s="1"/>
      <c r="AY4" s="1"/>
      <c r="AZ4" s="1"/>
      <c r="BD4" s="1"/>
    </row>
    <row r="5" spans="1:96" ht="11.65" thickBot="1" x14ac:dyDescent="0.5">
      <c r="A5" s="210" t="s">
        <v>363</v>
      </c>
      <c r="B5" s="210" t="s">
        <v>362</v>
      </c>
      <c r="C5" s="210"/>
      <c r="D5" s="210"/>
      <c r="E5" s="210"/>
      <c r="F5" s="210" t="s">
        <v>361</v>
      </c>
      <c r="G5" s="210" t="s">
        <v>360</v>
      </c>
      <c r="H5" s="210" t="s">
        <v>306</v>
      </c>
      <c r="I5" s="210" t="s">
        <v>359</v>
      </c>
      <c r="J5" s="210" t="s">
        <v>358</v>
      </c>
      <c r="K5" s="210" t="s">
        <v>357</v>
      </c>
      <c r="L5" s="143" t="s">
        <v>356</v>
      </c>
      <c r="M5" s="281"/>
      <c r="N5" s="281"/>
      <c r="O5" s="281"/>
      <c r="P5" s="282"/>
      <c r="Q5" s="142">
        <v>0.2</v>
      </c>
      <c r="R5" s="210" t="s">
        <v>301</v>
      </c>
      <c r="S5" s="210"/>
      <c r="T5" s="210" t="s">
        <v>355</v>
      </c>
      <c r="U5" s="210"/>
      <c r="V5" s="210"/>
      <c r="W5" s="210"/>
      <c r="X5" s="275" t="s">
        <v>354</v>
      </c>
      <c r="Y5" s="275"/>
      <c r="Z5" s="276" t="s">
        <v>308</v>
      </c>
      <c r="AA5" s="276" t="s">
        <v>306</v>
      </c>
      <c r="AB5" s="277" t="s">
        <v>353</v>
      </c>
      <c r="AC5" s="278"/>
      <c r="AD5" s="295"/>
      <c r="AE5" s="8"/>
      <c r="AF5" s="8"/>
      <c r="AG5" s="9"/>
      <c r="AH5" s="9"/>
      <c r="AI5" s="9"/>
      <c r="AJ5" s="9"/>
      <c r="AK5" s="9"/>
      <c r="AL5" s="9"/>
      <c r="AM5" s="9"/>
      <c r="AN5" s="9"/>
      <c r="AQ5" s="8"/>
      <c r="AR5" s="8"/>
      <c r="AW5" s="6"/>
      <c r="AX5" s="1"/>
      <c r="AY5" s="1"/>
      <c r="AZ5" s="1"/>
      <c r="BD5" s="1"/>
      <c r="CO5" s="1" t="s">
        <v>352</v>
      </c>
    </row>
    <row r="6" spans="1:96" ht="14.65" thickBot="1" x14ac:dyDescent="0.5">
      <c r="A6" s="210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140" t="s">
        <v>351</v>
      </c>
      <c r="M6" s="141" t="s">
        <v>350</v>
      </c>
      <c r="N6" s="141" t="s">
        <v>349</v>
      </c>
      <c r="O6" s="141" t="s">
        <v>348</v>
      </c>
      <c r="P6" s="141" t="s">
        <v>347</v>
      </c>
      <c r="Q6" s="140" t="s">
        <v>346</v>
      </c>
      <c r="R6" s="210"/>
      <c r="S6" s="210"/>
      <c r="T6" s="210"/>
      <c r="U6" s="210"/>
      <c r="V6" s="210"/>
      <c r="W6" s="210"/>
      <c r="X6" s="275"/>
      <c r="Y6" s="275"/>
      <c r="Z6" s="276"/>
      <c r="AA6" s="276"/>
      <c r="AB6" s="279"/>
      <c r="AC6" s="280"/>
      <c r="AD6" s="295"/>
      <c r="AG6" s="103" t="s">
        <v>345</v>
      </c>
      <c r="AH6" s="9"/>
      <c r="AI6" s="104" t="s">
        <v>344</v>
      </c>
      <c r="AJ6" s="9"/>
      <c r="AK6" s="111" t="s">
        <v>343</v>
      </c>
      <c r="AL6" s="111" t="s">
        <v>342</v>
      </c>
      <c r="AM6" s="111" t="s">
        <v>341</v>
      </c>
      <c r="AN6" s="111" t="s">
        <v>340</v>
      </c>
      <c r="AO6" s="139" t="s">
        <v>339</v>
      </c>
      <c r="AP6" s="111" t="s">
        <v>338</v>
      </c>
      <c r="AQ6" s="133" t="s">
        <v>320</v>
      </c>
      <c r="AR6" s="138" t="s">
        <v>337</v>
      </c>
      <c r="AS6" s="133" t="s">
        <v>336</v>
      </c>
      <c r="AT6" s="103" t="s">
        <v>322</v>
      </c>
      <c r="AU6" s="103" t="s">
        <v>321</v>
      </c>
      <c r="AV6" s="9"/>
      <c r="AW6" s="137" t="s">
        <v>335</v>
      </c>
      <c r="AX6" s="136" t="s">
        <v>334</v>
      </c>
      <c r="AY6" s="136" t="s">
        <v>333</v>
      </c>
      <c r="AZ6" s="136" t="s">
        <v>332</v>
      </c>
      <c r="BA6" s="136" t="s">
        <v>331</v>
      </c>
      <c r="BB6" s="135" t="s">
        <v>330</v>
      </c>
      <c r="BC6" s="136" t="s">
        <v>329</v>
      </c>
      <c r="BD6" s="135" t="s">
        <v>328</v>
      </c>
      <c r="BE6" s="9"/>
      <c r="BF6" s="137" t="s">
        <v>327</v>
      </c>
      <c r="BG6" s="136" t="s">
        <v>326</v>
      </c>
      <c r="BH6" s="136" t="s">
        <v>325</v>
      </c>
      <c r="BI6" s="136" t="s">
        <v>324</v>
      </c>
      <c r="BJ6" s="135" t="s">
        <v>323</v>
      </c>
      <c r="BL6" s="134"/>
      <c r="BM6" s="103" t="s">
        <v>322</v>
      </c>
      <c r="BN6" s="103" t="s">
        <v>321</v>
      </c>
      <c r="BO6" s="133" t="s">
        <v>320</v>
      </c>
      <c r="BQ6" s="1" t="s">
        <v>319</v>
      </c>
      <c r="BR6" s="1" t="s">
        <v>318</v>
      </c>
      <c r="BS6" s="1" t="s">
        <v>317</v>
      </c>
      <c r="BT6" s="1" t="s">
        <v>316</v>
      </c>
      <c r="BU6" s="1" t="s">
        <v>315</v>
      </c>
      <c r="BV6" s="1" t="s">
        <v>314</v>
      </c>
      <c r="BW6" s="1" t="s">
        <v>313</v>
      </c>
      <c r="BX6" s="1" t="s">
        <v>312</v>
      </c>
      <c r="BY6" s="6" t="s">
        <v>311</v>
      </c>
      <c r="BZ6" s="132" t="s">
        <v>306</v>
      </c>
      <c r="CA6" s="131" t="s">
        <v>310</v>
      </c>
      <c r="CB6" s="131" t="s">
        <v>309</v>
      </c>
      <c r="CC6" s="131" t="s">
        <v>308</v>
      </c>
      <c r="CD6" s="130" t="s">
        <v>307</v>
      </c>
      <c r="CE6" s="129" t="s">
        <v>306</v>
      </c>
      <c r="CF6" s="129" t="s">
        <v>305</v>
      </c>
      <c r="CG6" s="128" t="s">
        <v>304</v>
      </c>
      <c r="CH6" s="128" t="s">
        <v>303</v>
      </c>
      <c r="CI6" s="128" t="s">
        <v>302</v>
      </c>
      <c r="CJ6" s="3"/>
      <c r="CK6" s="127" t="s">
        <v>301</v>
      </c>
      <c r="CL6" s="126" t="s">
        <v>300</v>
      </c>
      <c r="CM6" s="126" t="s">
        <v>299</v>
      </c>
      <c r="CN6" s="125" t="s">
        <v>298</v>
      </c>
      <c r="CO6" s="1" t="s">
        <v>297</v>
      </c>
      <c r="CQ6" s="124" t="s">
        <v>296</v>
      </c>
      <c r="CR6" s="123" t="s">
        <v>295</v>
      </c>
    </row>
    <row r="7" spans="1:96" ht="12" customHeight="1" thickBot="1" x14ac:dyDescent="0.5">
      <c r="A7" s="83"/>
      <c r="B7" s="266"/>
      <c r="C7" s="267"/>
      <c r="D7" s="267"/>
      <c r="E7" s="268"/>
      <c r="F7" s="64"/>
      <c r="G7" s="64"/>
      <c r="H7" s="82"/>
      <c r="I7" s="81"/>
      <c r="J7" s="64"/>
      <c r="K7" s="80"/>
      <c r="L7" s="79">
        <f t="shared" ref="L7:L70" si="0">(I7*J7*K7)/144</f>
        <v>0</v>
      </c>
      <c r="M7" s="64"/>
      <c r="N7" s="64"/>
      <c r="O7" s="64"/>
      <c r="P7" s="80"/>
      <c r="Q7" s="79">
        <f t="shared" ref="Q7:Q70" si="1">IF(P7&lt;&gt;"",M7*O7*P7/144,L7*(1+$Q$5))</f>
        <v>0</v>
      </c>
      <c r="R7" s="269" t="s">
        <v>282</v>
      </c>
      <c r="S7" s="270"/>
      <c r="T7" s="266"/>
      <c r="U7" s="267"/>
      <c r="V7" s="267"/>
      <c r="W7" s="268"/>
      <c r="X7" s="271">
        <f>IFERROR(INDEX(Table394123[],MATCH(R7,Table394123[Film Type],),3),"")</f>
        <v>0</v>
      </c>
      <c r="Y7" s="271"/>
      <c r="Z7" s="78" t="s">
        <v>55</v>
      </c>
      <c r="AA7" s="78" t="s">
        <v>55</v>
      </c>
      <c r="AB7" s="77"/>
      <c r="AC7" s="76"/>
      <c r="AD7" s="75">
        <f t="shared" ref="AD7:AD70" si="2">SUM(AT7+AU7)</f>
        <v>0</v>
      </c>
      <c r="AG7" s="74">
        <f t="shared" ref="AG7:AG70" si="3">(((I7*2)+(J7*2))*K7)/12</f>
        <v>0</v>
      </c>
      <c r="AI7" s="100">
        <v>40</v>
      </c>
      <c r="AK7" s="65">
        <f t="shared" ref="AK7:AK70" si="4">IFERROR((Q7*X7),0)</f>
        <v>0</v>
      </c>
      <c r="AL7" s="65">
        <f t="shared" ref="AL7:AL70" si="5">IFERROR((AW7/$B$158)*$X$4,0)</f>
        <v>0</v>
      </c>
      <c r="AM7" s="65">
        <f t="shared" ref="AM7:AM70" si="6">BA7+BI7+BC7</f>
        <v>0</v>
      </c>
      <c r="AN7" s="73">
        <f t="shared" ref="AN7:AN70" si="7">IFERROR((AW7/$B$158)*(($AB$4*$AI$7)+($AC$2*$AI$7)),0)</f>
        <v>0</v>
      </c>
      <c r="AO7" s="65" t="str">
        <f t="shared" ref="AO7:AO70" si="8">IF(AND($X$2="Yes", $Z$2="No"), ((AM7+AN7)*0.25),"0.00")</f>
        <v>0.00</v>
      </c>
      <c r="AP7" s="65" t="str">
        <f t="shared" ref="AP7:AP70" si="9">IF($Z$2="No","0", (((AN7/$AI$7)+BD7+BG7)*$AI$13)-(AN7+BA7+BC7+BI7))</f>
        <v>0</v>
      </c>
      <c r="AQ7" s="71">
        <f t="shared" ref="AQ7:AQ70" si="10">(BD7+BG7)*$AI$10</f>
        <v>0</v>
      </c>
      <c r="AR7" s="72">
        <f t="shared" ref="AR7:AR70" si="11">AD7*$AB$163</f>
        <v>0</v>
      </c>
      <c r="AS7" s="71">
        <f t="shared" ref="AS7:AS70" si="12">AD7-AT7-AR7-AQ7</f>
        <v>0</v>
      </c>
      <c r="AT7" s="70">
        <f t="shared" ref="AT7:AT70" si="13">SUM(AK7+AL7+AM7+AN7+AO7+AP7)</f>
        <v>0</v>
      </c>
      <c r="AU7" s="70">
        <f t="shared" ref="AU7:AU70" si="14">AT7*$AB$167</f>
        <v>0</v>
      </c>
      <c r="AV7" s="2"/>
      <c r="AW7" s="66">
        <f t="shared" ref="AW7:AW70" si="15">IF(R7="removal only",0,((I7*J7*K7)/144))</f>
        <v>0</v>
      </c>
      <c r="AX7" s="68">
        <f>_xlfn.IFNA(INDEX(Table394123[I $ p/ft2],MATCH(R7,Table394123[Film Type],0)),1.75)</f>
        <v>1.75</v>
      </c>
      <c r="AY7" s="69">
        <f>VLOOKUP(Z7,Table134931[#All],2,FALSE)</f>
        <v>1</v>
      </c>
      <c r="AZ7" s="68">
        <f t="shared" ref="AZ7:AZ70" si="16">AX7*AY7</f>
        <v>1.75</v>
      </c>
      <c r="BA7" s="65">
        <f t="shared" ref="BA7:BA70" si="17">IF(R7="removal only",0,(AW7*AZ7))</f>
        <v>0</v>
      </c>
      <c r="BB7" s="64">
        <f t="shared" ref="BB7:BB70" si="18">IF(R7="removal only",0,K7)</f>
        <v>0</v>
      </c>
      <c r="BC7" s="67">
        <f t="shared" ref="BC7:BC70" si="19">(AB7/60)*$AI$7</f>
        <v>0</v>
      </c>
      <c r="BD7" s="66">
        <f t="shared" ref="BD7:BD70" si="20">IF(R7="removal only",0,(BA7+BC7)/$AI$7)</f>
        <v>0</v>
      </c>
      <c r="BE7" s="64"/>
      <c r="BF7" s="66">
        <f t="shared" ref="BF7:BF70" si="21">IF(H7="Yes",((I7*J7*K7)/144),0)</f>
        <v>0</v>
      </c>
      <c r="BG7" s="66">
        <f t="shared" ref="BG7:BG70" si="22">IF(BF7="0",0,BI7/$AI$7)</f>
        <v>0</v>
      </c>
      <c r="BH7" s="65">
        <f>VLOOKUP(AA7,Table155133[#All],2,FALSE)</f>
        <v>1</v>
      </c>
      <c r="BI7" s="65">
        <f t="shared" ref="BI7:BI70" si="23">IF(H7="Yes",BF7*BH7,0)</f>
        <v>0</v>
      </c>
      <c r="BJ7" s="64" t="str">
        <f t="shared" ref="BJ7:BJ70" si="24">IF(H7="Yes",K7,"0")</f>
        <v>0</v>
      </c>
      <c r="BL7" s="103" t="s">
        <v>242</v>
      </c>
      <c r="BM7" s="70">
        <f>IF($Z$2="No",(SUM(Q160:Q163)+(Q164*AI7)), (SUM(Q160:Q163)+(Q164*AI13)))</f>
        <v>0</v>
      </c>
      <c r="BN7" s="70">
        <f>BM7*T161</f>
        <v>0</v>
      </c>
      <c r="BO7" s="65">
        <f>((Q163+Q164)/AI7)*$AI$10</f>
        <v>0</v>
      </c>
      <c r="BQ7" s="1" t="s">
        <v>294</v>
      </c>
      <c r="BR7" s="1" t="s">
        <v>293</v>
      </c>
      <c r="BS7" s="1" t="s">
        <v>292</v>
      </c>
      <c r="BT7" s="1" t="s">
        <v>291</v>
      </c>
      <c r="BU7" s="1" t="s">
        <v>290</v>
      </c>
      <c r="BV7" s="1" t="s">
        <v>289</v>
      </c>
      <c r="BW7" s="6" t="s">
        <v>288</v>
      </c>
      <c r="BX7" s="6" t="s">
        <v>287</v>
      </c>
      <c r="BY7" s="6" t="s">
        <v>286</v>
      </c>
      <c r="BZ7" s="93" t="s">
        <v>283</v>
      </c>
      <c r="CA7" s="110">
        <v>0</v>
      </c>
      <c r="CB7" s="118">
        <v>10</v>
      </c>
      <c r="CC7" s="99" t="s">
        <v>285</v>
      </c>
      <c r="CD7" s="98">
        <v>0</v>
      </c>
      <c r="CE7" s="114" t="s">
        <v>272</v>
      </c>
      <c r="CF7" s="113">
        <v>0.5</v>
      </c>
      <c r="CG7" s="122" t="s">
        <v>284</v>
      </c>
      <c r="CH7" s="107" t="s">
        <v>283</v>
      </c>
      <c r="CI7" s="107" t="s">
        <v>270</v>
      </c>
      <c r="CJ7" s="3"/>
      <c r="CK7" s="112" t="s">
        <v>282</v>
      </c>
      <c r="CL7" s="2">
        <v>0</v>
      </c>
      <c r="CM7" s="2">
        <f t="shared" ref="CM7:CM70" si="25">CL7*1.1</f>
        <v>0</v>
      </c>
      <c r="CN7" s="95">
        <v>1.75</v>
      </c>
      <c r="CO7" s="84">
        <f t="shared" ref="CO7:CO38" si="26">(O7*K7)/12</f>
        <v>0</v>
      </c>
      <c r="CQ7" s="121">
        <v>0</v>
      </c>
      <c r="CR7" s="120">
        <v>0</v>
      </c>
    </row>
    <row r="8" spans="1:96" ht="12" customHeight="1" thickBot="1" x14ac:dyDescent="0.5">
      <c r="A8" s="83"/>
      <c r="B8" s="266"/>
      <c r="C8" s="267"/>
      <c r="D8" s="267"/>
      <c r="E8" s="268"/>
      <c r="F8" s="64"/>
      <c r="G8" s="64"/>
      <c r="H8" s="82"/>
      <c r="I8" s="81"/>
      <c r="J8" s="64"/>
      <c r="K8" s="80"/>
      <c r="L8" s="79">
        <f t="shared" si="0"/>
        <v>0</v>
      </c>
      <c r="M8" s="64"/>
      <c r="N8" s="64"/>
      <c r="O8" s="64"/>
      <c r="P8" s="80"/>
      <c r="Q8" s="79">
        <f t="shared" si="1"/>
        <v>0</v>
      </c>
      <c r="R8" s="269" t="s">
        <v>282</v>
      </c>
      <c r="S8" s="270"/>
      <c r="T8" s="266"/>
      <c r="U8" s="267"/>
      <c r="V8" s="267"/>
      <c r="W8" s="268"/>
      <c r="X8" s="271">
        <f>IFERROR(INDEX(Table394123[],MATCH(R8,Table394123[Film Type],),3),"")</f>
        <v>0</v>
      </c>
      <c r="Y8" s="271"/>
      <c r="Z8" s="78" t="s">
        <v>55</v>
      </c>
      <c r="AA8" s="78" t="s">
        <v>55</v>
      </c>
      <c r="AB8" s="77"/>
      <c r="AC8" s="76"/>
      <c r="AD8" s="75">
        <f t="shared" si="2"/>
        <v>0</v>
      </c>
      <c r="AG8" s="74">
        <f t="shared" si="3"/>
        <v>0</v>
      </c>
      <c r="AI8" s="119"/>
      <c r="AK8" s="65">
        <f t="shared" si="4"/>
        <v>0</v>
      </c>
      <c r="AL8" s="65">
        <f t="shared" si="5"/>
        <v>0</v>
      </c>
      <c r="AM8" s="65">
        <f t="shared" si="6"/>
        <v>0</v>
      </c>
      <c r="AN8" s="73">
        <f t="shared" si="7"/>
        <v>0</v>
      </c>
      <c r="AO8" s="65" t="str">
        <f t="shared" si="8"/>
        <v>0.00</v>
      </c>
      <c r="AP8" s="65" t="str">
        <f t="shared" si="9"/>
        <v>0</v>
      </c>
      <c r="AQ8" s="71">
        <f t="shared" si="10"/>
        <v>0</v>
      </c>
      <c r="AR8" s="72">
        <f t="shared" si="11"/>
        <v>0</v>
      </c>
      <c r="AS8" s="71">
        <f t="shared" si="12"/>
        <v>0</v>
      </c>
      <c r="AT8" s="70">
        <f t="shared" si="13"/>
        <v>0</v>
      </c>
      <c r="AU8" s="70">
        <f t="shared" si="14"/>
        <v>0</v>
      </c>
      <c r="AV8" s="2"/>
      <c r="AW8" s="66">
        <f t="shared" si="15"/>
        <v>0</v>
      </c>
      <c r="AX8" s="68">
        <f>_xlfn.IFNA(INDEX(Table394123[I $ p/ft2],MATCH(R8,Table394123[Film Type],0)),1.75)</f>
        <v>1.75</v>
      </c>
      <c r="AY8" s="69">
        <f>VLOOKUP(Z8,Table134931[#All],2,FALSE)</f>
        <v>1</v>
      </c>
      <c r="AZ8" s="68">
        <f t="shared" si="16"/>
        <v>1.75</v>
      </c>
      <c r="BA8" s="65">
        <f t="shared" si="17"/>
        <v>0</v>
      </c>
      <c r="BB8" s="64">
        <f t="shared" si="18"/>
        <v>0</v>
      </c>
      <c r="BC8" s="67">
        <f t="shared" si="19"/>
        <v>0</v>
      </c>
      <c r="BD8" s="66">
        <f t="shared" si="20"/>
        <v>0</v>
      </c>
      <c r="BE8" s="64"/>
      <c r="BF8" s="66">
        <f t="shared" si="21"/>
        <v>0</v>
      </c>
      <c r="BG8" s="66">
        <f t="shared" si="22"/>
        <v>0</v>
      </c>
      <c r="BH8" s="65">
        <f>VLOOKUP(AA8,Table155133[#All],2,FALSE)</f>
        <v>1</v>
      </c>
      <c r="BI8" s="65">
        <f t="shared" si="23"/>
        <v>0</v>
      </c>
      <c r="BJ8" s="64" t="str">
        <f t="shared" si="24"/>
        <v>0</v>
      </c>
      <c r="BL8" s="103" t="s">
        <v>228</v>
      </c>
      <c r="BM8" s="70">
        <f>IF($Z$2="No",(SUM(Q167:Q170)+(Q171*AI7)), (SUM(Q167:Q170)+(Q171*AI13)))</f>
        <v>0</v>
      </c>
      <c r="BN8" s="70">
        <f>BM8*T168</f>
        <v>0</v>
      </c>
      <c r="BO8" s="65">
        <f>((Q170+Q171)/AI7)*$AI$10</f>
        <v>0</v>
      </c>
      <c r="BQ8" s="1" t="s">
        <v>281</v>
      </c>
      <c r="BR8" s="1" t="s">
        <v>280</v>
      </c>
      <c r="BS8" s="1" t="s">
        <v>279</v>
      </c>
      <c r="BT8" s="1" t="s">
        <v>278</v>
      </c>
      <c r="BU8" s="1" t="s">
        <v>277</v>
      </c>
      <c r="BV8" s="1" t="s">
        <v>276</v>
      </c>
      <c r="BW8" s="6" t="s">
        <v>275</v>
      </c>
      <c r="BX8" s="6" t="s">
        <v>274</v>
      </c>
      <c r="BY8" s="6" t="s">
        <v>273</v>
      </c>
      <c r="BZ8" s="93"/>
      <c r="CA8" s="99">
        <v>1</v>
      </c>
      <c r="CB8" s="99">
        <v>15</v>
      </c>
      <c r="CC8" s="118" t="s">
        <v>272</v>
      </c>
      <c r="CD8" s="117">
        <v>0.5</v>
      </c>
      <c r="CE8" s="109" t="s">
        <v>55</v>
      </c>
      <c r="CF8" s="108">
        <v>1</v>
      </c>
      <c r="CG8" s="101" t="s">
        <v>271</v>
      </c>
      <c r="CH8" s="101" t="s">
        <v>270</v>
      </c>
      <c r="CI8" s="101" t="s">
        <v>269</v>
      </c>
      <c r="CJ8" s="3"/>
      <c r="CK8" s="112"/>
      <c r="CM8" s="2">
        <f t="shared" si="25"/>
        <v>0</v>
      </c>
      <c r="CN8" s="95"/>
      <c r="CO8" s="84">
        <f t="shared" si="26"/>
        <v>0</v>
      </c>
      <c r="CQ8" s="116" t="s">
        <v>268</v>
      </c>
      <c r="CR8" s="115" cm="1">
        <f t="array" aca="1" ref="CR8" ca="1">IFERROR(CQ7*12,0)+SUM(MID(0&amp;CR7,LARGE(ISNUMBER(--MID(CR7,ROW(INDIRECT("1:"&amp;LEN(CR7))),1))*ROW(INDIRECT("1:"&amp;LEN(CR7))),ROW(INDIRECT("1:"&amp;LEN(CR7))))+1,1)*10^ROW(INDIRECT("1:"&amp;LEN(CR7)))/10)</f>
        <v>0</v>
      </c>
    </row>
    <row r="9" spans="1:96" ht="12" customHeight="1" thickBot="1" x14ac:dyDescent="0.5">
      <c r="A9" s="83"/>
      <c r="B9" s="266"/>
      <c r="C9" s="267"/>
      <c r="D9" s="267"/>
      <c r="E9" s="268"/>
      <c r="F9" s="64"/>
      <c r="G9" s="64"/>
      <c r="H9" s="82"/>
      <c r="I9" s="81"/>
      <c r="J9" s="64"/>
      <c r="K9" s="80"/>
      <c r="L9" s="79">
        <f t="shared" si="0"/>
        <v>0</v>
      </c>
      <c r="M9" s="64"/>
      <c r="N9" s="64"/>
      <c r="O9" s="64"/>
      <c r="P9" s="80"/>
      <c r="Q9" s="79">
        <f t="shared" si="1"/>
        <v>0</v>
      </c>
      <c r="R9" s="269" t="s">
        <v>282</v>
      </c>
      <c r="S9" s="270"/>
      <c r="T9" s="266"/>
      <c r="U9" s="267"/>
      <c r="V9" s="267"/>
      <c r="W9" s="268"/>
      <c r="X9" s="271">
        <f>IFERROR(INDEX(Table394123[],MATCH(R9,Table394123[Film Type],),3),"")</f>
        <v>0</v>
      </c>
      <c r="Y9" s="271"/>
      <c r="Z9" s="78" t="s">
        <v>55</v>
      </c>
      <c r="AA9" s="78" t="s">
        <v>55</v>
      </c>
      <c r="AB9" s="77"/>
      <c r="AC9" s="76"/>
      <c r="AD9" s="75">
        <f t="shared" si="2"/>
        <v>0</v>
      </c>
      <c r="AG9" s="74">
        <f t="shared" si="3"/>
        <v>0</v>
      </c>
      <c r="AI9" s="104" t="s">
        <v>267</v>
      </c>
      <c r="AK9" s="65">
        <f t="shared" si="4"/>
        <v>0</v>
      </c>
      <c r="AL9" s="65">
        <f t="shared" si="5"/>
        <v>0</v>
      </c>
      <c r="AM9" s="65">
        <f t="shared" si="6"/>
        <v>0</v>
      </c>
      <c r="AN9" s="73">
        <f t="shared" si="7"/>
        <v>0</v>
      </c>
      <c r="AO9" s="65" t="str">
        <f t="shared" si="8"/>
        <v>0.00</v>
      </c>
      <c r="AP9" s="65" t="str">
        <f t="shared" si="9"/>
        <v>0</v>
      </c>
      <c r="AQ9" s="71">
        <f t="shared" si="10"/>
        <v>0</v>
      </c>
      <c r="AR9" s="72">
        <f t="shared" si="11"/>
        <v>0</v>
      </c>
      <c r="AS9" s="71">
        <f t="shared" si="12"/>
        <v>0</v>
      </c>
      <c r="AT9" s="70">
        <f t="shared" si="13"/>
        <v>0</v>
      </c>
      <c r="AU9" s="70">
        <f t="shared" si="14"/>
        <v>0</v>
      </c>
      <c r="AV9" s="2"/>
      <c r="AW9" s="66">
        <f t="shared" si="15"/>
        <v>0</v>
      </c>
      <c r="AX9" s="68">
        <f>_xlfn.IFNA(INDEX(Table394123[I $ p/ft2],MATCH(R9,Table394123[Film Type],0)),1.75)</f>
        <v>1.75</v>
      </c>
      <c r="AY9" s="69">
        <f>VLOOKUP(Z9,Table134931[#All],2,FALSE)</f>
        <v>1</v>
      </c>
      <c r="AZ9" s="68">
        <f t="shared" si="16"/>
        <v>1.75</v>
      </c>
      <c r="BA9" s="65">
        <f t="shared" si="17"/>
        <v>0</v>
      </c>
      <c r="BB9" s="64">
        <f t="shared" si="18"/>
        <v>0</v>
      </c>
      <c r="BC9" s="67">
        <f t="shared" si="19"/>
        <v>0</v>
      </c>
      <c r="BD9" s="66">
        <f t="shared" si="20"/>
        <v>0</v>
      </c>
      <c r="BE9" s="64"/>
      <c r="BF9" s="66">
        <f t="shared" si="21"/>
        <v>0</v>
      </c>
      <c r="BG9" s="66">
        <f t="shared" si="22"/>
        <v>0</v>
      </c>
      <c r="BH9" s="65">
        <f>VLOOKUP(AA9,Table155133[#All],2,FALSE)</f>
        <v>1</v>
      </c>
      <c r="BI9" s="65">
        <f t="shared" si="23"/>
        <v>0</v>
      </c>
      <c r="BJ9" s="64" t="str">
        <f t="shared" si="24"/>
        <v>0</v>
      </c>
      <c r="BQ9" s="1" t="s">
        <v>266</v>
      </c>
      <c r="BR9" s="1" t="s">
        <v>265</v>
      </c>
      <c r="BS9" s="1" t="s">
        <v>264</v>
      </c>
      <c r="BT9" s="1" t="s">
        <v>263</v>
      </c>
      <c r="BU9" s="1" t="s">
        <v>262</v>
      </c>
      <c r="BV9" s="1" t="s">
        <v>261</v>
      </c>
      <c r="BW9" s="6" t="s">
        <v>260</v>
      </c>
      <c r="BX9" s="6" t="s">
        <v>259</v>
      </c>
      <c r="BY9" s="6" t="s">
        <v>258</v>
      </c>
      <c r="BZ9" s="93"/>
      <c r="CA9" s="110">
        <v>1.5</v>
      </c>
      <c r="CB9" s="99">
        <v>20</v>
      </c>
      <c r="CC9" s="99" t="s">
        <v>55</v>
      </c>
      <c r="CD9" s="98">
        <v>1</v>
      </c>
      <c r="CE9" s="114" t="s">
        <v>245</v>
      </c>
      <c r="CF9" s="113">
        <v>1.5</v>
      </c>
      <c r="CG9" s="107" t="s">
        <v>257</v>
      </c>
      <c r="CH9" s="101"/>
      <c r="CI9" s="101" t="s">
        <v>256</v>
      </c>
      <c r="CJ9" s="3"/>
      <c r="CK9" s="112" t="s">
        <v>255</v>
      </c>
      <c r="CL9" s="2">
        <v>0</v>
      </c>
      <c r="CM9" s="2">
        <f t="shared" si="25"/>
        <v>0</v>
      </c>
      <c r="CN9" s="95">
        <v>0</v>
      </c>
      <c r="CO9" s="84">
        <f t="shared" si="26"/>
        <v>0</v>
      </c>
    </row>
    <row r="10" spans="1:96" ht="12" customHeight="1" thickBot="1" x14ac:dyDescent="0.5">
      <c r="A10" s="83"/>
      <c r="B10" s="266"/>
      <c r="C10" s="267"/>
      <c r="D10" s="267"/>
      <c r="E10" s="268"/>
      <c r="F10" s="64"/>
      <c r="G10" s="64"/>
      <c r="H10" s="82"/>
      <c r="I10" s="81"/>
      <c r="J10" s="64"/>
      <c r="K10" s="80"/>
      <c r="L10" s="79">
        <f t="shared" si="0"/>
        <v>0</v>
      </c>
      <c r="M10" s="64"/>
      <c r="N10" s="64"/>
      <c r="O10" s="64"/>
      <c r="P10" s="80"/>
      <c r="Q10" s="79">
        <f t="shared" si="1"/>
        <v>0</v>
      </c>
      <c r="R10" s="269" t="s">
        <v>282</v>
      </c>
      <c r="S10" s="270"/>
      <c r="T10" s="266"/>
      <c r="U10" s="267"/>
      <c r="V10" s="267"/>
      <c r="W10" s="268"/>
      <c r="X10" s="271">
        <f>IFERROR(INDEX(Table394123[],MATCH(R10,Table394123[Film Type],),3),"")</f>
        <v>0</v>
      </c>
      <c r="Y10" s="271"/>
      <c r="Z10" s="78" t="s">
        <v>55</v>
      </c>
      <c r="AA10" s="78" t="s">
        <v>55</v>
      </c>
      <c r="AB10" s="77"/>
      <c r="AC10" s="76"/>
      <c r="AD10" s="75">
        <f t="shared" si="2"/>
        <v>0</v>
      </c>
      <c r="AG10" s="74">
        <f t="shared" si="3"/>
        <v>0</v>
      </c>
      <c r="AI10" s="100">
        <v>45</v>
      </c>
      <c r="AK10" s="65">
        <f t="shared" si="4"/>
        <v>0</v>
      </c>
      <c r="AL10" s="65">
        <f t="shared" si="5"/>
        <v>0</v>
      </c>
      <c r="AM10" s="65">
        <f t="shared" si="6"/>
        <v>0</v>
      </c>
      <c r="AN10" s="73">
        <f t="shared" si="7"/>
        <v>0</v>
      </c>
      <c r="AO10" s="65" t="str">
        <f t="shared" si="8"/>
        <v>0.00</v>
      </c>
      <c r="AP10" s="65" t="str">
        <f t="shared" si="9"/>
        <v>0</v>
      </c>
      <c r="AQ10" s="71">
        <f t="shared" si="10"/>
        <v>0</v>
      </c>
      <c r="AR10" s="72">
        <f t="shared" si="11"/>
        <v>0</v>
      </c>
      <c r="AS10" s="71">
        <f t="shared" si="12"/>
        <v>0</v>
      </c>
      <c r="AT10" s="70">
        <f t="shared" si="13"/>
        <v>0</v>
      </c>
      <c r="AU10" s="70">
        <f t="shared" si="14"/>
        <v>0</v>
      </c>
      <c r="AV10" s="2"/>
      <c r="AW10" s="66">
        <f t="shared" si="15"/>
        <v>0</v>
      </c>
      <c r="AX10" s="68">
        <f>_xlfn.IFNA(INDEX(Table394123[I $ p/ft2],MATCH(R10,Table394123[Film Type],0)),1.75)</f>
        <v>1.75</v>
      </c>
      <c r="AY10" s="69">
        <f>VLOOKUP(Z10,Table134931[#All],2,FALSE)</f>
        <v>1</v>
      </c>
      <c r="AZ10" s="68">
        <f t="shared" si="16"/>
        <v>1.75</v>
      </c>
      <c r="BA10" s="65">
        <f t="shared" si="17"/>
        <v>0</v>
      </c>
      <c r="BB10" s="64">
        <f t="shared" si="18"/>
        <v>0</v>
      </c>
      <c r="BC10" s="67">
        <f t="shared" si="19"/>
        <v>0</v>
      </c>
      <c r="BD10" s="66">
        <f t="shared" si="20"/>
        <v>0</v>
      </c>
      <c r="BE10" s="64"/>
      <c r="BF10" s="66">
        <f t="shared" si="21"/>
        <v>0</v>
      </c>
      <c r="BG10" s="66">
        <f t="shared" si="22"/>
        <v>0</v>
      </c>
      <c r="BH10" s="65">
        <f>VLOOKUP(AA10,Table155133[#All],2,FALSE)</f>
        <v>1</v>
      </c>
      <c r="BI10" s="65">
        <f t="shared" si="23"/>
        <v>0</v>
      </c>
      <c r="BJ10" s="64" t="str">
        <f t="shared" si="24"/>
        <v>0</v>
      </c>
      <c r="BL10" s="69"/>
      <c r="BM10" s="69" t="s">
        <v>254</v>
      </c>
      <c r="BQ10" s="1" t="s">
        <v>253</v>
      </c>
      <c r="BR10" s="1" t="s">
        <v>252</v>
      </c>
      <c r="BT10" s="1" t="s">
        <v>251</v>
      </c>
      <c r="BU10" s="1" t="s">
        <v>250</v>
      </c>
      <c r="BV10" s="1" t="s">
        <v>249</v>
      </c>
      <c r="BW10" s="6" t="s">
        <v>248</v>
      </c>
      <c r="BX10" s="6" t="s">
        <v>247</v>
      </c>
      <c r="BY10" s="6" t="s">
        <v>246</v>
      </c>
      <c r="BZ10" s="93"/>
      <c r="CA10" s="99">
        <v>2</v>
      </c>
      <c r="CB10" s="99">
        <v>30</v>
      </c>
      <c r="CC10" s="99" t="s">
        <v>245</v>
      </c>
      <c r="CD10" s="98">
        <v>1.5</v>
      </c>
      <c r="CE10" s="99" t="s">
        <v>233</v>
      </c>
      <c r="CF10" s="108">
        <v>2</v>
      </c>
      <c r="CG10" s="101" t="s">
        <v>244</v>
      </c>
      <c r="CH10" s="101"/>
      <c r="CI10" s="101"/>
      <c r="CJ10" s="94"/>
      <c r="CK10" s="86"/>
      <c r="CM10" s="2">
        <f t="shared" si="25"/>
        <v>0</v>
      </c>
      <c r="CN10" s="95"/>
      <c r="CO10" s="84">
        <f t="shared" si="26"/>
        <v>0</v>
      </c>
      <c r="CQ10" s="273" t="s">
        <v>243</v>
      </c>
      <c r="CR10" s="274"/>
    </row>
    <row r="11" spans="1:96" ht="12" customHeight="1" thickBot="1" x14ac:dyDescent="0.5">
      <c r="A11" s="83"/>
      <c r="B11" s="266"/>
      <c r="C11" s="267"/>
      <c r="D11" s="267"/>
      <c r="E11" s="268"/>
      <c r="F11" s="64"/>
      <c r="G11" s="64"/>
      <c r="H11" s="82"/>
      <c r="I11" s="81"/>
      <c r="J11" s="64"/>
      <c r="K11" s="80"/>
      <c r="L11" s="79">
        <f t="shared" si="0"/>
        <v>0</v>
      </c>
      <c r="M11" s="64"/>
      <c r="N11" s="64"/>
      <c r="O11" s="64"/>
      <c r="P11" s="80"/>
      <c r="Q11" s="79">
        <f t="shared" si="1"/>
        <v>0</v>
      </c>
      <c r="R11" s="269" t="s">
        <v>282</v>
      </c>
      <c r="S11" s="270"/>
      <c r="T11" s="266"/>
      <c r="U11" s="267"/>
      <c r="V11" s="267"/>
      <c r="W11" s="268"/>
      <c r="X11" s="271">
        <f>IFERROR(INDEX(Table394123[],MATCH(R11,Table394123[Film Type],),3),"")</f>
        <v>0</v>
      </c>
      <c r="Y11" s="271"/>
      <c r="Z11" s="78" t="s">
        <v>55</v>
      </c>
      <c r="AA11" s="78" t="s">
        <v>55</v>
      </c>
      <c r="AB11" s="77"/>
      <c r="AC11" s="76"/>
      <c r="AD11" s="75">
        <f t="shared" si="2"/>
        <v>0</v>
      </c>
      <c r="AG11" s="74">
        <f t="shared" si="3"/>
        <v>0</v>
      </c>
      <c r="AK11" s="65">
        <f t="shared" si="4"/>
        <v>0</v>
      </c>
      <c r="AL11" s="65">
        <f t="shared" si="5"/>
        <v>0</v>
      </c>
      <c r="AM11" s="65">
        <f t="shared" si="6"/>
        <v>0</v>
      </c>
      <c r="AN11" s="73">
        <f t="shared" si="7"/>
        <v>0</v>
      </c>
      <c r="AO11" s="65" t="str">
        <f t="shared" si="8"/>
        <v>0.00</v>
      </c>
      <c r="AP11" s="65" t="str">
        <f t="shared" si="9"/>
        <v>0</v>
      </c>
      <c r="AQ11" s="71">
        <f t="shared" si="10"/>
        <v>0</v>
      </c>
      <c r="AR11" s="72">
        <f t="shared" si="11"/>
        <v>0</v>
      </c>
      <c r="AS11" s="71">
        <f t="shared" si="12"/>
        <v>0</v>
      </c>
      <c r="AT11" s="70">
        <f t="shared" si="13"/>
        <v>0</v>
      </c>
      <c r="AU11" s="70">
        <f t="shared" si="14"/>
        <v>0</v>
      </c>
      <c r="AV11" s="2"/>
      <c r="AW11" s="66">
        <f t="shared" si="15"/>
        <v>0</v>
      </c>
      <c r="AX11" s="68">
        <f>_xlfn.IFNA(INDEX(Table394123[I $ p/ft2],MATCH(R11,Table394123[Film Type],0)),1.75)</f>
        <v>1.75</v>
      </c>
      <c r="AY11" s="69">
        <f>VLOOKUP(Z11,Table134931[#All],2,FALSE)</f>
        <v>1</v>
      </c>
      <c r="AZ11" s="68">
        <f t="shared" si="16"/>
        <v>1.75</v>
      </c>
      <c r="BA11" s="65">
        <f t="shared" si="17"/>
        <v>0</v>
      </c>
      <c r="BB11" s="64">
        <f t="shared" si="18"/>
        <v>0</v>
      </c>
      <c r="BC11" s="67">
        <f t="shared" si="19"/>
        <v>0</v>
      </c>
      <c r="BD11" s="66">
        <f t="shared" si="20"/>
        <v>0</v>
      </c>
      <c r="BE11" s="64"/>
      <c r="BF11" s="66">
        <f t="shared" si="21"/>
        <v>0</v>
      </c>
      <c r="BG11" s="66">
        <f t="shared" si="22"/>
        <v>0</v>
      </c>
      <c r="BH11" s="65">
        <f>VLOOKUP(AA11,Table155133[#All],2,FALSE)</f>
        <v>1</v>
      </c>
      <c r="BI11" s="65">
        <f t="shared" si="23"/>
        <v>0</v>
      </c>
      <c r="BJ11" s="64" t="str">
        <f t="shared" si="24"/>
        <v>0</v>
      </c>
      <c r="BL11" s="111" t="s">
        <v>242</v>
      </c>
      <c r="BM11" s="65">
        <f>IF(W164&lt;&gt;"",W164,W163)</f>
        <v>0</v>
      </c>
      <c r="BQ11" s="1" t="s">
        <v>241</v>
      </c>
      <c r="BR11" s="1" t="s">
        <v>240</v>
      </c>
      <c r="BT11" s="1" t="s">
        <v>239</v>
      </c>
      <c r="BU11" s="1" t="s">
        <v>238</v>
      </c>
      <c r="BV11" s="1" t="s">
        <v>237</v>
      </c>
      <c r="BW11" s="6" t="s">
        <v>236</v>
      </c>
      <c r="BX11" s="6" t="s">
        <v>235</v>
      </c>
      <c r="BY11" s="6" t="s">
        <v>234</v>
      </c>
      <c r="BZ11" s="93"/>
      <c r="CA11" s="110">
        <v>2.5</v>
      </c>
      <c r="CB11" s="99">
        <v>45</v>
      </c>
      <c r="CC11" s="99" t="s">
        <v>233</v>
      </c>
      <c r="CD11" s="98">
        <v>2</v>
      </c>
      <c r="CE11" s="109" t="s">
        <v>232</v>
      </c>
      <c r="CF11" s="108">
        <v>2</v>
      </c>
      <c r="CG11" s="107" t="s">
        <v>231</v>
      </c>
      <c r="CH11" s="101"/>
      <c r="CI11" s="101"/>
      <c r="CJ11" s="94"/>
      <c r="CK11" s="86" t="s">
        <v>230</v>
      </c>
      <c r="CL11" s="2">
        <v>1</v>
      </c>
      <c r="CM11" s="2">
        <f t="shared" si="25"/>
        <v>1.1000000000000001</v>
      </c>
      <c r="CN11" s="87">
        <v>1.5</v>
      </c>
      <c r="CO11" s="84">
        <f t="shared" si="26"/>
        <v>0</v>
      </c>
      <c r="CQ11" s="106">
        <v>1630</v>
      </c>
      <c r="CR11" s="105">
        <f>(CQ11+50)*1.0755</f>
        <v>1806.84</v>
      </c>
    </row>
    <row r="12" spans="1:96" ht="12" customHeight="1" x14ac:dyDescent="0.45">
      <c r="A12" s="83"/>
      <c r="B12" s="266"/>
      <c r="C12" s="267"/>
      <c r="D12" s="267"/>
      <c r="E12" s="268"/>
      <c r="F12" s="64"/>
      <c r="G12" s="64"/>
      <c r="H12" s="82"/>
      <c r="I12" s="81"/>
      <c r="J12" s="64"/>
      <c r="K12" s="80"/>
      <c r="L12" s="79">
        <f t="shared" si="0"/>
        <v>0</v>
      </c>
      <c r="M12" s="64"/>
      <c r="N12" s="64"/>
      <c r="O12" s="64"/>
      <c r="P12" s="80"/>
      <c r="Q12" s="79">
        <f t="shared" si="1"/>
        <v>0</v>
      </c>
      <c r="R12" s="269" t="s">
        <v>282</v>
      </c>
      <c r="S12" s="270"/>
      <c r="T12" s="266"/>
      <c r="U12" s="267"/>
      <c r="V12" s="267"/>
      <c r="W12" s="268"/>
      <c r="X12" s="271">
        <f>IFERROR(INDEX(Table394123[],MATCH(R12,Table394123[Film Type],),3),"")</f>
        <v>0</v>
      </c>
      <c r="Y12" s="271"/>
      <c r="Z12" s="78" t="s">
        <v>55</v>
      </c>
      <c r="AA12" s="78" t="s">
        <v>55</v>
      </c>
      <c r="AB12" s="77"/>
      <c r="AC12" s="76"/>
      <c r="AD12" s="75">
        <f t="shared" si="2"/>
        <v>0</v>
      </c>
      <c r="AG12" s="74">
        <f t="shared" si="3"/>
        <v>0</v>
      </c>
      <c r="AI12" s="104" t="s">
        <v>229</v>
      </c>
      <c r="AK12" s="65">
        <f t="shared" si="4"/>
        <v>0</v>
      </c>
      <c r="AL12" s="65">
        <f t="shared" si="5"/>
        <v>0</v>
      </c>
      <c r="AM12" s="65">
        <f t="shared" si="6"/>
        <v>0</v>
      </c>
      <c r="AN12" s="73">
        <f t="shared" si="7"/>
        <v>0</v>
      </c>
      <c r="AO12" s="65" t="str">
        <f t="shared" si="8"/>
        <v>0.00</v>
      </c>
      <c r="AP12" s="65" t="str">
        <f t="shared" si="9"/>
        <v>0</v>
      </c>
      <c r="AQ12" s="71">
        <f t="shared" si="10"/>
        <v>0</v>
      </c>
      <c r="AR12" s="72">
        <f t="shared" si="11"/>
        <v>0</v>
      </c>
      <c r="AS12" s="71">
        <f t="shared" si="12"/>
        <v>0</v>
      </c>
      <c r="AT12" s="70">
        <f t="shared" si="13"/>
        <v>0</v>
      </c>
      <c r="AU12" s="70">
        <f t="shared" si="14"/>
        <v>0</v>
      </c>
      <c r="AV12" s="2"/>
      <c r="AW12" s="66">
        <f t="shared" si="15"/>
        <v>0</v>
      </c>
      <c r="AX12" s="68">
        <f>_xlfn.IFNA(INDEX(Table394123[I $ p/ft2],MATCH(R12,Table394123[Film Type],0)),1.75)</f>
        <v>1.75</v>
      </c>
      <c r="AY12" s="69">
        <f>VLOOKUP(Z12,Table134931[#All],2,FALSE)</f>
        <v>1</v>
      </c>
      <c r="AZ12" s="68">
        <f t="shared" si="16"/>
        <v>1.75</v>
      </c>
      <c r="BA12" s="65">
        <f t="shared" si="17"/>
        <v>0</v>
      </c>
      <c r="BB12" s="64">
        <f t="shared" si="18"/>
        <v>0</v>
      </c>
      <c r="BC12" s="67">
        <f t="shared" si="19"/>
        <v>0</v>
      </c>
      <c r="BD12" s="66">
        <f t="shared" si="20"/>
        <v>0</v>
      </c>
      <c r="BE12" s="64"/>
      <c r="BF12" s="66">
        <f t="shared" si="21"/>
        <v>0</v>
      </c>
      <c r="BG12" s="66">
        <f t="shared" si="22"/>
        <v>0</v>
      </c>
      <c r="BH12" s="65">
        <f>VLOOKUP(AA12,Table155133[#All],2,FALSE)</f>
        <v>1</v>
      </c>
      <c r="BI12" s="65">
        <f t="shared" si="23"/>
        <v>0</v>
      </c>
      <c r="BJ12" s="64" t="str">
        <f t="shared" si="24"/>
        <v>0</v>
      </c>
      <c r="BL12" s="103" t="s">
        <v>228</v>
      </c>
      <c r="BM12" s="65">
        <f>IF(W171&lt;&gt;"",W171,W170)</f>
        <v>0</v>
      </c>
      <c r="BQ12" s="1" t="s">
        <v>227</v>
      </c>
      <c r="BR12" s="1" t="s">
        <v>226</v>
      </c>
      <c r="BT12" s="1" t="s">
        <v>225</v>
      </c>
      <c r="BW12" s="6" t="s">
        <v>224</v>
      </c>
      <c r="BX12" s="6" t="s">
        <v>223</v>
      </c>
      <c r="BY12" s="6" t="s">
        <v>222</v>
      </c>
      <c r="BZ12" s="93"/>
      <c r="CA12" s="102">
        <v>3</v>
      </c>
      <c r="CB12" s="102">
        <v>60</v>
      </c>
      <c r="CC12" s="99"/>
      <c r="CD12" s="98"/>
      <c r="CE12" s="6"/>
      <c r="CF12" s="6"/>
      <c r="CG12" s="101" t="s">
        <v>221</v>
      </c>
      <c r="CH12" s="101"/>
      <c r="CI12" s="101"/>
      <c r="CK12" s="86" t="s">
        <v>220</v>
      </c>
      <c r="CL12" s="2">
        <v>1.25</v>
      </c>
      <c r="CM12" s="2">
        <f t="shared" si="25"/>
        <v>1.375</v>
      </c>
      <c r="CN12" s="87">
        <v>1.5</v>
      </c>
      <c r="CO12" s="84">
        <f t="shared" si="26"/>
        <v>0</v>
      </c>
    </row>
    <row r="13" spans="1:96" ht="12" customHeight="1" thickBot="1" x14ac:dyDescent="0.5">
      <c r="A13" s="83"/>
      <c r="B13" s="266"/>
      <c r="C13" s="267"/>
      <c r="D13" s="267"/>
      <c r="E13" s="268"/>
      <c r="F13" s="64"/>
      <c r="G13" s="64"/>
      <c r="H13" s="82"/>
      <c r="I13" s="81"/>
      <c r="J13" s="64"/>
      <c r="K13" s="80"/>
      <c r="L13" s="79">
        <f t="shared" si="0"/>
        <v>0</v>
      </c>
      <c r="M13" s="64"/>
      <c r="N13" s="64"/>
      <c r="O13" s="64"/>
      <c r="P13" s="80"/>
      <c r="Q13" s="79">
        <f t="shared" si="1"/>
        <v>0</v>
      </c>
      <c r="R13" s="269" t="s">
        <v>282</v>
      </c>
      <c r="S13" s="270"/>
      <c r="T13" s="266"/>
      <c r="U13" s="267"/>
      <c r="V13" s="267"/>
      <c r="W13" s="268"/>
      <c r="X13" s="271">
        <f>IFERROR(INDEX(Table394123[],MATCH(R13,Table394123[Film Type],),3),"")</f>
        <v>0</v>
      </c>
      <c r="Y13" s="271"/>
      <c r="Z13" s="78" t="s">
        <v>55</v>
      </c>
      <c r="AA13" s="78" t="s">
        <v>55</v>
      </c>
      <c r="AB13" s="77"/>
      <c r="AC13" s="76"/>
      <c r="AD13" s="75">
        <f t="shared" si="2"/>
        <v>0</v>
      </c>
      <c r="AG13" s="74">
        <f t="shared" si="3"/>
        <v>0</v>
      </c>
      <c r="AI13" s="100" t="b">
        <f>IF(Z2="Riverside/San B/Orange","$100",IF(Z2="San Diego","$88"))</f>
        <v>0</v>
      </c>
      <c r="AK13" s="65">
        <f t="shared" si="4"/>
        <v>0</v>
      </c>
      <c r="AL13" s="65">
        <f t="shared" si="5"/>
        <v>0</v>
      </c>
      <c r="AM13" s="65">
        <f t="shared" si="6"/>
        <v>0</v>
      </c>
      <c r="AN13" s="73">
        <f t="shared" si="7"/>
        <v>0</v>
      </c>
      <c r="AO13" s="65" t="str">
        <f t="shared" si="8"/>
        <v>0.00</v>
      </c>
      <c r="AP13" s="65" t="str">
        <f t="shared" si="9"/>
        <v>0</v>
      </c>
      <c r="AQ13" s="71">
        <f t="shared" si="10"/>
        <v>0</v>
      </c>
      <c r="AR13" s="72">
        <f t="shared" si="11"/>
        <v>0</v>
      </c>
      <c r="AS13" s="71">
        <f t="shared" si="12"/>
        <v>0</v>
      </c>
      <c r="AT13" s="70">
        <f t="shared" si="13"/>
        <v>0</v>
      </c>
      <c r="AU13" s="70">
        <f t="shared" si="14"/>
        <v>0</v>
      </c>
      <c r="AV13" s="2"/>
      <c r="AW13" s="66">
        <f t="shared" si="15"/>
        <v>0</v>
      </c>
      <c r="AX13" s="68">
        <f>_xlfn.IFNA(INDEX(Table394123[I $ p/ft2],MATCH(R13,Table394123[Film Type],0)),1.75)</f>
        <v>1.75</v>
      </c>
      <c r="AY13" s="69">
        <f>VLOOKUP(Z13,Table134931[#All],2,FALSE)</f>
        <v>1</v>
      </c>
      <c r="AZ13" s="68">
        <f t="shared" si="16"/>
        <v>1.75</v>
      </c>
      <c r="BA13" s="65">
        <f t="shared" si="17"/>
        <v>0</v>
      </c>
      <c r="BB13" s="64">
        <f t="shared" si="18"/>
        <v>0</v>
      </c>
      <c r="BC13" s="67">
        <f t="shared" si="19"/>
        <v>0</v>
      </c>
      <c r="BD13" s="66">
        <f t="shared" si="20"/>
        <v>0</v>
      </c>
      <c r="BE13" s="64"/>
      <c r="BF13" s="66">
        <f t="shared" si="21"/>
        <v>0</v>
      </c>
      <c r="BG13" s="66">
        <f t="shared" si="22"/>
        <v>0</v>
      </c>
      <c r="BH13" s="65">
        <f>VLOOKUP(AA13,Table155133[#All],2,FALSE)</f>
        <v>1</v>
      </c>
      <c r="BI13" s="65">
        <f t="shared" si="23"/>
        <v>0</v>
      </c>
      <c r="BJ13" s="64" t="str">
        <f t="shared" si="24"/>
        <v>0</v>
      </c>
      <c r="BM13" s="89"/>
      <c r="BQ13" s="1" t="s">
        <v>219</v>
      </c>
      <c r="BR13" s="1" t="s">
        <v>218</v>
      </c>
      <c r="BW13" s="6" t="s">
        <v>217</v>
      </c>
      <c r="BX13" s="6" t="s">
        <v>216</v>
      </c>
      <c r="BY13" s="6" t="s">
        <v>215</v>
      </c>
      <c r="BZ13" s="93"/>
      <c r="CA13" s="90">
        <v>3.5</v>
      </c>
      <c r="CB13" s="90">
        <v>90</v>
      </c>
      <c r="CC13" s="99"/>
      <c r="CD13" s="98"/>
      <c r="CE13" s="6"/>
      <c r="CF13" s="6"/>
      <c r="CG13" s="97"/>
      <c r="CH13" s="97"/>
      <c r="CI13" s="97"/>
      <c r="CJ13" s="6"/>
      <c r="CK13" s="86" t="s">
        <v>214</v>
      </c>
      <c r="CL13" s="2">
        <v>1.25</v>
      </c>
      <c r="CM13" s="2">
        <f t="shared" si="25"/>
        <v>1.375</v>
      </c>
      <c r="CN13" s="87">
        <v>1.5</v>
      </c>
      <c r="CO13" s="84">
        <f t="shared" si="26"/>
        <v>0</v>
      </c>
      <c r="CQ13" s="1">
        <v>315</v>
      </c>
      <c r="CR13" s="166">
        <v>5.15</v>
      </c>
    </row>
    <row r="14" spans="1:96" ht="12" customHeight="1" x14ac:dyDescent="0.45">
      <c r="A14" s="83"/>
      <c r="B14" s="266"/>
      <c r="C14" s="267"/>
      <c r="D14" s="267"/>
      <c r="E14" s="268"/>
      <c r="F14" s="64"/>
      <c r="G14" s="64"/>
      <c r="H14" s="82"/>
      <c r="I14" s="81"/>
      <c r="J14" s="64"/>
      <c r="K14" s="80"/>
      <c r="L14" s="79">
        <f t="shared" si="0"/>
        <v>0</v>
      </c>
      <c r="M14" s="64"/>
      <c r="N14" s="64"/>
      <c r="O14" s="64"/>
      <c r="P14" s="80"/>
      <c r="Q14" s="79">
        <f t="shared" si="1"/>
        <v>0</v>
      </c>
      <c r="R14" s="269" t="s">
        <v>282</v>
      </c>
      <c r="S14" s="270"/>
      <c r="T14" s="266"/>
      <c r="U14" s="267"/>
      <c r="V14" s="267"/>
      <c r="W14" s="268"/>
      <c r="X14" s="271">
        <f>IFERROR(INDEX(Table394123[],MATCH(R14,Table394123[Film Type],),3),"")</f>
        <v>0</v>
      </c>
      <c r="Y14" s="271"/>
      <c r="Z14" s="78" t="s">
        <v>55</v>
      </c>
      <c r="AA14" s="78" t="s">
        <v>55</v>
      </c>
      <c r="AB14" s="77"/>
      <c r="AC14" s="76"/>
      <c r="AD14" s="75">
        <f t="shared" si="2"/>
        <v>0</v>
      </c>
      <c r="AG14" s="74">
        <f t="shared" si="3"/>
        <v>0</v>
      </c>
      <c r="AK14" s="65">
        <f t="shared" si="4"/>
        <v>0</v>
      </c>
      <c r="AL14" s="65">
        <f t="shared" si="5"/>
        <v>0</v>
      </c>
      <c r="AM14" s="65">
        <f t="shared" si="6"/>
        <v>0</v>
      </c>
      <c r="AN14" s="73">
        <f t="shared" si="7"/>
        <v>0</v>
      </c>
      <c r="AO14" s="65" t="str">
        <f t="shared" si="8"/>
        <v>0.00</v>
      </c>
      <c r="AP14" s="65" t="str">
        <f t="shared" si="9"/>
        <v>0</v>
      </c>
      <c r="AQ14" s="71">
        <f t="shared" si="10"/>
        <v>0</v>
      </c>
      <c r="AR14" s="72">
        <f t="shared" si="11"/>
        <v>0</v>
      </c>
      <c r="AS14" s="71">
        <f t="shared" si="12"/>
        <v>0</v>
      </c>
      <c r="AT14" s="70">
        <f t="shared" si="13"/>
        <v>0</v>
      </c>
      <c r="AU14" s="70">
        <f t="shared" si="14"/>
        <v>0</v>
      </c>
      <c r="AV14" s="2"/>
      <c r="AW14" s="66">
        <f t="shared" si="15"/>
        <v>0</v>
      </c>
      <c r="AX14" s="68">
        <f>_xlfn.IFNA(INDEX(Table394123[I $ p/ft2],MATCH(R14,Table394123[Film Type],0)),1.75)</f>
        <v>1.75</v>
      </c>
      <c r="AY14" s="69">
        <f>VLOOKUP(Z14,Table134931[#All],2,FALSE)</f>
        <v>1</v>
      </c>
      <c r="AZ14" s="68">
        <f t="shared" si="16"/>
        <v>1.75</v>
      </c>
      <c r="BA14" s="65">
        <f t="shared" si="17"/>
        <v>0</v>
      </c>
      <c r="BB14" s="64">
        <f t="shared" si="18"/>
        <v>0</v>
      </c>
      <c r="BC14" s="67">
        <f t="shared" si="19"/>
        <v>0</v>
      </c>
      <c r="BD14" s="66">
        <f t="shared" si="20"/>
        <v>0</v>
      </c>
      <c r="BE14" s="64"/>
      <c r="BF14" s="66">
        <f t="shared" si="21"/>
        <v>0</v>
      </c>
      <c r="BG14" s="66">
        <f t="shared" si="22"/>
        <v>0</v>
      </c>
      <c r="BH14" s="65">
        <f>VLOOKUP(AA14,Table155133[#All],2,FALSE)</f>
        <v>1</v>
      </c>
      <c r="BI14" s="65">
        <f t="shared" si="23"/>
        <v>0</v>
      </c>
      <c r="BJ14" s="64" t="str">
        <f t="shared" si="24"/>
        <v>0</v>
      </c>
      <c r="BL14" s="89"/>
      <c r="BM14" s="89"/>
      <c r="BQ14" s="1" t="s">
        <v>213</v>
      </c>
      <c r="BW14" s="6" t="s">
        <v>212</v>
      </c>
      <c r="BX14" s="6" t="s">
        <v>211</v>
      </c>
      <c r="BY14" s="6" t="s">
        <v>210</v>
      </c>
      <c r="BZ14" s="93"/>
      <c r="CA14" s="90">
        <v>4</v>
      </c>
      <c r="CB14" s="90">
        <v>120</v>
      </c>
      <c r="CC14" s="94"/>
      <c r="CD14" s="96"/>
      <c r="CE14" s="6"/>
      <c r="CF14" s="6"/>
      <c r="CG14" s="92"/>
      <c r="CH14" s="92"/>
      <c r="CI14" s="92"/>
      <c r="CJ14" s="6"/>
      <c r="CK14" s="86" t="s">
        <v>209</v>
      </c>
      <c r="CL14" s="2">
        <v>1.25</v>
      </c>
      <c r="CM14" s="2">
        <f t="shared" si="25"/>
        <v>1.375</v>
      </c>
      <c r="CN14" s="87">
        <v>1.5</v>
      </c>
      <c r="CO14" s="84">
        <f t="shared" si="26"/>
        <v>0</v>
      </c>
      <c r="CQ14" s="1">
        <f>315*5.15</f>
        <v>1622.25</v>
      </c>
    </row>
    <row r="15" spans="1:96" ht="12" customHeight="1" x14ac:dyDescent="0.45">
      <c r="A15" s="83"/>
      <c r="B15" s="266"/>
      <c r="C15" s="267"/>
      <c r="D15" s="267"/>
      <c r="E15" s="268"/>
      <c r="F15" s="64"/>
      <c r="G15" s="64"/>
      <c r="H15" s="82"/>
      <c r="I15" s="81"/>
      <c r="J15" s="64"/>
      <c r="K15" s="80"/>
      <c r="L15" s="79">
        <f t="shared" si="0"/>
        <v>0</v>
      </c>
      <c r="M15" s="64"/>
      <c r="N15" s="64"/>
      <c r="O15" s="64"/>
      <c r="P15" s="80"/>
      <c r="Q15" s="79">
        <f t="shared" si="1"/>
        <v>0</v>
      </c>
      <c r="R15" s="269" t="s">
        <v>282</v>
      </c>
      <c r="S15" s="270"/>
      <c r="T15" s="266"/>
      <c r="U15" s="267"/>
      <c r="V15" s="267"/>
      <c r="W15" s="268"/>
      <c r="X15" s="271">
        <f>IFERROR(INDEX(Table394123[],MATCH(R15,Table394123[Film Type],),3),"")</f>
        <v>0</v>
      </c>
      <c r="Y15" s="271"/>
      <c r="Z15" s="78" t="s">
        <v>55</v>
      </c>
      <c r="AA15" s="78" t="s">
        <v>55</v>
      </c>
      <c r="AB15" s="77"/>
      <c r="AC15" s="76"/>
      <c r="AD15" s="75">
        <f t="shared" si="2"/>
        <v>0</v>
      </c>
      <c r="AG15" s="74">
        <f t="shared" si="3"/>
        <v>0</v>
      </c>
      <c r="AK15" s="65">
        <f t="shared" si="4"/>
        <v>0</v>
      </c>
      <c r="AL15" s="65">
        <f t="shared" si="5"/>
        <v>0</v>
      </c>
      <c r="AM15" s="65">
        <f t="shared" si="6"/>
        <v>0</v>
      </c>
      <c r="AN15" s="73">
        <f t="shared" si="7"/>
        <v>0</v>
      </c>
      <c r="AO15" s="65" t="str">
        <f t="shared" si="8"/>
        <v>0.00</v>
      </c>
      <c r="AP15" s="65" t="str">
        <f t="shared" si="9"/>
        <v>0</v>
      </c>
      <c r="AQ15" s="71">
        <f t="shared" si="10"/>
        <v>0</v>
      </c>
      <c r="AR15" s="72">
        <f t="shared" si="11"/>
        <v>0</v>
      </c>
      <c r="AS15" s="71">
        <f t="shared" si="12"/>
        <v>0</v>
      </c>
      <c r="AT15" s="70">
        <f t="shared" si="13"/>
        <v>0</v>
      </c>
      <c r="AU15" s="70">
        <f t="shared" si="14"/>
        <v>0</v>
      </c>
      <c r="AV15" s="2"/>
      <c r="AW15" s="66">
        <f t="shared" si="15"/>
        <v>0</v>
      </c>
      <c r="AX15" s="68">
        <f>_xlfn.IFNA(INDEX(Table394123[I $ p/ft2],MATCH(R15,Table394123[Film Type],0)),1.75)</f>
        <v>1.75</v>
      </c>
      <c r="AY15" s="69">
        <f>VLOOKUP(Z15,Table134931[#All],2,FALSE)</f>
        <v>1</v>
      </c>
      <c r="AZ15" s="68">
        <f t="shared" si="16"/>
        <v>1.75</v>
      </c>
      <c r="BA15" s="65">
        <f t="shared" si="17"/>
        <v>0</v>
      </c>
      <c r="BB15" s="64">
        <f t="shared" si="18"/>
        <v>0</v>
      </c>
      <c r="BC15" s="67">
        <f t="shared" si="19"/>
        <v>0</v>
      </c>
      <c r="BD15" s="66">
        <f t="shared" si="20"/>
        <v>0</v>
      </c>
      <c r="BE15" s="64"/>
      <c r="BF15" s="66">
        <f t="shared" si="21"/>
        <v>0</v>
      </c>
      <c r="BG15" s="66">
        <f t="shared" si="22"/>
        <v>0</v>
      </c>
      <c r="BH15" s="65">
        <f>VLOOKUP(AA15,Table155133[#All],2,FALSE)</f>
        <v>1</v>
      </c>
      <c r="BI15" s="65">
        <f t="shared" si="23"/>
        <v>0</v>
      </c>
      <c r="BJ15" s="64" t="str">
        <f t="shared" si="24"/>
        <v>0</v>
      </c>
      <c r="BL15" s="89"/>
      <c r="BM15" s="89"/>
      <c r="BQ15" s="1" t="s">
        <v>208</v>
      </c>
      <c r="BW15" s="6" t="s">
        <v>207</v>
      </c>
      <c r="BY15" s="6" t="s">
        <v>206</v>
      </c>
      <c r="BZ15" s="93"/>
      <c r="CA15" s="90">
        <v>4.5</v>
      </c>
      <c r="CB15" s="6"/>
      <c r="CC15" s="6"/>
      <c r="CE15" s="6"/>
      <c r="CF15" s="6"/>
      <c r="CG15" s="92"/>
      <c r="CH15" s="92"/>
      <c r="CI15" s="92"/>
      <c r="CJ15" s="6"/>
      <c r="CK15" s="86"/>
      <c r="CM15" s="2">
        <f t="shared" si="25"/>
        <v>0</v>
      </c>
      <c r="CN15" s="95"/>
      <c r="CO15" s="84">
        <f t="shared" si="26"/>
        <v>0</v>
      </c>
    </row>
    <row r="16" spans="1:96" ht="12" customHeight="1" x14ac:dyDescent="0.45">
      <c r="A16" s="83"/>
      <c r="B16" s="266"/>
      <c r="C16" s="267"/>
      <c r="D16" s="267"/>
      <c r="E16" s="268"/>
      <c r="F16" s="64"/>
      <c r="G16" s="64"/>
      <c r="H16" s="82"/>
      <c r="I16" s="81"/>
      <c r="J16" s="64"/>
      <c r="K16" s="80"/>
      <c r="L16" s="79">
        <f t="shared" si="0"/>
        <v>0</v>
      </c>
      <c r="M16" s="64"/>
      <c r="N16" s="64"/>
      <c r="O16" s="64"/>
      <c r="P16" s="80"/>
      <c r="Q16" s="79">
        <f t="shared" si="1"/>
        <v>0</v>
      </c>
      <c r="R16" s="269" t="s">
        <v>282</v>
      </c>
      <c r="S16" s="270"/>
      <c r="T16" s="266"/>
      <c r="U16" s="267"/>
      <c r="V16" s="267"/>
      <c r="W16" s="268"/>
      <c r="X16" s="271">
        <f>IFERROR(INDEX(Table394123[],MATCH(R16,Table394123[Film Type],),3),"")</f>
        <v>0</v>
      </c>
      <c r="Y16" s="271"/>
      <c r="Z16" s="78" t="s">
        <v>55</v>
      </c>
      <c r="AA16" s="78" t="s">
        <v>55</v>
      </c>
      <c r="AB16" s="77"/>
      <c r="AC16" s="76"/>
      <c r="AD16" s="75">
        <f t="shared" si="2"/>
        <v>0</v>
      </c>
      <c r="AG16" s="74">
        <f t="shared" si="3"/>
        <v>0</v>
      </c>
      <c r="AK16" s="65">
        <f t="shared" si="4"/>
        <v>0</v>
      </c>
      <c r="AL16" s="65">
        <f t="shared" si="5"/>
        <v>0</v>
      </c>
      <c r="AM16" s="65">
        <f t="shared" si="6"/>
        <v>0</v>
      </c>
      <c r="AN16" s="73">
        <f t="shared" si="7"/>
        <v>0</v>
      </c>
      <c r="AO16" s="65" t="str">
        <f t="shared" si="8"/>
        <v>0.00</v>
      </c>
      <c r="AP16" s="65" t="str">
        <f t="shared" si="9"/>
        <v>0</v>
      </c>
      <c r="AQ16" s="71">
        <f t="shared" si="10"/>
        <v>0</v>
      </c>
      <c r="AR16" s="72">
        <f t="shared" si="11"/>
        <v>0</v>
      </c>
      <c r="AS16" s="71">
        <f t="shared" si="12"/>
        <v>0</v>
      </c>
      <c r="AT16" s="70">
        <f t="shared" si="13"/>
        <v>0</v>
      </c>
      <c r="AU16" s="70">
        <f t="shared" si="14"/>
        <v>0</v>
      </c>
      <c r="AV16" s="2"/>
      <c r="AW16" s="66">
        <f t="shared" si="15"/>
        <v>0</v>
      </c>
      <c r="AX16" s="68">
        <f>_xlfn.IFNA(INDEX(Table394123[I $ p/ft2],MATCH(R16,Table394123[Film Type],0)),1.75)</f>
        <v>1.75</v>
      </c>
      <c r="AY16" s="69">
        <f>VLOOKUP(Z16,Table134931[#All],2,FALSE)</f>
        <v>1</v>
      </c>
      <c r="AZ16" s="68">
        <f t="shared" si="16"/>
        <v>1.75</v>
      </c>
      <c r="BA16" s="65">
        <f t="shared" si="17"/>
        <v>0</v>
      </c>
      <c r="BB16" s="64">
        <f t="shared" si="18"/>
        <v>0</v>
      </c>
      <c r="BC16" s="67">
        <f t="shared" si="19"/>
        <v>0</v>
      </c>
      <c r="BD16" s="66">
        <f t="shared" si="20"/>
        <v>0</v>
      </c>
      <c r="BE16" s="64"/>
      <c r="BF16" s="66">
        <f t="shared" si="21"/>
        <v>0</v>
      </c>
      <c r="BG16" s="66">
        <f t="shared" si="22"/>
        <v>0</v>
      </c>
      <c r="BH16" s="65">
        <f>VLOOKUP(AA16,Table155133[#All],2,FALSE)</f>
        <v>1</v>
      </c>
      <c r="BI16" s="65">
        <f t="shared" si="23"/>
        <v>0</v>
      </c>
      <c r="BJ16" s="64" t="str">
        <f t="shared" si="24"/>
        <v>0</v>
      </c>
      <c r="BL16" s="89"/>
      <c r="BM16" s="89"/>
      <c r="BW16" s="6" t="s">
        <v>205</v>
      </c>
      <c r="BY16" s="6" t="s">
        <v>204</v>
      </c>
      <c r="BZ16" s="93"/>
      <c r="CA16" s="90">
        <v>5</v>
      </c>
      <c r="CB16" s="6"/>
      <c r="CC16" s="6"/>
      <c r="CE16" s="6"/>
      <c r="CF16" s="6"/>
      <c r="CG16" s="92"/>
      <c r="CH16" s="92"/>
      <c r="CI16" s="92"/>
      <c r="CJ16" s="6"/>
      <c r="CK16" s="86" t="s">
        <v>203</v>
      </c>
      <c r="CL16" s="2">
        <v>2.33</v>
      </c>
      <c r="CM16" s="2">
        <f t="shared" si="25"/>
        <v>2.5630000000000002</v>
      </c>
      <c r="CN16" s="87">
        <v>1.5</v>
      </c>
      <c r="CO16" s="84">
        <f t="shared" si="26"/>
        <v>0</v>
      </c>
    </row>
    <row r="17" spans="1:93" ht="12" customHeight="1" x14ac:dyDescent="0.45">
      <c r="A17" s="83"/>
      <c r="B17" s="266"/>
      <c r="C17" s="267"/>
      <c r="D17" s="267"/>
      <c r="E17" s="268"/>
      <c r="F17" s="64"/>
      <c r="G17" s="64"/>
      <c r="H17" s="82"/>
      <c r="I17" s="81"/>
      <c r="J17" s="64"/>
      <c r="K17" s="80"/>
      <c r="L17" s="79">
        <f t="shared" si="0"/>
        <v>0</v>
      </c>
      <c r="M17" s="64"/>
      <c r="N17" s="64"/>
      <c r="O17" s="64"/>
      <c r="P17" s="80"/>
      <c r="Q17" s="79">
        <f t="shared" si="1"/>
        <v>0</v>
      </c>
      <c r="R17" s="269" t="s">
        <v>282</v>
      </c>
      <c r="S17" s="270"/>
      <c r="T17" s="266"/>
      <c r="U17" s="267"/>
      <c r="V17" s="267"/>
      <c r="W17" s="268"/>
      <c r="X17" s="271">
        <f>IFERROR(INDEX(Table394123[],MATCH(R17,Table394123[Film Type],),3),"")</f>
        <v>0</v>
      </c>
      <c r="Y17" s="271"/>
      <c r="Z17" s="78" t="s">
        <v>55</v>
      </c>
      <c r="AA17" s="78" t="s">
        <v>55</v>
      </c>
      <c r="AB17" s="77"/>
      <c r="AC17" s="76"/>
      <c r="AD17" s="75">
        <f t="shared" si="2"/>
        <v>0</v>
      </c>
      <c r="AG17" s="74">
        <f t="shared" si="3"/>
        <v>0</v>
      </c>
      <c r="AK17" s="65">
        <f t="shared" si="4"/>
        <v>0</v>
      </c>
      <c r="AL17" s="65">
        <f t="shared" si="5"/>
        <v>0</v>
      </c>
      <c r="AM17" s="65">
        <f t="shared" si="6"/>
        <v>0</v>
      </c>
      <c r="AN17" s="73">
        <f t="shared" si="7"/>
        <v>0</v>
      </c>
      <c r="AO17" s="65" t="str">
        <f t="shared" si="8"/>
        <v>0.00</v>
      </c>
      <c r="AP17" s="65" t="str">
        <f t="shared" si="9"/>
        <v>0</v>
      </c>
      <c r="AQ17" s="71">
        <f t="shared" si="10"/>
        <v>0</v>
      </c>
      <c r="AR17" s="72">
        <f t="shared" si="11"/>
        <v>0</v>
      </c>
      <c r="AS17" s="71">
        <f t="shared" si="12"/>
        <v>0</v>
      </c>
      <c r="AT17" s="70">
        <f t="shared" si="13"/>
        <v>0</v>
      </c>
      <c r="AU17" s="70">
        <f t="shared" si="14"/>
        <v>0</v>
      </c>
      <c r="AV17" s="2"/>
      <c r="AW17" s="66">
        <f t="shared" si="15"/>
        <v>0</v>
      </c>
      <c r="AX17" s="68">
        <f>_xlfn.IFNA(INDEX(Table394123[I $ p/ft2],MATCH(R17,Table394123[Film Type],0)),1.75)</f>
        <v>1.75</v>
      </c>
      <c r="AY17" s="69">
        <f>VLOOKUP(Z17,Table134931[#All],2,FALSE)</f>
        <v>1</v>
      </c>
      <c r="AZ17" s="68">
        <f t="shared" si="16"/>
        <v>1.75</v>
      </c>
      <c r="BA17" s="65">
        <f t="shared" si="17"/>
        <v>0</v>
      </c>
      <c r="BB17" s="64">
        <f t="shared" si="18"/>
        <v>0</v>
      </c>
      <c r="BC17" s="67">
        <f t="shared" si="19"/>
        <v>0</v>
      </c>
      <c r="BD17" s="66">
        <f t="shared" si="20"/>
        <v>0</v>
      </c>
      <c r="BE17" s="64"/>
      <c r="BF17" s="66">
        <f t="shared" si="21"/>
        <v>0</v>
      </c>
      <c r="BG17" s="66">
        <f t="shared" si="22"/>
        <v>0</v>
      </c>
      <c r="BH17" s="65">
        <f>VLOOKUP(AA17,Table155133[#All],2,FALSE)</f>
        <v>1</v>
      </c>
      <c r="BI17" s="65">
        <f t="shared" si="23"/>
        <v>0</v>
      </c>
      <c r="BJ17" s="64" t="str">
        <f t="shared" si="24"/>
        <v>0</v>
      </c>
      <c r="BL17" s="89"/>
      <c r="BM17" s="89"/>
      <c r="BW17" s="6" t="s">
        <v>202</v>
      </c>
      <c r="BY17" s="6" t="s">
        <v>201</v>
      </c>
      <c r="BZ17" s="93"/>
      <c r="CA17" s="90">
        <v>5.5</v>
      </c>
      <c r="CB17" s="6"/>
      <c r="CC17" s="6"/>
      <c r="CE17" s="6"/>
      <c r="CF17" s="6"/>
      <c r="CG17" s="94"/>
      <c r="CH17" s="94"/>
      <c r="CI17" s="94"/>
      <c r="CJ17" s="6"/>
      <c r="CK17" s="86" t="s">
        <v>200</v>
      </c>
      <c r="CL17" s="2">
        <v>2.21</v>
      </c>
      <c r="CM17" s="2">
        <f t="shared" si="25"/>
        <v>2.431</v>
      </c>
      <c r="CN17" s="87">
        <v>1.5</v>
      </c>
      <c r="CO17" s="84">
        <f t="shared" si="26"/>
        <v>0</v>
      </c>
    </row>
    <row r="18" spans="1:93" ht="12" customHeight="1" x14ac:dyDescent="0.45">
      <c r="A18" s="83"/>
      <c r="B18" s="266"/>
      <c r="C18" s="267"/>
      <c r="D18" s="267"/>
      <c r="E18" s="268"/>
      <c r="F18" s="64"/>
      <c r="G18" s="64"/>
      <c r="H18" s="82"/>
      <c r="I18" s="81"/>
      <c r="J18" s="64"/>
      <c r="K18" s="80"/>
      <c r="L18" s="79">
        <f t="shared" si="0"/>
        <v>0</v>
      </c>
      <c r="M18" s="64"/>
      <c r="N18" s="64"/>
      <c r="O18" s="64"/>
      <c r="P18" s="80"/>
      <c r="Q18" s="79">
        <f t="shared" si="1"/>
        <v>0</v>
      </c>
      <c r="R18" s="269" t="s">
        <v>282</v>
      </c>
      <c r="S18" s="270"/>
      <c r="T18" s="266"/>
      <c r="U18" s="267"/>
      <c r="V18" s="267"/>
      <c r="W18" s="268"/>
      <c r="X18" s="271">
        <f>IFERROR(INDEX(Table394123[],MATCH(R18,Table394123[Film Type],),3),"")</f>
        <v>0</v>
      </c>
      <c r="Y18" s="271"/>
      <c r="Z18" s="78" t="s">
        <v>55</v>
      </c>
      <c r="AA18" s="78" t="s">
        <v>55</v>
      </c>
      <c r="AB18" s="77"/>
      <c r="AC18" s="76"/>
      <c r="AD18" s="75">
        <f t="shared" si="2"/>
        <v>0</v>
      </c>
      <c r="AG18" s="74">
        <f t="shared" si="3"/>
        <v>0</v>
      </c>
      <c r="AK18" s="65">
        <f t="shared" si="4"/>
        <v>0</v>
      </c>
      <c r="AL18" s="65">
        <f t="shared" si="5"/>
        <v>0</v>
      </c>
      <c r="AM18" s="65">
        <f t="shared" si="6"/>
        <v>0</v>
      </c>
      <c r="AN18" s="73">
        <f t="shared" si="7"/>
        <v>0</v>
      </c>
      <c r="AO18" s="65" t="str">
        <f t="shared" si="8"/>
        <v>0.00</v>
      </c>
      <c r="AP18" s="65" t="str">
        <f t="shared" si="9"/>
        <v>0</v>
      </c>
      <c r="AQ18" s="71">
        <f t="shared" si="10"/>
        <v>0</v>
      </c>
      <c r="AR18" s="72">
        <f t="shared" si="11"/>
        <v>0</v>
      </c>
      <c r="AS18" s="71">
        <f t="shared" si="12"/>
        <v>0</v>
      </c>
      <c r="AT18" s="70">
        <f t="shared" si="13"/>
        <v>0</v>
      </c>
      <c r="AU18" s="70">
        <f t="shared" si="14"/>
        <v>0</v>
      </c>
      <c r="AV18" s="2"/>
      <c r="AW18" s="66">
        <f t="shared" si="15"/>
        <v>0</v>
      </c>
      <c r="AX18" s="68">
        <f>_xlfn.IFNA(INDEX(Table394123[I $ p/ft2],MATCH(R18,Table394123[Film Type],0)),1.75)</f>
        <v>1.75</v>
      </c>
      <c r="AY18" s="69">
        <f>VLOOKUP(Z18,Table134931[#All],2,FALSE)</f>
        <v>1</v>
      </c>
      <c r="AZ18" s="68">
        <f t="shared" si="16"/>
        <v>1.75</v>
      </c>
      <c r="BA18" s="65">
        <f t="shared" si="17"/>
        <v>0</v>
      </c>
      <c r="BB18" s="64">
        <f t="shared" si="18"/>
        <v>0</v>
      </c>
      <c r="BC18" s="67">
        <f t="shared" si="19"/>
        <v>0</v>
      </c>
      <c r="BD18" s="66">
        <f t="shared" si="20"/>
        <v>0</v>
      </c>
      <c r="BE18" s="64"/>
      <c r="BF18" s="66">
        <f t="shared" si="21"/>
        <v>0</v>
      </c>
      <c r="BG18" s="66">
        <f t="shared" si="22"/>
        <v>0</v>
      </c>
      <c r="BH18" s="65">
        <f>VLOOKUP(AA18,Table155133[#All],2,FALSE)</f>
        <v>1</v>
      </c>
      <c r="BI18" s="65">
        <f t="shared" si="23"/>
        <v>0</v>
      </c>
      <c r="BJ18" s="64" t="str">
        <f t="shared" si="24"/>
        <v>0</v>
      </c>
      <c r="BL18" s="89"/>
      <c r="BM18" s="89"/>
      <c r="BW18" s="6" t="s">
        <v>199</v>
      </c>
      <c r="BY18" s="6" t="s">
        <v>198</v>
      </c>
      <c r="BZ18" s="93"/>
      <c r="CA18" s="90">
        <v>6</v>
      </c>
      <c r="CB18" s="6"/>
      <c r="CC18" s="6"/>
      <c r="CE18" s="6"/>
      <c r="CF18" s="6"/>
      <c r="CG18" s="92"/>
      <c r="CH18" s="92"/>
      <c r="CI18" s="92"/>
      <c r="CJ18" s="6"/>
      <c r="CK18" s="86" t="s">
        <v>197</v>
      </c>
      <c r="CL18" s="2">
        <v>2.15</v>
      </c>
      <c r="CM18" s="2">
        <f t="shared" si="25"/>
        <v>2.3650000000000002</v>
      </c>
      <c r="CN18" s="87">
        <v>1.5</v>
      </c>
      <c r="CO18" s="84">
        <f t="shared" si="26"/>
        <v>0</v>
      </c>
    </row>
    <row r="19" spans="1:93" ht="12" customHeight="1" x14ac:dyDescent="0.45">
      <c r="A19" s="83"/>
      <c r="B19" s="266"/>
      <c r="C19" s="267"/>
      <c r="D19" s="267"/>
      <c r="E19" s="268"/>
      <c r="F19" s="64"/>
      <c r="G19" s="64"/>
      <c r="H19" s="82"/>
      <c r="I19" s="81"/>
      <c r="J19" s="64"/>
      <c r="K19" s="80"/>
      <c r="L19" s="79">
        <f t="shared" si="0"/>
        <v>0</v>
      </c>
      <c r="M19" s="64"/>
      <c r="N19" s="64"/>
      <c r="O19" s="64"/>
      <c r="P19" s="80"/>
      <c r="Q19" s="79">
        <f t="shared" si="1"/>
        <v>0</v>
      </c>
      <c r="R19" s="269" t="s">
        <v>282</v>
      </c>
      <c r="S19" s="270"/>
      <c r="T19" s="266"/>
      <c r="U19" s="267"/>
      <c r="V19" s="267"/>
      <c r="W19" s="268"/>
      <c r="X19" s="271">
        <f>IFERROR(INDEX(Table394123[],MATCH(R19,Table394123[Film Type],),3),"")</f>
        <v>0</v>
      </c>
      <c r="Y19" s="271"/>
      <c r="Z19" s="78" t="s">
        <v>55</v>
      </c>
      <c r="AA19" s="78" t="s">
        <v>55</v>
      </c>
      <c r="AB19" s="77"/>
      <c r="AC19" s="76"/>
      <c r="AD19" s="75">
        <f t="shared" si="2"/>
        <v>0</v>
      </c>
      <c r="AG19" s="74">
        <f t="shared" si="3"/>
        <v>0</v>
      </c>
      <c r="AK19" s="65">
        <f t="shared" si="4"/>
        <v>0</v>
      </c>
      <c r="AL19" s="65">
        <f t="shared" si="5"/>
        <v>0</v>
      </c>
      <c r="AM19" s="65">
        <f t="shared" si="6"/>
        <v>0</v>
      </c>
      <c r="AN19" s="73">
        <f t="shared" si="7"/>
        <v>0</v>
      </c>
      <c r="AO19" s="65" t="str">
        <f t="shared" si="8"/>
        <v>0.00</v>
      </c>
      <c r="AP19" s="65" t="str">
        <f t="shared" si="9"/>
        <v>0</v>
      </c>
      <c r="AQ19" s="71">
        <f t="shared" si="10"/>
        <v>0</v>
      </c>
      <c r="AR19" s="72">
        <f t="shared" si="11"/>
        <v>0</v>
      </c>
      <c r="AS19" s="71">
        <f t="shared" si="12"/>
        <v>0</v>
      </c>
      <c r="AT19" s="70">
        <f t="shared" si="13"/>
        <v>0</v>
      </c>
      <c r="AU19" s="70">
        <f t="shared" si="14"/>
        <v>0</v>
      </c>
      <c r="AV19" s="2"/>
      <c r="AW19" s="66">
        <f t="shared" si="15"/>
        <v>0</v>
      </c>
      <c r="AX19" s="68">
        <f>_xlfn.IFNA(INDEX(Table394123[I $ p/ft2],MATCH(R19,Table394123[Film Type],0)),1.75)</f>
        <v>1.75</v>
      </c>
      <c r="AY19" s="69">
        <f>VLOOKUP(Z19,Table134931[#All],2,FALSE)</f>
        <v>1</v>
      </c>
      <c r="AZ19" s="68">
        <f t="shared" si="16"/>
        <v>1.75</v>
      </c>
      <c r="BA19" s="65">
        <f t="shared" si="17"/>
        <v>0</v>
      </c>
      <c r="BB19" s="64">
        <f t="shared" si="18"/>
        <v>0</v>
      </c>
      <c r="BC19" s="67">
        <f t="shared" si="19"/>
        <v>0</v>
      </c>
      <c r="BD19" s="66">
        <f t="shared" si="20"/>
        <v>0</v>
      </c>
      <c r="BE19" s="64"/>
      <c r="BF19" s="66">
        <f t="shared" si="21"/>
        <v>0</v>
      </c>
      <c r="BG19" s="66">
        <f t="shared" si="22"/>
        <v>0</v>
      </c>
      <c r="BH19" s="65">
        <f>VLOOKUP(AA19,Table155133[#All],2,FALSE)</f>
        <v>1</v>
      </c>
      <c r="BI19" s="65">
        <f t="shared" si="23"/>
        <v>0</v>
      </c>
      <c r="BJ19" s="64" t="str">
        <f t="shared" si="24"/>
        <v>0</v>
      </c>
      <c r="BL19" s="89"/>
      <c r="BM19" s="89"/>
      <c r="BW19" s="6" t="s">
        <v>196</v>
      </c>
      <c r="BY19" s="6"/>
      <c r="BZ19" s="6"/>
      <c r="CA19" s="90">
        <v>6.5</v>
      </c>
      <c r="CB19" s="6"/>
      <c r="CC19" s="6"/>
      <c r="CG19" s="92"/>
      <c r="CH19" s="92"/>
      <c r="CI19" s="92"/>
      <c r="CJ19" s="6"/>
      <c r="CK19" s="86" t="s">
        <v>195</v>
      </c>
      <c r="CL19" s="2">
        <v>2.06</v>
      </c>
      <c r="CM19" s="2">
        <f t="shared" si="25"/>
        <v>2.2660000000000005</v>
      </c>
      <c r="CN19" s="87">
        <v>1.5</v>
      </c>
      <c r="CO19" s="84">
        <f t="shared" si="26"/>
        <v>0</v>
      </c>
    </row>
    <row r="20" spans="1:93" ht="12" customHeight="1" x14ac:dyDescent="0.45">
      <c r="A20" s="83"/>
      <c r="B20" s="266"/>
      <c r="C20" s="267"/>
      <c r="D20" s="267"/>
      <c r="E20" s="268"/>
      <c r="F20" s="64"/>
      <c r="G20" s="64"/>
      <c r="H20" s="82"/>
      <c r="I20" s="81"/>
      <c r="J20" s="64"/>
      <c r="K20" s="80"/>
      <c r="L20" s="79">
        <f t="shared" si="0"/>
        <v>0</v>
      </c>
      <c r="M20" s="64"/>
      <c r="N20" s="64"/>
      <c r="O20" s="64"/>
      <c r="P20" s="80"/>
      <c r="Q20" s="79">
        <f t="shared" si="1"/>
        <v>0</v>
      </c>
      <c r="R20" s="269" t="s">
        <v>282</v>
      </c>
      <c r="S20" s="270"/>
      <c r="T20" s="266"/>
      <c r="U20" s="267"/>
      <c r="V20" s="267"/>
      <c r="W20" s="268"/>
      <c r="X20" s="271">
        <f>IFERROR(INDEX(Table394123[],MATCH(R20,Table394123[Film Type],),3),"")</f>
        <v>0</v>
      </c>
      <c r="Y20" s="271"/>
      <c r="Z20" s="78" t="s">
        <v>55</v>
      </c>
      <c r="AA20" s="78" t="s">
        <v>55</v>
      </c>
      <c r="AB20" s="77"/>
      <c r="AC20" s="76"/>
      <c r="AD20" s="75">
        <f t="shared" si="2"/>
        <v>0</v>
      </c>
      <c r="AG20" s="74">
        <f t="shared" si="3"/>
        <v>0</v>
      </c>
      <c r="AK20" s="65">
        <f t="shared" si="4"/>
        <v>0</v>
      </c>
      <c r="AL20" s="65">
        <f t="shared" si="5"/>
        <v>0</v>
      </c>
      <c r="AM20" s="65">
        <f t="shared" si="6"/>
        <v>0</v>
      </c>
      <c r="AN20" s="73">
        <f t="shared" si="7"/>
        <v>0</v>
      </c>
      <c r="AO20" s="65" t="str">
        <f t="shared" si="8"/>
        <v>0.00</v>
      </c>
      <c r="AP20" s="65" t="str">
        <f t="shared" si="9"/>
        <v>0</v>
      </c>
      <c r="AQ20" s="71">
        <f t="shared" si="10"/>
        <v>0</v>
      </c>
      <c r="AR20" s="72">
        <f t="shared" si="11"/>
        <v>0</v>
      </c>
      <c r="AS20" s="71">
        <f t="shared" si="12"/>
        <v>0</v>
      </c>
      <c r="AT20" s="70">
        <f t="shared" si="13"/>
        <v>0</v>
      </c>
      <c r="AU20" s="70">
        <f t="shared" si="14"/>
        <v>0</v>
      </c>
      <c r="AV20" s="2"/>
      <c r="AW20" s="66">
        <f t="shared" si="15"/>
        <v>0</v>
      </c>
      <c r="AX20" s="68">
        <f>_xlfn.IFNA(INDEX(Table394123[I $ p/ft2],MATCH(R20,Table394123[Film Type],0)),1.75)</f>
        <v>1.75</v>
      </c>
      <c r="AY20" s="69">
        <f>VLOOKUP(Z20,Table134931[#All],2,FALSE)</f>
        <v>1</v>
      </c>
      <c r="AZ20" s="68">
        <f t="shared" si="16"/>
        <v>1.75</v>
      </c>
      <c r="BA20" s="65">
        <f t="shared" si="17"/>
        <v>0</v>
      </c>
      <c r="BB20" s="64">
        <f t="shared" si="18"/>
        <v>0</v>
      </c>
      <c r="BC20" s="67">
        <f t="shared" si="19"/>
        <v>0</v>
      </c>
      <c r="BD20" s="66">
        <f t="shared" si="20"/>
        <v>0</v>
      </c>
      <c r="BE20" s="64"/>
      <c r="BF20" s="66">
        <f t="shared" si="21"/>
        <v>0</v>
      </c>
      <c r="BG20" s="66">
        <f t="shared" si="22"/>
        <v>0</v>
      </c>
      <c r="BH20" s="65">
        <f>VLOOKUP(AA20,Table155133[#All],2,FALSE)</f>
        <v>1</v>
      </c>
      <c r="BI20" s="65">
        <f t="shared" si="23"/>
        <v>0</v>
      </c>
      <c r="BJ20" s="64" t="str">
        <f t="shared" si="24"/>
        <v>0</v>
      </c>
      <c r="BM20" s="89"/>
      <c r="BW20" s="6" t="s">
        <v>194</v>
      </c>
      <c r="CA20" s="90">
        <v>7</v>
      </c>
      <c r="CB20" s="6"/>
      <c r="CC20" s="6"/>
      <c r="CG20" s="92"/>
      <c r="CH20" s="92"/>
      <c r="CI20" s="92"/>
      <c r="CK20" s="86" t="s">
        <v>193</v>
      </c>
      <c r="CL20" s="2">
        <v>1.87</v>
      </c>
      <c r="CM20" s="2">
        <f t="shared" si="25"/>
        <v>2.0570000000000004</v>
      </c>
      <c r="CN20" s="87">
        <v>1.5</v>
      </c>
      <c r="CO20" s="84">
        <f t="shared" si="26"/>
        <v>0</v>
      </c>
    </row>
    <row r="21" spans="1:93" ht="12" customHeight="1" x14ac:dyDescent="0.45">
      <c r="A21" s="83"/>
      <c r="B21" s="266"/>
      <c r="C21" s="267"/>
      <c r="D21" s="267"/>
      <c r="E21" s="268"/>
      <c r="F21" s="64"/>
      <c r="G21" s="64"/>
      <c r="H21" s="82"/>
      <c r="I21" s="81"/>
      <c r="J21" s="64"/>
      <c r="K21" s="80"/>
      <c r="L21" s="79">
        <f t="shared" si="0"/>
        <v>0</v>
      </c>
      <c r="M21" s="64"/>
      <c r="N21" s="64"/>
      <c r="O21" s="64"/>
      <c r="P21" s="80"/>
      <c r="Q21" s="79">
        <f t="shared" si="1"/>
        <v>0</v>
      </c>
      <c r="R21" s="269" t="s">
        <v>282</v>
      </c>
      <c r="S21" s="270"/>
      <c r="T21" s="266"/>
      <c r="U21" s="267"/>
      <c r="V21" s="267"/>
      <c r="W21" s="268"/>
      <c r="X21" s="271">
        <f>IFERROR(INDEX(Table394123[],MATCH(R21,Table394123[Film Type],),3),"")</f>
        <v>0</v>
      </c>
      <c r="Y21" s="271"/>
      <c r="Z21" s="78" t="s">
        <v>55</v>
      </c>
      <c r="AA21" s="78" t="s">
        <v>55</v>
      </c>
      <c r="AB21" s="77"/>
      <c r="AC21" s="76"/>
      <c r="AD21" s="75">
        <f t="shared" si="2"/>
        <v>0</v>
      </c>
      <c r="AG21" s="74">
        <f t="shared" si="3"/>
        <v>0</v>
      </c>
      <c r="AK21" s="65">
        <f t="shared" si="4"/>
        <v>0</v>
      </c>
      <c r="AL21" s="65">
        <f t="shared" si="5"/>
        <v>0</v>
      </c>
      <c r="AM21" s="65">
        <f t="shared" si="6"/>
        <v>0</v>
      </c>
      <c r="AN21" s="73">
        <f t="shared" si="7"/>
        <v>0</v>
      </c>
      <c r="AO21" s="65" t="str">
        <f t="shared" si="8"/>
        <v>0.00</v>
      </c>
      <c r="AP21" s="65" t="str">
        <f t="shared" si="9"/>
        <v>0</v>
      </c>
      <c r="AQ21" s="71">
        <f t="shared" si="10"/>
        <v>0</v>
      </c>
      <c r="AR21" s="72">
        <f t="shared" si="11"/>
        <v>0</v>
      </c>
      <c r="AS21" s="71">
        <f t="shared" si="12"/>
        <v>0</v>
      </c>
      <c r="AT21" s="70">
        <f t="shared" si="13"/>
        <v>0</v>
      </c>
      <c r="AU21" s="70">
        <f t="shared" si="14"/>
        <v>0</v>
      </c>
      <c r="AV21" s="2"/>
      <c r="AW21" s="66">
        <f t="shared" si="15"/>
        <v>0</v>
      </c>
      <c r="AX21" s="68">
        <f>_xlfn.IFNA(INDEX(Table394123[I $ p/ft2],MATCH(R21,Table394123[Film Type],0)),1.75)</f>
        <v>1.75</v>
      </c>
      <c r="AY21" s="69">
        <f>VLOOKUP(Z21,Table134931[#All],2,FALSE)</f>
        <v>1</v>
      </c>
      <c r="AZ21" s="68">
        <f t="shared" si="16"/>
        <v>1.75</v>
      </c>
      <c r="BA21" s="65">
        <f t="shared" si="17"/>
        <v>0</v>
      </c>
      <c r="BB21" s="64">
        <f t="shared" si="18"/>
        <v>0</v>
      </c>
      <c r="BC21" s="67">
        <f t="shared" si="19"/>
        <v>0</v>
      </c>
      <c r="BD21" s="66">
        <f t="shared" si="20"/>
        <v>0</v>
      </c>
      <c r="BE21" s="64"/>
      <c r="BF21" s="66">
        <f t="shared" si="21"/>
        <v>0</v>
      </c>
      <c r="BG21" s="66">
        <f t="shared" si="22"/>
        <v>0</v>
      </c>
      <c r="BH21" s="65">
        <f>VLOOKUP(AA21,Table155133[#All],2,FALSE)</f>
        <v>1</v>
      </c>
      <c r="BI21" s="65">
        <f t="shared" si="23"/>
        <v>0</v>
      </c>
      <c r="BJ21" s="64" t="str">
        <f t="shared" si="24"/>
        <v>0</v>
      </c>
      <c r="BL21" s="89"/>
      <c r="BM21" s="89"/>
      <c r="BW21" s="6" t="s">
        <v>192</v>
      </c>
      <c r="CA21" s="90">
        <v>7.5</v>
      </c>
      <c r="CB21" s="6"/>
      <c r="CC21" s="6"/>
      <c r="CK21" s="86" t="s">
        <v>191</v>
      </c>
      <c r="CL21" s="2">
        <v>2.4900000000000002</v>
      </c>
      <c r="CM21" s="2">
        <f t="shared" si="25"/>
        <v>2.7390000000000003</v>
      </c>
      <c r="CN21" s="87">
        <v>1.5</v>
      </c>
      <c r="CO21" s="84">
        <f t="shared" si="26"/>
        <v>0</v>
      </c>
    </row>
    <row r="22" spans="1:93" ht="12" customHeight="1" x14ac:dyDescent="0.45">
      <c r="A22" s="83"/>
      <c r="B22" s="266"/>
      <c r="C22" s="267"/>
      <c r="D22" s="267"/>
      <c r="E22" s="268"/>
      <c r="F22" s="64"/>
      <c r="G22" s="64"/>
      <c r="H22" s="82"/>
      <c r="I22" s="81"/>
      <c r="J22" s="64"/>
      <c r="K22" s="80"/>
      <c r="L22" s="79">
        <f t="shared" si="0"/>
        <v>0</v>
      </c>
      <c r="M22" s="64"/>
      <c r="N22" s="64"/>
      <c r="O22" s="64"/>
      <c r="P22" s="80"/>
      <c r="Q22" s="79">
        <f t="shared" si="1"/>
        <v>0</v>
      </c>
      <c r="R22" s="269" t="s">
        <v>282</v>
      </c>
      <c r="S22" s="270"/>
      <c r="T22" s="266"/>
      <c r="U22" s="267"/>
      <c r="V22" s="267"/>
      <c r="W22" s="268"/>
      <c r="X22" s="271">
        <f>IFERROR(INDEX(Table394123[],MATCH(R22,Table394123[Film Type],),3),"")</f>
        <v>0</v>
      </c>
      <c r="Y22" s="271"/>
      <c r="Z22" s="78" t="s">
        <v>55</v>
      </c>
      <c r="AA22" s="78" t="s">
        <v>55</v>
      </c>
      <c r="AB22" s="77"/>
      <c r="AC22" s="76"/>
      <c r="AD22" s="75">
        <f t="shared" si="2"/>
        <v>0</v>
      </c>
      <c r="AG22" s="74">
        <f t="shared" si="3"/>
        <v>0</v>
      </c>
      <c r="AK22" s="65">
        <f t="shared" si="4"/>
        <v>0</v>
      </c>
      <c r="AL22" s="65">
        <f t="shared" si="5"/>
        <v>0</v>
      </c>
      <c r="AM22" s="65">
        <f t="shared" si="6"/>
        <v>0</v>
      </c>
      <c r="AN22" s="73">
        <f t="shared" si="7"/>
        <v>0</v>
      </c>
      <c r="AO22" s="65" t="str">
        <f t="shared" si="8"/>
        <v>0.00</v>
      </c>
      <c r="AP22" s="65" t="str">
        <f t="shared" si="9"/>
        <v>0</v>
      </c>
      <c r="AQ22" s="71">
        <f t="shared" si="10"/>
        <v>0</v>
      </c>
      <c r="AR22" s="72">
        <f t="shared" si="11"/>
        <v>0</v>
      </c>
      <c r="AS22" s="71">
        <f t="shared" si="12"/>
        <v>0</v>
      </c>
      <c r="AT22" s="70">
        <f t="shared" si="13"/>
        <v>0</v>
      </c>
      <c r="AU22" s="70">
        <f t="shared" si="14"/>
        <v>0</v>
      </c>
      <c r="AV22" s="2"/>
      <c r="AW22" s="66">
        <f t="shared" si="15"/>
        <v>0</v>
      </c>
      <c r="AX22" s="68">
        <f>_xlfn.IFNA(INDEX(Table394123[I $ p/ft2],MATCH(R22,Table394123[Film Type],0)),1.75)</f>
        <v>1.75</v>
      </c>
      <c r="AY22" s="69">
        <f>VLOOKUP(Z22,Table134931[#All],2,FALSE)</f>
        <v>1</v>
      </c>
      <c r="AZ22" s="68">
        <f t="shared" si="16"/>
        <v>1.75</v>
      </c>
      <c r="BA22" s="65">
        <f t="shared" si="17"/>
        <v>0</v>
      </c>
      <c r="BB22" s="64">
        <f t="shared" si="18"/>
        <v>0</v>
      </c>
      <c r="BC22" s="67">
        <f t="shared" si="19"/>
        <v>0</v>
      </c>
      <c r="BD22" s="66">
        <f t="shared" si="20"/>
        <v>0</v>
      </c>
      <c r="BE22" s="64"/>
      <c r="BF22" s="66">
        <f t="shared" si="21"/>
        <v>0</v>
      </c>
      <c r="BG22" s="66">
        <f t="shared" si="22"/>
        <v>0</v>
      </c>
      <c r="BH22" s="65">
        <f>VLOOKUP(AA22,Table155133[#All],2,FALSE)</f>
        <v>1</v>
      </c>
      <c r="BI22" s="65">
        <f t="shared" si="23"/>
        <v>0</v>
      </c>
      <c r="BJ22" s="64" t="str">
        <f t="shared" si="24"/>
        <v>0</v>
      </c>
      <c r="BL22" s="89"/>
      <c r="BM22" s="89"/>
      <c r="BW22" s="6" t="s">
        <v>190</v>
      </c>
      <c r="CA22" s="90">
        <v>8</v>
      </c>
      <c r="CB22" s="6"/>
      <c r="CK22" s="86" t="s">
        <v>189</v>
      </c>
      <c r="CL22" s="2">
        <v>2.4900000000000002</v>
      </c>
      <c r="CM22" s="2">
        <f t="shared" si="25"/>
        <v>2.7390000000000003</v>
      </c>
      <c r="CN22" s="87">
        <v>1.5</v>
      </c>
      <c r="CO22" s="84">
        <f t="shared" si="26"/>
        <v>0</v>
      </c>
    </row>
    <row r="23" spans="1:93" ht="12" customHeight="1" x14ac:dyDescent="0.45">
      <c r="A23" s="83"/>
      <c r="B23" s="266"/>
      <c r="C23" s="267"/>
      <c r="D23" s="267"/>
      <c r="E23" s="268"/>
      <c r="F23" s="64"/>
      <c r="G23" s="64"/>
      <c r="H23" s="82"/>
      <c r="I23" s="81"/>
      <c r="J23" s="64"/>
      <c r="K23" s="80"/>
      <c r="L23" s="79">
        <f t="shared" si="0"/>
        <v>0</v>
      </c>
      <c r="M23" s="64"/>
      <c r="N23" s="64"/>
      <c r="O23" s="64"/>
      <c r="P23" s="80"/>
      <c r="Q23" s="79">
        <f t="shared" si="1"/>
        <v>0</v>
      </c>
      <c r="R23" s="269" t="s">
        <v>282</v>
      </c>
      <c r="S23" s="270"/>
      <c r="T23" s="266"/>
      <c r="U23" s="267"/>
      <c r="V23" s="267"/>
      <c r="W23" s="268"/>
      <c r="X23" s="271">
        <f>IFERROR(INDEX(Table394123[],MATCH(R23,Table394123[Film Type],),3),"")</f>
        <v>0</v>
      </c>
      <c r="Y23" s="271"/>
      <c r="Z23" s="78" t="s">
        <v>55</v>
      </c>
      <c r="AA23" s="78" t="s">
        <v>55</v>
      </c>
      <c r="AB23" s="77"/>
      <c r="AC23" s="76"/>
      <c r="AD23" s="75">
        <f t="shared" si="2"/>
        <v>0</v>
      </c>
      <c r="AG23" s="74">
        <f t="shared" si="3"/>
        <v>0</v>
      </c>
      <c r="AK23" s="65">
        <f t="shared" si="4"/>
        <v>0</v>
      </c>
      <c r="AL23" s="65">
        <f t="shared" si="5"/>
        <v>0</v>
      </c>
      <c r="AM23" s="65">
        <f t="shared" si="6"/>
        <v>0</v>
      </c>
      <c r="AN23" s="73">
        <f t="shared" si="7"/>
        <v>0</v>
      </c>
      <c r="AO23" s="65" t="str">
        <f t="shared" si="8"/>
        <v>0.00</v>
      </c>
      <c r="AP23" s="65" t="str">
        <f t="shared" si="9"/>
        <v>0</v>
      </c>
      <c r="AQ23" s="71">
        <f t="shared" si="10"/>
        <v>0</v>
      </c>
      <c r="AR23" s="72">
        <f t="shared" si="11"/>
        <v>0</v>
      </c>
      <c r="AS23" s="71">
        <f t="shared" si="12"/>
        <v>0</v>
      </c>
      <c r="AT23" s="70">
        <f t="shared" si="13"/>
        <v>0</v>
      </c>
      <c r="AU23" s="70">
        <f t="shared" si="14"/>
        <v>0</v>
      </c>
      <c r="AV23" s="2"/>
      <c r="AW23" s="66">
        <f t="shared" si="15"/>
        <v>0</v>
      </c>
      <c r="AX23" s="68">
        <f>_xlfn.IFNA(INDEX(Table394123[I $ p/ft2],MATCH(R23,Table394123[Film Type],0)),1.75)</f>
        <v>1.75</v>
      </c>
      <c r="AY23" s="69">
        <f>VLOOKUP(Z23,Table134931[#All],2,FALSE)</f>
        <v>1</v>
      </c>
      <c r="AZ23" s="68">
        <f t="shared" si="16"/>
        <v>1.75</v>
      </c>
      <c r="BA23" s="65">
        <f t="shared" si="17"/>
        <v>0</v>
      </c>
      <c r="BB23" s="64">
        <f t="shared" si="18"/>
        <v>0</v>
      </c>
      <c r="BC23" s="67">
        <f t="shared" si="19"/>
        <v>0</v>
      </c>
      <c r="BD23" s="66">
        <f t="shared" si="20"/>
        <v>0</v>
      </c>
      <c r="BE23" s="64"/>
      <c r="BF23" s="66">
        <f t="shared" si="21"/>
        <v>0</v>
      </c>
      <c r="BG23" s="66">
        <f t="shared" si="22"/>
        <v>0</v>
      </c>
      <c r="BH23" s="65">
        <f>VLOOKUP(AA23,Table155133[#All],2,FALSE)</f>
        <v>1</v>
      </c>
      <c r="BI23" s="65">
        <f t="shared" si="23"/>
        <v>0</v>
      </c>
      <c r="BJ23" s="64" t="str">
        <f t="shared" si="24"/>
        <v>0</v>
      </c>
      <c r="BL23" s="89"/>
      <c r="BM23" s="89"/>
      <c r="BW23" s="6" t="s">
        <v>188</v>
      </c>
      <c r="CA23" s="91">
        <v>8.5</v>
      </c>
      <c r="CK23" s="86" t="s">
        <v>187</v>
      </c>
      <c r="CL23" s="2">
        <v>2.4900000000000002</v>
      </c>
      <c r="CM23" s="2">
        <f t="shared" si="25"/>
        <v>2.7390000000000003</v>
      </c>
      <c r="CN23" s="87">
        <v>1.5</v>
      </c>
      <c r="CO23" s="84">
        <f t="shared" si="26"/>
        <v>0</v>
      </c>
    </row>
    <row r="24" spans="1:93" ht="12" customHeight="1" x14ac:dyDescent="0.45">
      <c r="A24" s="83"/>
      <c r="B24" s="266"/>
      <c r="C24" s="267"/>
      <c r="D24" s="267"/>
      <c r="E24" s="268"/>
      <c r="F24" s="64"/>
      <c r="G24" s="64"/>
      <c r="H24" s="82"/>
      <c r="I24" s="81"/>
      <c r="J24" s="64"/>
      <c r="K24" s="80"/>
      <c r="L24" s="79">
        <f t="shared" si="0"/>
        <v>0</v>
      </c>
      <c r="M24" s="64"/>
      <c r="N24" s="64"/>
      <c r="O24" s="64"/>
      <c r="P24" s="80"/>
      <c r="Q24" s="79">
        <f t="shared" si="1"/>
        <v>0</v>
      </c>
      <c r="R24" s="269" t="s">
        <v>282</v>
      </c>
      <c r="S24" s="270"/>
      <c r="T24" s="266"/>
      <c r="U24" s="267"/>
      <c r="V24" s="267"/>
      <c r="W24" s="268"/>
      <c r="X24" s="271">
        <f>IFERROR(INDEX(Table394123[],MATCH(R24,Table394123[Film Type],),3),"")</f>
        <v>0</v>
      </c>
      <c r="Y24" s="271"/>
      <c r="Z24" s="78" t="s">
        <v>55</v>
      </c>
      <c r="AA24" s="78" t="s">
        <v>55</v>
      </c>
      <c r="AB24" s="77"/>
      <c r="AC24" s="76"/>
      <c r="AD24" s="75">
        <f t="shared" si="2"/>
        <v>0</v>
      </c>
      <c r="AG24" s="74">
        <f t="shared" si="3"/>
        <v>0</v>
      </c>
      <c r="AK24" s="65">
        <f t="shared" si="4"/>
        <v>0</v>
      </c>
      <c r="AL24" s="65">
        <f t="shared" si="5"/>
        <v>0</v>
      </c>
      <c r="AM24" s="65">
        <f t="shared" si="6"/>
        <v>0</v>
      </c>
      <c r="AN24" s="73">
        <f t="shared" si="7"/>
        <v>0</v>
      </c>
      <c r="AO24" s="65" t="str">
        <f t="shared" si="8"/>
        <v>0.00</v>
      </c>
      <c r="AP24" s="65" t="str">
        <f t="shared" si="9"/>
        <v>0</v>
      </c>
      <c r="AQ24" s="71">
        <f t="shared" si="10"/>
        <v>0</v>
      </c>
      <c r="AR24" s="72">
        <f t="shared" si="11"/>
        <v>0</v>
      </c>
      <c r="AS24" s="71">
        <f t="shared" si="12"/>
        <v>0</v>
      </c>
      <c r="AT24" s="70">
        <f t="shared" si="13"/>
        <v>0</v>
      </c>
      <c r="AU24" s="70">
        <f t="shared" si="14"/>
        <v>0</v>
      </c>
      <c r="AV24" s="2"/>
      <c r="AW24" s="66">
        <f t="shared" si="15"/>
        <v>0</v>
      </c>
      <c r="AX24" s="68">
        <f>_xlfn.IFNA(INDEX(Table394123[I $ p/ft2],MATCH(R24,Table394123[Film Type],0)),1.75)</f>
        <v>1.75</v>
      </c>
      <c r="AY24" s="69">
        <f>VLOOKUP(Z24,Table134931[#All],2,FALSE)</f>
        <v>1</v>
      </c>
      <c r="AZ24" s="68">
        <f t="shared" si="16"/>
        <v>1.75</v>
      </c>
      <c r="BA24" s="65">
        <f t="shared" si="17"/>
        <v>0</v>
      </c>
      <c r="BB24" s="64">
        <f t="shared" si="18"/>
        <v>0</v>
      </c>
      <c r="BC24" s="67">
        <f t="shared" si="19"/>
        <v>0</v>
      </c>
      <c r="BD24" s="66">
        <f t="shared" si="20"/>
        <v>0</v>
      </c>
      <c r="BE24" s="64"/>
      <c r="BF24" s="66">
        <f t="shared" si="21"/>
        <v>0</v>
      </c>
      <c r="BG24" s="66">
        <f t="shared" si="22"/>
        <v>0</v>
      </c>
      <c r="BH24" s="65">
        <f>VLOOKUP(AA24,Table155133[#All],2,FALSE)</f>
        <v>1</v>
      </c>
      <c r="BI24" s="65">
        <f t="shared" si="23"/>
        <v>0</v>
      </c>
      <c r="BJ24" s="64" t="str">
        <f t="shared" si="24"/>
        <v>0</v>
      </c>
      <c r="BL24" s="89"/>
      <c r="BM24" s="89"/>
      <c r="BW24" s="6" t="s">
        <v>186</v>
      </c>
      <c r="CA24" s="90">
        <v>9</v>
      </c>
      <c r="CK24" s="86" t="s">
        <v>185</v>
      </c>
      <c r="CL24" s="2">
        <v>3.28</v>
      </c>
      <c r="CM24" s="2">
        <f t="shared" si="25"/>
        <v>3.6080000000000001</v>
      </c>
      <c r="CN24" s="87">
        <v>1.5</v>
      </c>
      <c r="CO24" s="84">
        <f t="shared" si="26"/>
        <v>0</v>
      </c>
    </row>
    <row r="25" spans="1:93" ht="12" customHeight="1" x14ac:dyDescent="0.45">
      <c r="A25" s="83"/>
      <c r="B25" s="266"/>
      <c r="C25" s="267"/>
      <c r="D25" s="267"/>
      <c r="E25" s="268"/>
      <c r="F25" s="64"/>
      <c r="G25" s="64"/>
      <c r="H25" s="82"/>
      <c r="I25" s="81"/>
      <c r="J25" s="64"/>
      <c r="K25" s="80"/>
      <c r="L25" s="79">
        <f t="shared" si="0"/>
        <v>0</v>
      </c>
      <c r="M25" s="64"/>
      <c r="N25" s="64"/>
      <c r="O25" s="64"/>
      <c r="P25" s="80"/>
      <c r="Q25" s="79">
        <f t="shared" si="1"/>
        <v>0</v>
      </c>
      <c r="R25" s="269" t="s">
        <v>282</v>
      </c>
      <c r="S25" s="270"/>
      <c r="T25" s="266"/>
      <c r="U25" s="267"/>
      <c r="V25" s="267"/>
      <c r="W25" s="268"/>
      <c r="X25" s="271">
        <f>IFERROR(INDEX(Table394123[],MATCH(R25,Table394123[Film Type],),3),"")</f>
        <v>0</v>
      </c>
      <c r="Y25" s="271"/>
      <c r="Z25" s="78" t="s">
        <v>55</v>
      </c>
      <c r="AA25" s="78" t="s">
        <v>55</v>
      </c>
      <c r="AB25" s="77"/>
      <c r="AC25" s="76"/>
      <c r="AD25" s="75">
        <f t="shared" si="2"/>
        <v>0</v>
      </c>
      <c r="AG25" s="74">
        <f t="shared" si="3"/>
        <v>0</v>
      </c>
      <c r="AK25" s="65">
        <f t="shared" si="4"/>
        <v>0</v>
      </c>
      <c r="AL25" s="65">
        <f t="shared" si="5"/>
        <v>0</v>
      </c>
      <c r="AM25" s="65">
        <f t="shared" si="6"/>
        <v>0</v>
      </c>
      <c r="AN25" s="73">
        <f t="shared" si="7"/>
        <v>0</v>
      </c>
      <c r="AO25" s="65" t="str">
        <f t="shared" si="8"/>
        <v>0.00</v>
      </c>
      <c r="AP25" s="65" t="str">
        <f t="shared" si="9"/>
        <v>0</v>
      </c>
      <c r="AQ25" s="71">
        <f t="shared" si="10"/>
        <v>0</v>
      </c>
      <c r="AR25" s="72">
        <f t="shared" si="11"/>
        <v>0</v>
      </c>
      <c r="AS25" s="71">
        <f t="shared" si="12"/>
        <v>0</v>
      </c>
      <c r="AT25" s="70">
        <f t="shared" si="13"/>
        <v>0</v>
      </c>
      <c r="AU25" s="70">
        <f t="shared" si="14"/>
        <v>0</v>
      </c>
      <c r="AV25" s="2"/>
      <c r="AW25" s="66">
        <f t="shared" si="15"/>
        <v>0</v>
      </c>
      <c r="AX25" s="68">
        <f>_xlfn.IFNA(INDEX(Table394123[I $ p/ft2],MATCH(R25,Table394123[Film Type],0)),1.75)</f>
        <v>1.75</v>
      </c>
      <c r="AY25" s="69">
        <f>VLOOKUP(Z25,Table134931[#All],2,FALSE)</f>
        <v>1</v>
      </c>
      <c r="AZ25" s="68">
        <f t="shared" si="16"/>
        <v>1.75</v>
      </c>
      <c r="BA25" s="65">
        <f t="shared" si="17"/>
        <v>0</v>
      </c>
      <c r="BB25" s="64">
        <f t="shared" si="18"/>
        <v>0</v>
      </c>
      <c r="BC25" s="67">
        <f t="shared" si="19"/>
        <v>0</v>
      </c>
      <c r="BD25" s="66">
        <f t="shared" si="20"/>
        <v>0</v>
      </c>
      <c r="BE25" s="64"/>
      <c r="BF25" s="66">
        <f t="shared" si="21"/>
        <v>0</v>
      </c>
      <c r="BG25" s="66">
        <f t="shared" si="22"/>
        <v>0</v>
      </c>
      <c r="BH25" s="65">
        <f>VLOOKUP(AA25,Table155133[#All],2,FALSE)</f>
        <v>1</v>
      </c>
      <c r="BI25" s="65">
        <f t="shared" si="23"/>
        <v>0</v>
      </c>
      <c r="BJ25" s="64" t="str">
        <f t="shared" si="24"/>
        <v>0</v>
      </c>
      <c r="BL25" s="89"/>
      <c r="BM25" s="89"/>
      <c r="BW25" s="6" t="s">
        <v>184</v>
      </c>
      <c r="CA25" s="91">
        <v>9.5</v>
      </c>
      <c r="CK25" s="86" t="s">
        <v>183</v>
      </c>
      <c r="CL25" s="2">
        <v>3.28</v>
      </c>
      <c r="CM25" s="2">
        <f t="shared" si="25"/>
        <v>3.6080000000000001</v>
      </c>
      <c r="CN25" s="87">
        <v>1.5</v>
      </c>
      <c r="CO25" s="84">
        <f t="shared" si="26"/>
        <v>0</v>
      </c>
    </row>
    <row r="26" spans="1:93" ht="12" customHeight="1" x14ac:dyDescent="0.45">
      <c r="A26" s="83"/>
      <c r="B26" s="266"/>
      <c r="C26" s="267"/>
      <c r="D26" s="267"/>
      <c r="E26" s="268"/>
      <c r="F26" s="64"/>
      <c r="G26" s="64"/>
      <c r="H26" s="82"/>
      <c r="I26" s="81"/>
      <c r="J26" s="64"/>
      <c r="K26" s="80"/>
      <c r="L26" s="79">
        <f t="shared" si="0"/>
        <v>0</v>
      </c>
      <c r="M26" s="64"/>
      <c r="N26" s="64"/>
      <c r="O26" s="64"/>
      <c r="P26" s="80"/>
      <c r="Q26" s="79">
        <f t="shared" si="1"/>
        <v>0</v>
      </c>
      <c r="R26" s="269" t="s">
        <v>282</v>
      </c>
      <c r="S26" s="270"/>
      <c r="T26" s="266"/>
      <c r="U26" s="267"/>
      <c r="V26" s="267"/>
      <c r="W26" s="268"/>
      <c r="X26" s="271">
        <f>IFERROR(INDEX(Table394123[],MATCH(R26,Table394123[Film Type],),3),"")</f>
        <v>0</v>
      </c>
      <c r="Y26" s="271"/>
      <c r="Z26" s="78" t="s">
        <v>55</v>
      </c>
      <c r="AA26" s="78" t="s">
        <v>55</v>
      </c>
      <c r="AB26" s="77"/>
      <c r="AC26" s="76"/>
      <c r="AD26" s="75">
        <f t="shared" si="2"/>
        <v>0</v>
      </c>
      <c r="AG26" s="74">
        <f t="shared" si="3"/>
        <v>0</v>
      </c>
      <c r="AK26" s="65">
        <f t="shared" si="4"/>
        <v>0</v>
      </c>
      <c r="AL26" s="65">
        <f t="shared" si="5"/>
        <v>0</v>
      </c>
      <c r="AM26" s="65">
        <f t="shared" si="6"/>
        <v>0</v>
      </c>
      <c r="AN26" s="73">
        <f t="shared" si="7"/>
        <v>0</v>
      </c>
      <c r="AO26" s="65" t="str">
        <f t="shared" si="8"/>
        <v>0.00</v>
      </c>
      <c r="AP26" s="65" t="str">
        <f t="shared" si="9"/>
        <v>0</v>
      </c>
      <c r="AQ26" s="71">
        <f t="shared" si="10"/>
        <v>0</v>
      </c>
      <c r="AR26" s="72">
        <f t="shared" si="11"/>
        <v>0</v>
      </c>
      <c r="AS26" s="71">
        <f t="shared" si="12"/>
        <v>0</v>
      </c>
      <c r="AT26" s="70">
        <f t="shared" si="13"/>
        <v>0</v>
      </c>
      <c r="AU26" s="70">
        <f t="shared" si="14"/>
        <v>0</v>
      </c>
      <c r="AV26" s="2"/>
      <c r="AW26" s="66">
        <f t="shared" si="15"/>
        <v>0</v>
      </c>
      <c r="AX26" s="68">
        <f>_xlfn.IFNA(INDEX(Table394123[I $ p/ft2],MATCH(R26,Table394123[Film Type],0)),1.75)</f>
        <v>1.75</v>
      </c>
      <c r="AY26" s="69">
        <f>VLOOKUP(Z26,Table134931[#All],2,FALSE)</f>
        <v>1</v>
      </c>
      <c r="AZ26" s="68">
        <f t="shared" si="16"/>
        <v>1.75</v>
      </c>
      <c r="BA26" s="65">
        <f t="shared" si="17"/>
        <v>0</v>
      </c>
      <c r="BB26" s="64">
        <f t="shared" si="18"/>
        <v>0</v>
      </c>
      <c r="BC26" s="67">
        <f t="shared" si="19"/>
        <v>0</v>
      </c>
      <c r="BD26" s="66">
        <f t="shared" si="20"/>
        <v>0</v>
      </c>
      <c r="BE26" s="64"/>
      <c r="BF26" s="66">
        <f t="shared" si="21"/>
        <v>0</v>
      </c>
      <c r="BG26" s="66">
        <f t="shared" si="22"/>
        <v>0</v>
      </c>
      <c r="BH26" s="65">
        <f>VLOOKUP(AA26,Table155133[#All],2,FALSE)</f>
        <v>1</v>
      </c>
      <c r="BI26" s="65">
        <f t="shared" si="23"/>
        <v>0</v>
      </c>
      <c r="BJ26" s="64" t="str">
        <f t="shared" si="24"/>
        <v>0</v>
      </c>
      <c r="BL26" s="89"/>
      <c r="BM26" s="89"/>
      <c r="BQ26" s="6"/>
      <c r="BR26" s="6"/>
      <c r="BS26" s="6"/>
      <c r="BT26" s="6"/>
      <c r="BU26" s="6"/>
      <c r="BV26" s="6"/>
      <c r="BW26" s="6" t="s">
        <v>182</v>
      </c>
      <c r="BX26" s="2"/>
      <c r="CA26" s="90">
        <v>10</v>
      </c>
      <c r="CK26" s="86" t="s">
        <v>181</v>
      </c>
      <c r="CL26" s="2">
        <v>3.28</v>
      </c>
      <c r="CM26" s="2">
        <f t="shared" si="25"/>
        <v>3.6080000000000001</v>
      </c>
      <c r="CN26" s="87">
        <v>1.5</v>
      </c>
      <c r="CO26" s="84">
        <f t="shared" si="26"/>
        <v>0</v>
      </c>
    </row>
    <row r="27" spans="1:93" ht="12" customHeight="1" x14ac:dyDescent="0.45">
      <c r="A27" s="83"/>
      <c r="B27" s="266"/>
      <c r="C27" s="267"/>
      <c r="D27" s="267"/>
      <c r="E27" s="268"/>
      <c r="F27" s="64"/>
      <c r="G27" s="64"/>
      <c r="H27" s="82"/>
      <c r="I27" s="81"/>
      <c r="J27" s="64"/>
      <c r="K27" s="80"/>
      <c r="L27" s="79">
        <f t="shared" si="0"/>
        <v>0</v>
      </c>
      <c r="M27" s="64"/>
      <c r="N27" s="64"/>
      <c r="O27" s="64"/>
      <c r="P27" s="80"/>
      <c r="Q27" s="79">
        <f t="shared" si="1"/>
        <v>0</v>
      </c>
      <c r="R27" s="269" t="s">
        <v>282</v>
      </c>
      <c r="S27" s="270"/>
      <c r="T27" s="266"/>
      <c r="U27" s="267"/>
      <c r="V27" s="267"/>
      <c r="W27" s="268"/>
      <c r="X27" s="271">
        <f>IFERROR(INDEX(Table394123[],MATCH(R27,Table394123[Film Type],),3),"")</f>
        <v>0</v>
      </c>
      <c r="Y27" s="271"/>
      <c r="Z27" s="78" t="s">
        <v>55</v>
      </c>
      <c r="AA27" s="78" t="s">
        <v>55</v>
      </c>
      <c r="AB27" s="77"/>
      <c r="AC27" s="76"/>
      <c r="AD27" s="75">
        <f t="shared" si="2"/>
        <v>0</v>
      </c>
      <c r="AG27" s="74">
        <f t="shared" si="3"/>
        <v>0</v>
      </c>
      <c r="AK27" s="65">
        <f t="shared" si="4"/>
        <v>0</v>
      </c>
      <c r="AL27" s="65">
        <f t="shared" si="5"/>
        <v>0</v>
      </c>
      <c r="AM27" s="65">
        <f t="shared" si="6"/>
        <v>0</v>
      </c>
      <c r="AN27" s="73">
        <f t="shared" si="7"/>
        <v>0</v>
      </c>
      <c r="AO27" s="65" t="str">
        <f t="shared" si="8"/>
        <v>0.00</v>
      </c>
      <c r="AP27" s="65" t="str">
        <f t="shared" si="9"/>
        <v>0</v>
      </c>
      <c r="AQ27" s="71">
        <f t="shared" si="10"/>
        <v>0</v>
      </c>
      <c r="AR27" s="72">
        <f t="shared" si="11"/>
        <v>0</v>
      </c>
      <c r="AS27" s="71">
        <f t="shared" si="12"/>
        <v>0</v>
      </c>
      <c r="AT27" s="70">
        <f t="shared" si="13"/>
        <v>0</v>
      </c>
      <c r="AU27" s="70">
        <f t="shared" si="14"/>
        <v>0</v>
      </c>
      <c r="AV27" s="2"/>
      <c r="AW27" s="66">
        <f t="shared" si="15"/>
        <v>0</v>
      </c>
      <c r="AX27" s="68">
        <f>_xlfn.IFNA(INDEX(Table394123[I $ p/ft2],MATCH(R27,Table394123[Film Type],0)),1.75)</f>
        <v>1.75</v>
      </c>
      <c r="AY27" s="69">
        <f>VLOOKUP(Z27,Table134931[#All],2,FALSE)</f>
        <v>1</v>
      </c>
      <c r="AZ27" s="68">
        <f t="shared" si="16"/>
        <v>1.75</v>
      </c>
      <c r="BA27" s="65">
        <f t="shared" si="17"/>
        <v>0</v>
      </c>
      <c r="BB27" s="64">
        <f t="shared" si="18"/>
        <v>0</v>
      </c>
      <c r="BC27" s="67">
        <f t="shared" si="19"/>
        <v>0</v>
      </c>
      <c r="BD27" s="66">
        <f t="shared" si="20"/>
        <v>0</v>
      </c>
      <c r="BE27" s="64"/>
      <c r="BF27" s="66">
        <f t="shared" si="21"/>
        <v>0</v>
      </c>
      <c r="BG27" s="66">
        <f t="shared" si="22"/>
        <v>0</v>
      </c>
      <c r="BH27" s="65">
        <f>VLOOKUP(AA27,Table155133[#All],2,FALSE)</f>
        <v>1</v>
      </c>
      <c r="BI27" s="65">
        <f t="shared" si="23"/>
        <v>0</v>
      </c>
      <c r="BJ27" s="64" t="str">
        <f t="shared" si="24"/>
        <v>0</v>
      </c>
      <c r="BL27" s="89"/>
      <c r="BM27" s="89"/>
      <c r="BQ27" s="6"/>
      <c r="BR27" s="6"/>
      <c r="BS27" s="6"/>
      <c r="BT27" s="6"/>
      <c r="BU27" s="6"/>
      <c r="BV27" s="6"/>
      <c r="BW27" s="6" t="s">
        <v>180</v>
      </c>
      <c r="BX27" s="2"/>
      <c r="CK27" s="86" t="s">
        <v>179</v>
      </c>
      <c r="CL27" s="2">
        <v>4.8099999999999996</v>
      </c>
      <c r="CM27" s="2">
        <f t="shared" si="25"/>
        <v>5.2910000000000004</v>
      </c>
      <c r="CN27" s="87">
        <v>1.5</v>
      </c>
      <c r="CO27" s="84">
        <f t="shared" si="26"/>
        <v>0</v>
      </c>
    </row>
    <row r="28" spans="1:93" ht="13.35" customHeight="1" x14ac:dyDescent="0.45">
      <c r="A28" s="83"/>
      <c r="B28" s="266"/>
      <c r="C28" s="267"/>
      <c r="D28" s="267"/>
      <c r="E28" s="268"/>
      <c r="F28" s="64"/>
      <c r="G28" s="64"/>
      <c r="H28" s="82"/>
      <c r="I28" s="81"/>
      <c r="J28" s="64"/>
      <c r="K28" s="80"/>
      <c r="L28" s="79">
        <f t="shared" si="0"/>
        <v>0</v>
      </c>
      <c r="M28" s="64"/>
      <c r="N28" s="64"/>
      <c r="O28" s="64"/>
      <c r="P28" s="80"/>
      <c r="Q28" s="79">
        <f t="shared" si="1"/>
        <v>0</v>
      </c>
      <c r="R28" s="269" t="s">
        <v>282</v>
      </c>
      <c r="S28" s="270"/>
      <c r="T28" s="266"/>
      <c r="U28" s="267"/>
      <c r="V28" s="267"/>
      <c r="W28" s="268"/>
      <c r="X28" s="271">
        <f>IFERROR(INDEX(Table394123[],MATCH(R28,Table394123[Film Type],),3),"")</f>
        <v>0</v>
      </c>
      <c r="Y28" s="271"/>
      <c r="Z28" s="78" t="s">
        <v>55</v>
      </c>
      <c r="AA28" s="78" t="s">
        <v>55</v>
      </c>
      <c r="AB28" s="77"/>
      <c r="AC28" s="76"/>
      <c r="AD28" s="75">
        <f t="shared" si="2"/>
        <v>0</v>
      </c>
      <c r="AG28" s="74">
        <f t="shared" si="3"/>
        <v>0</v>
      </c>
      <c r="AK28" s="65">
        <f t="shared" si="4"/>
        <v>0</v>
      </c>
      <c r="AL28" s="65">
        <f t="shared" si="5"/>
        <v>0</v>
      </c>
      <c r="AM28" s="65">
        <f t="shared" si="6"/>
        <v>0</v>
      </c>
      <c r="AN28" s="73">
        <f t="shared" si="7"/>
        <v>0</v>
      </c>
      <c r="AO28" s="65" t="str">
        <f t="shared" si="8"/>
        <v>0.00</v>
      </c>
      <c r="AP28" s="65" t="str">
        <f t="shared" si="9"/>
        <v>0</v>
      </c>
      <c r="AQ28" s="71">
        <f t="shared" si="10"/>
        <v>0</v>
      </c>
      <c r="AR28" s="72">
        <f t="shared" si="11"/>
        <v>0</v>
      </c>
      <c r="AS28" s="71">
        <f t="shared" si="12"/>
        <v>0</v>
      </c>
      <c r="AT28" s="70">
        <f t="shared" si="13"/>
        <v>0</v>
      </c>
      <c r="AU28" s="70">
        <f t="shared" si="14"/>
        <v>0</v>
      </c>
      <c r="AV28" s="2"/>
      <c r="AW28" s="66">
        <f t="shared" si="15"/>
        <v>0</v>
      </c>
      <c r="AX28" s="68">
        <f>_xlfn.IFNA(INDEX(Table394123[I $ p/ft2],MATCH(R28,Table394123[Film Type],0)),1.75)</f>
        <v>1.75</v>
      </c>
      <c r="AY28" s="69">
        <f>VLOOKUP(Z28,Table134931[#All],2,FALSE)</f>
        <v>1</v>
      </c>
      <c r="AZ28" s="68">
        <f t="shared" si="16"/>
        <v>1.75</v>
      </c>
      <c r="BA28" s="65">
        <f t="shared" si="17"/>
        <v>0</v>
      </c>
      <c r="BB28" s="64">
        <f t="shared" si="18"/>
        <v>0</v>
      </c>
      <c r="BC28" s="67">
        <f t="shared" si="19"/>
        <v>0</v>
      </c>
      <c r="BD28" s="66">
        <f t="shared" si="20"/>
        <v>0</v>
      </c>
      <c r="BE28" s="64"/>
      <c r="BF28" s="66">
        <f t="shared" si="21"/>
        <v>0</v>
      </c>
      <c r="BG28" s="66">
        <f t="shared" si="22"/>
        <v>0</v>
      </c>
      <c r="BH28" s="65">
        <f>VLOOKUP(AA28,Table155133[#All],2,FALSE)</f>
        <v>1</v>
      </c>
      <c r="BI28" s="65">
        <f t="shared" si="23"/>
        <v>0</v>
      </c>
      <c r="BJ28" s="64" t="str">
        <f t="shared" si="24"/>
        <v>0</v>
      </c>
      <c r="BL28" s="89"/>
      <c r="BM28" s="89"/>
      <c r="BQ28" s="6"/>
      <c r="BR28" s="6"/>
      <c r="BS28" s="6"/>
      <c r="BT28" s="6"/>
      <c r="BU28" s="6"/>
      <c r="BV28" s="6"/>
      <c r="BW28" s="6" t="s">
        <v>178</v>
      </c>
      <c r="BX28" s="2"/>
      <c r="CK28" s="86" t="s">
        <v>177</v>
      </c>
      <c r="CL28" s="2">
        <v>4.8099999999999996</v>
      </c>
      <c r="CM28" s="2">
        <f t="shared" si="25"/>
        <v>5.2910000000000004</v>
      </c>
      <c r="CN28" s="87">
        <v>1.5</v>
      </c>
      <c r="CO28" s="84">
        <f t="shared" si="26"/>
        <v>0</v>
      </c>
    </row>
    <row r="29" spans="1:93" ht="12" customHeight="1" x14ac:dyDescent="0.45">
      <c r="A29" s="83"/>
      <c r="B29" s="173"/>
      <c r="C29" s="174"/>
      <c r="D29" s="174"/>
      <c r="E29" s="175"/>
      <c r="F29" s="157"/>
      <c r="G29" s="157"/>
      <c r="H29" s="158"/>
      <c r="I29" s="159"/>
      <c r="J29" s="157"/>
      <c r="K29" s="160"/>
      <c r="L29" s="79">
        <f t="shared" si="0"/>
        <v>0</v>
      </c>
      <c r="M29" s="64"/>
      <c r="N29" s="64"/>
      <c r="O29" s="64"/>
      <c r="P29" s="80"/>
      <c r="Q29" s="79">
        <f t="shared" si="1"/>
        <v>0</v>
      </c>
      <c r="R29" s="269" t="s">
        <v>282</v>
      </c>
      <c r="S29" s="270"/>
      <c r="T29" s="266"/>
      <c r="U29" s="267"/>
      <c r="V29" s="267"/>
      <c r="W29" s="268"/>
      <c r="X29" s="271">
        <f>IFERROR(INDEX(Table394123[],MATCH(R29,Table394123[Film Type],),3),"")</f>
        <v>0</v>
      </c>
      <c r="Y29" s="271"/>
      <c r="Z29" s="78" t="s">
        <v>55</v>
      </c>
      <c r="AA29" s="78" t="s">
        <v>55</v>
      </c>
      <c r="AB29" s="77"/>
      <c r="AC29" s="76"/>
      <c r="AD29" s="75">
        <f t="shared" si="2"/>
        <v>0</v>
      </c>
      <c r="AG29" s="74">
        <f t="shared" si="3"/>
        <v>0</v>
      </c>
      <c r="AK29" s="65">
        <f t="shared" si="4"/>
        <v>0</v>
      </c>
      <c r="AL29" s="65">
        <f t="shared" si="5"/>
        <v>0</v>
      </c>
      <c r="AM29" s="65">
        <f t="shared" si="6"/>
        <v>0</v>
      </c>
      <c r="AN29" s="73">
        <f t="shared" si="7"/>
        <v>0</v>
      </c>
      <c r="AO29" s="65" t="str">
        <f t="shared" si="8"/>
        <v>0.00</v>
      </c>
      <c r="AP29" s="65" t="str">
        <f t="shared" si="9"/>
        <v>0</v>
      </c>
      <c r="AQ29" s="71">
        <f t="shared" si="10"/>
        <v>0</v>
      </c>
      <c r="AR29" s="72">
        <f t="shared" si="11"/>
        <v>0</v>
      </c>
      <c r="AS29" s="71">
        <f t="shared" si="12"/>
        <v>0</v>
      </c>
      <c r="AT29" s="70">
        <f t="shared" si="13"/>
        <v>0</v>
      </c>
      <c r="AU29" s="70">
        <f t="shared" si="14"/>
        <v>0</v>
      </c>
      <c r="AV29" s="2"/>
      <c r="AW29" s="66">
        <f t="shared" si="15"/>
        <v>0</v>
      </c>
      <c r="AX29" s="68">
        <f>_xlfn.IFNA(INDEX(Table394123[I $ p/ft2],MATCH(R29,Table394123[Film Type],0)),1.75)</f>
        <v>1.75</v>
      </c>
      <c r="AY29" s="69">
        <f>VLOOKUP(Z29,Table134931[#All],2,FALSE)</f>
        <v>1</v>
      </c>
      <c r="AZ29" s="68">
        <f t="shared" si="16"/>
        <v>1.75</v>
      </c>
      <c r="BA29" s="65">
        <f t="shared" si="17"/>
        <v>0</v>
      </c>
      <c r="BB29" s="64">
        <f t="shared" si="18"/>
        <v>0</v>
      </c>
      <c r="BC29" s="67">
        <f t="shared" si="19"/>
        <v>0</v>
      </c>
      <c r="BD29" s="66">
        <f t="shared" si="20"/>
        <v>0</v>
      </c>
      <c r="BE29" s="64"/>
      <c r="BF29" s="66">
        <f t="shared" si="21"/>
        <v>0</v>
      </c>
      <c r="BG29" s="66">
        <f t="shared" si="22"/>
        <v>0</v>
      </c>
      <c r="BH29" s="65">
        <f>VLOOKUP(AA29,Table155133[#All],2,FALSE)</f>
        <v>1</v>
      </c>
      <c r="BI29" s="65">
        <f t="shared" si="23"/>
        <v>0</v>
      </c>
      <c r="BJ29" s="64" t="str">
        <f t="shared" si="24"/>
        <v>0</v>
      </c>
      <c r="BL29" s="89"/>
      <c r="BM29" s="89"/>
      <c r="BQ29" s="6"/>
      <c r="BR29" s="6"/>
      <c r="BS29" s="6"/>
      <c r="BT29" s="6"/>
      <c r="BU29" s="6"/>
      <c r="BV29" s="6"/>
      <c r="BW29" s="6" t="s">
        <v>176</v>
      </c>
      <c r="BX29" s="2"/>
      <c r="CK29" s="86" t="s">
        <v>175</v>
      </c>
      <c r="CL29" s="2">
        <v>4.8099999999999996</v>
      </c>
      <c r="CM29" s="2">
        <f t="shared" si="25"/>
        <v>5.2910000000000004</v>
      </c>
      <c r="CN29" s="87">
        <v>1.5</v>
      </c>
      <c r="CO29" s="84">
        <f t="shared" si="26"/>
        <v>0</v>
      </c>
    </row>
    <row r="30" spans="1:93" ht="12" customHeight="1" x14ac:dyDescent="0.45">
      <c r="A30" s="83"/>
      <c r="B30" s="272"/>
      <c r="C30" s="272"/>
      <c r="D30" s="272"/>
      <c r="E30" s="272"/>
      <c r="F30" s="64"/>
      <c r="G30" s="64"/>
      <c r="H30" s="82"/>
      <c r="I30" s="81"/>
      <c r="J30" s="64"/>
      <c r="K30" s="80"/>
      <c r="L30" s="156">
        <f t="shared" si="0"/>
        <v>0</v>
      </c>
      <c r="M30" s="64"/>
      <c r="N30" s="64"/>
      <c r="O30" s="64"/>
      <c r="P30" s="80"/>
      <c r="Q30" s="79">
        <f t="shared" si="1"/>
        <v>0</v>
      </c>
      <c r="R30" s="269" t="s">
        <v>282</v>
      </c>
      <c r="S30" s="270"/>
      <c r="T30" s="266"/>
      <c r="U30" s="267"/>
      <c r="V30" s="267"/>
      <c r="W30" s="268"/>
      <c r="X30" s="271">
        <f>IFERROR(INDEX(Table394123[],MATCH(R30,Table394123[Film Type],),3),"")</f>
        <v>0</v>
      </c>
      <c r="Y30" s="271"/>
      <c r="Z30" s="78" t="s">
        <v>55</v>
      </c>
      <c r="AA30" s="78" t="s">
        <v>55</v>
      </c>
      <c r="AB30" s="77"/>
      <c r="AC30" s="76"/>
      <c r="AD30" s="75">
        <f t="shared" si="2"/>
        <v>0</v>
      </c>
      <c r="AG30" s="74">
        <f t="shared" si="3"/>
        <v>0</v>
      </c>
      <c r="AK30" s="65">
        <f t="shared" si="4"/>
        <v>0</v>
      </c>
      <c r="AL30" s="65">
        <f t="shared" si="5"/>
        <v>0</v>
      </c>
      <c r="AM30" s="65">
        <f t="shared" si="6"/>
        <v>0</v>
      </c>
      <c r="AN30" s="73">
        <f t="shared" si="7"/>
        <v>0</v>
      </c>
      <c r="AO30" s="65" t="str">
        <f t="shared" si="8"/>
        <v>0.00</v>
      </c>
      <c r="AP30" s="65" t="str">
        <f t="shared" si="9"/>
        <v>0</v>
      </c>
      <c r="AQ30" s="71">
        <f t="shared" si="10"/>
        <v>0</v>
      </c>
      <c r="AR30" s="72">
        <f t="shared" si="11"/>
        <v>0</v>
      </c>
      <c r="AS30" s="71">
        <f t="shared" si="12"/>
        <v>0</v>
      </c>
      <c r="AT30" s="70">
        <f t="shared" si="13"/>
        <v>0</v>
      </c>
      <c r="AU30" s="70">
        <f t="shared" si="14"/>
        <v>0</v>
      </c>
      <c r="AV30" s="2"/>
      <c r="AW30" s="66">
        <f t="shared" si="15"/>
        <v>0</v>
      </c>
      <c r="AX30" s="68">
        <f>_xlfn.IFNA(INDEX(Table394123[I $ p/ft2],MATCH(R30,Table394123[Film Type],0)),1.75)</f>
        <v>1.75</v>
      </c>
      <c r="AY30" s="69">
        <f>VLOOKUP(Z30,Table134931[#All],2,FALSE)</f>
        <v>1</v>
      </c>
      <c r="AZ30" s="68">
        <f t="shared" si="16"/>
        <v>1.75</v>
      </c>
      <c r="BA30" s="65">
        <f t="shared" si="17"/>
        <v>0</v>
      </c>
      <c r="BB30" s="64">
        <f t="shared" si="18"/>
        <v>0</v>
      </c>
      <c r="BC30" s="67">
        <f t="shared" si="19"/>
        <v>0</v>
      </c>
      <c r="BD30" s="66">
        <f t="shared" si="20"/>
        <v>0</v>
      </c>
      <c r="BE30" s="64"/>
      <c r="BF30" s="66">
        <f t="shared" si="21"/>
        <v>0</v>
      </c>
      <c r="BG30" s="66">
        <f t="shared" si="22"/>
        <v>0</v>
      </c>
      <c r="BH30" s="65">
        <f>VLOOKUP(AA30,Table155133[#All],2,FALSE)</f>
        <v>1</v>
      </c>
      <c r="BI30" s="65">
        <f t="shared" si="23"/>
        <v>0</v>
      </c>
      <c r="BJ30" s="64" t="str">
        <f t="shared" si="24"/>
        <v>0</v>
      </c>
      <c r="BL30" s="89"/>
      <c r="BM30" s="89"/>
      <c r="BQ30" s="6"/>
      <c r="BR30" s="6"/>
      <c r="BS30" s="6"/>
      <c r="BT30" s="6"/>
      <c r="BU30" s="6"/>
      <c r="BV30" s="6"/>
      <c r="BW30" s="6" t="s">
        <v>174</v>
      </c>
      <c r="BX30" s="2"/>
      <c r="CK30" s="86" t="s">
        <v>173</v>
      </c>
      <c r="CL30" s="2">
        <v>5.36</v>
      </c>
      <c r="CM30" s="2">
        <f t="shared" si="25"/>
        <v>5.8960000000000008</v>
      </c>
      <c r="CN30" s="87">
        <v>1.5</v>
      </c>
      <c r="CO30" s="84">
        <f t="shared" si="26"/>
        <v>0</v>
      </c>
    </row>
    <row r="31" spans="1:93" ht="12" customHeight="1" x14ac:dyDescent="0.45">
      <c r="A31" s="83"/>
      <c r="B31" s="272"/>
      <c r="C31" s="272"/>
      <c r="D31" s="272"/>
      <c r="E31" s="272"/>
      <c r="F31" s="64"/>
      <c r="G31" s="64"/>
      <c r="H31" s="82"/>
      <c r="I31" s="81"/>
      <c r="J31" s="64"/>
      <c r="K31" s="80"/>
      <c r="L31" s="156">
        <f t="shared" si="0"/>
        <v>0</v>
      </c>
      <c r="M31" s="64"/>
      <c r="N31" s="64"/>
      <c r="O31" s="64"/>
      <c r="P31" s="80"/>
      <c r="Q31" s="79">
        <f t="shared" si="1"/>
        <v>0</v>
      </c>
      <c r="R31" s="269" t="s">
        <v>282</v>
      </c>
      <c r="S31" s="270"/>
      <c r="T31" s="266"/>
      <c r="U31" s="267"/>
      <c r="V31" s="267"/>
      <c r="W31" s="268"/>
      <c r="X31" s="271">
        <f>IFERROR(INDEX(Table394123[],MATCH(R31,Table394123[Film Type],),3),"")</f>
        <v>0</v>
      </c>
      <c r="Y31" s="271"/>
      <c r="Z31" s="78" t="s">
        <v>55</v>
      </c>
      <c r="AA31" s="78" t="s">
        <v>55</v>
      </c>
      <c r="AB31" s="77"/>
      <c r="AC31" s="76"/>
      <c r="AD31" s="75">
        <f t="shared" si="2"/>
        <v>0</v>
      </c>
      <c r="AG31" s="74">
        <f t="shared" si="3"/>
        <v>0</v>
      </c>
      <c r="AK31" s="65">
        <f t="shared" si="4"/>
        <v>0</v>
      </c>
      <c r="AL31" s="65">
        <f t="shared" si="5"/>
        <v>0</v>
      </c>
      <c r="AM31" s="65">
        <f t="shared" si="6"/>
        <v>0</v>
      </c>
      <c r="AN31" s="73">
        <f t="shared" si="7"/>
        <v>0</v>
      </c>
      <c r="AO31" s="65" t="str">
        <f t="shared" si="8"/>
        <v>0.00</v>
      </c>
      <c r="AP31" s="65" t="str">
        <f t="shared" si="9"/>
        <v>0</v>
      </c>
      <c r="AQ31" s="71">
        <f t="shared" si="10"/>
        <v>0</v>
      </c>
      <c r="AR31" s="72">
        <f t="shared" si="11"/>
        <v>0</v>
      </c>
      <c r="AS31" s="71">
        <f t="shared" si="12"/>
        <v>0</v>
      </c>
      <c r="AT31" s="70">
        <f t="shared" si="13"/>
        <v>0</v>
      </c>
      <c r="AU31" s="70">
        <f t="shared" si="14"/>
        <v>0</v>
      </c>
      <c r="AV31" s="2"/>
      <c r="AW31" s="66">
        <f t="shared" si="15"/>
        <v>0</v>
      </c>
      <c r="AX31" s="68">
        <f>_xlfn.IFNA(INDEX(Table394123[I $ p/ft2],MATCH(R31,Table394123[Film Type],0)),1.75)</f>
        <v>1.75</v>
      </c>
      <c r="AY31" s="69">
        <f>VLOOKUP(Z31,Table134931[#All],2,FALSE)</f>
        <v>1</v>
      </c>
      <c r="AZ31" s="68">
        <f t="shared" si="16"/>
        <v>1.75</v>
      </c>
      <c r="BA31" s="65">
        <f t="shared" si="17"/>
        <v>0</v>
      </c>
      <c r="BB31" s="64">
        <f t="shared" si="18"/>
        <v>0</v>
      </c>
      <c r="BC31" s="67">
        <f t="shared" si="19"/>
        <v>0</v>
      </c>
      <c r="BD31" s="66">
        <f t="shared" si="20"/>
        <v>0</v>
      </c>
      <c r="BE31" s="64"/>
      <c r="BF31" s="66">
        <f t="shared" si="21"/>
        <v>0</v>
      </c>
      <c r="BG31" s="66">
        <f t="shared" si="22"/>
        <v>0</v>
      </c>
      <c r="BH31" s="65">
        <f>VLOOKUP(AA31,Table155133[#All],2,FALSE)</f>
        <v>1</v>
      </c>
      <c r="BI31" s="65">
        <f t="shared" si="23"/>
        <v>0</v>
      </c>
      <c r="BJ31" s="64" t="str">
        <f t="shared" si="24"/>
        <v>0</v>
      </c>
      <c r="BL31" s="89"/>
      <c r="BM31" s="89"/>
      <c r="BQ31" s="6"/>
      <c r="BR31" s="6"/>
      <c r="BS31" s="6"/>
      <c r="BT31" s="6"/>
      <c r="BU31" s="6"/>
      <c r="BV31" s="6"/>
      <c r="BX31" s="2"/>
      <c r="CK31" s="86" t="s">
        <v>172</v>
      </c>
      <c r="CL31" s="2">
        <v>5.36</v>
      </c>
      <c r="CM31" s="2">
        <f t="shared" si="25"/>
        <v>5.8960000000000008</v>
      </c>
      <c r="CN31" s="87">
        <v>1.5</v>
      </c>
      <c r="CO31" s="84">
        <f t="shared" si="26"/>
        <v>0</v>
      </c>
    </row>
    <row r="32" spans="1:93" ht="12" customHeight="1" x14ac:dyDescent="0.45">
      <c r="A32" s="83"/>
      <c r="B32" s="272"/>
      <c r="C32" s="272"/>
      <c r="D32" s="272"/>
      <c r="E32" s="272"/>
      <c r="F32" s="64"/>
      <c r="G32" s="64"/>
      <c r="H32" s="82"/>
      <c r="I32" s="81"/>
      <c r="J32" s="64"/>
      <c r="K32" s="80"/>
      <c r="L32" s="156">
        <f t="shared" si="0"/>
        <v>0</v>
      </c>
      <c r="M32" s="64"/>
      <c r="N32" s="64"/>
      <c r="O32" s="64"/>
      <c r="P32" s="80"/>
      <c r="Q32" s="79">
        <f t="shared" si="1"/>
        <v>0</v>
      </c>
      <c r="R32" s="269" t="s">
        <v>282</v>
      </c>
      <c r="S32" s="270"/>
      <c r="T32" s="266"/>
      <c r="U32" s="267"/>
      <c r="V32" s="267"/>
      <c r="W32" s="268"/>
      <c r="X32" s="271">
        <f>IFERROR(INDEX(Table394123[],MATCH(R32,Table394123[Film Type],),3),"")</f>
        <v>0</v>
      </c>
      <c r="Y32" s="271"/>
      <c r="Z32" s="78" t="s">
        <v>55</v>
      </c>
      <c r="AA32" s="78" t="s">
        <v>55</v>
      </c>
      <c r="AB32" s="77"/>
      <c r="AC32" s="76"/>
      <c r="AD32" s="75">
        <f t="shared" si="2"/>
        <v>0</v>
      </c>
      <c r="AG32" s="74">
        <f t="shared" si="3"/>
        <v>0</v>
      </c>
      <c r="AK32" s="65">
        <f t="shared" si="4"/>
        <v>0</v>
      </c>
      <c r="AL32" s="65">
        <f t="shared" si="5"/>
        <v>0</v>
      </c>
      <c r="AM32" s="65">
        <f t="shared" si="6"/>
        <v>0</v>
      </c>
      <c r="AN32" s="73">
        <f t="shared" si="7"/>
        <v>0</v>
      </c>
      <c r="AO32" s="65" t="str">
        <f t="shared" si="8"/>
        <v>0.00</v>
      </c>
      <c r="AP32" s="65" t="str">
        <f t="shared" si="9"/>
        <v>0</v>
      </c>
      <c r="AQ32" s="71">
        <f t="shared" si="10"/>
        <v>0</v>
      </c>
      <c r="AR32" s="72">
        <f t="shared" si="11"/>
        <v>0</v>
      </c>
      <c r="AS32" s="71">
        <f t="shared" si="12"/>
        <v>0</v>
      </c>
      <c r="AT32" s="70">
        <f t="shared" si="13"/>
        <v>0</v>
      </c>
      <c r="AU32" s="70">
        <f t="shared" si="14"/>
        <v>0</v>
      </c>
      <c r="AV32" s="2"/>
      <c r="AW32" s="66">
        <f t="shared" si="15"/>
        <v>0</v>
      </c>
      <c r="AX32" s="68">
        <f>_xlfn.IFNA(INDEX(Table394123[I $ p/ft2],MATCH(R32,Table394123[Film Type],0)),1.75)</f>
        <v>1.75</v>
      </c>
      <c r="AY32" s="69">
        <f>VLOOKUP(Z32,Table134931[#All],2,FALSE)</f>
        <v>1</v>
      </c>
      <c r="AZ32" s="68">
        <f t="shared" si="16"/>
        <v>1.75</v>
      </c>
      <c r="BA32" s="65">
        <f t="shared" si="17"/>
        <v>0</v>
      </c>
      <c r="BB32" s="64">
        <f t="shared" si="18"/>
        <v>0</v>
      </c>
      <c r="BC32" s="67">
        <f t="shared" si="19"/>
        <v>0</v>
      </c>
      <c r="BD32" s="66">
        <f t="shared" si="20"/>
        <v>0</v>
      </c>
      <c r="BE32" s="64"/>
      <c r="BF32" s="66">
        <f t="shared" si="21"/>
        <v>0</v>
      </c>
      <c r="BG32" s="66">
        <f t="shared" si="22"/>
        <v>0</v>
      </c>
      <c r="BH32" s="65">
        <f>VLOOKUP(AA32,Table155133[#All],2,FALSE)</f>
        <v>1</v>
      </c>
      <c r="BI32" s="65">
        <f t="shared" si="23"/>
        <v>0</v>
      </c>
      <c r="BJ32" s="64" t="str">
        <f t="shared" si="24"/>
        <v>0</v>
      </c>
      <c r="BL32" s="89"/>
      <c r="BM32" s="89"/>
      <c r="BQ32" s="6"/>
      <c r="BR32" s="6"/>
      <c r="BS32" s="6"/>
      <c r="BT32" s="6"/>
      <c r="BU32" s="6"/>
      <c r="BV32" s="6"/>
      <c r="BX32" s="2"/>
      <c r="CK32" s="86" t="s">
        <v>171</v>
      </c>
      <c r="CL32" s="2">
        <v>5.14</v>
      </c>
      <c r="CM32" s="2">
        <f t="shared" si="25"/>
        <v>5.6539999999999999</v>
      </c>
      <c r="CN32" s="87">
        <v>1.5</v>
      </c>
      <c r="CO32" s="84">
        <f t="shared" si="26"/>
        <v>0</v>
      </c>
    </row>
    <row r="33" spans="1:93" ht="12" customHeight="1" x14ac:dyDescent="0.45">
      <c r="A33" s="83"/>
      <c r="B33" s="272"/>
      <c r="C33" s="272"/>
      <c r="D33" s="272"/>
      <c r="E33" s="272"/>
      <c r="F33" s="64"/>
      <c r="G33" s="64"/>
      <c r="H33" s="82"/>
      <c r="I33" s="81"/>
      <c r="J33" s="64"/>
      <c r="K33" s="80"/>
      <c r="L33" s="156">
        <f t="shared" si="0"/>
        <v>0</v>
      </c>
      <c r="M33" s="64"/>
      <c r="N33" s="64"/>
      <c r="O33" s="64"/>
      <c r="P33" s="80"/>
      <c r="Q33" s="79">
        <f t="shared" si="1"/>
        <v>0</v>
      </c>
      <c r="R33" s="269" t="s">
        <v>282</v>
      </c>
      <c r="S33" s="270"/>
      <c r="T33" s="266"/>
      <c r="U33" s="267"/>
      <c r="V33" s="267"/>
      <c r="W33" s="268"/>
      <c r="X33" s="271">
        <f>IFERROR(INDEX(Table394123[],MATCH(R33,Table394123[Film Type],),3),"")</f>
        <v>0</v>
      </c>
      <c r="Y33" s="271"/>
      <c r="Z33" s="78" t="s">
        <v>55</v>
      </c>
      <c r="AA33" s="78" t="s">
        <v>55</v>
      </c>
      <c r="AB33" s="77"/>
      <c r="AC33" s="76"/>
      <c r="AD33" s="75">
        <f t="shared" si="2"/>
        <v>0</v>
      </c>
      <c r="AG33" s="74">
        <f t="shared" si="3"/>
        <v>0</v>
      </c>
      <c r="AK33" s="65">
        <f t="shared" si="4"/>
        <v>0</v>
      </c>
      <c r="AL33" s="65">
        <f t="shared" si="5"/>
        <v>0</v>
      </c>
      <c r="AM33" s="65">
        <f t="shared" si="6"/>
        <v>0</v>
      </c>
      <c r="AN33" s="73">
        <f t="shared" si="7"/>
        <v>0</v>
      </c>
      <c r="AO33" s="65" t="str">
        <f t="shared" si="8"/>
        <v>0.00</v>
      </c>
      <c r="AP33" s="65" t="str">
        <f t="shared" si="9"/>
        <v>0</v>
      </c>
      <c r="AQ33" s="71">
        <f t="shared" si="10"/>
        <v>0</v>
      </c>
      <c r="AR33" s="72">
        <f t="shared" si="11"/>
        <v>0</v>
      </c>
      <c r="AS33" s="71">
        <f t="shared" si="12"/>
        <v>0</v>
      </c>
      <c r="AT33" s="70">
        <f t="shared" si="13"/>
        <v>0</v>
      </c>
      <c r="AU33" s="70">
        <f t="shared" si="14"/>
        <v>0</v>
      </c>
      <c r="AV33" s="2"/>
      <c r="AW33" s="66">
        <f t="shared" si="15"/>
        <v>0</v>
      </c>
      <c r="AX33" s="68">
        <f>_xlfn.IFNA(INDEX(Table394123[I $ p/ft2],MATCH(R33,Table394123[Film Type],0)),1.75)</f>
        <v>1.75</v>
      </c>
      <c r="AY33" s="69">
        <f>VLOOKUP(Z33,Table134931[#All],2,FALSE)</f>
        <v>1</v>
      </c>
      <c r="AZ33" s="68">
        <f t="shared" si="16"/>
        <v>1.75</v>
      </c>
      <c r="BA33" s="65">
        <f t="shared" si="17"/>
        <v>0</v>
      </c>
      <c r="BB33" s="64">
        <f t="shared" si="18"/>
        <v>0</v>
      </c>
      <c r="BC33" s="67">
        <f t="shared" si="19"/>
        <v>0</v>
      </c>
      <c r="BD33" s="66">
        <f t="shared" si="20"/>
        <v>0</v>
      </c>
      <c r="BE33" s="64"/>
      <c r="BF33" s="66">
        <f t="shared" si="21"/>
        <v>0</v>
      </c>
      <c r="BG33" s="66">
        <f t="shared" si="22"/>
        <v>0</v>
      </c>
      <c r="BH33" s="65">
        <f>VLOOKUP(AA33,Table155133[#All],2,FALSE)</f>
        <v>1</v>
      </c>
      <c r="BI33" s="65">
        <f t="shared" si="23"/>
        <v>0</v>
      </c>
      <c r="BJ33" s="64" t="str">
        <f t="shared" si="24"/>
        <v>0</v>
      </c>
      <c r="BL33" s="89"/>
      <c r="BM33" s="89"/>
      <c r="BQ33" s="6"/>
      <c r="BR33" s="6"/>
      <c r="BS33" s="6"/>
      <c r="BT33" s="6"/>
      <c r="BU33" s="6"/>
      <c r="BV33" s="6"/>
      <c r="BX33" s="2"/>
      <c r="CK33" s="86" t="s">
        <v>170</v>
      </c>
      <c r="CL33" s="2">
        <v>5.14</v>
      </c>
      <c r="CM33" s="2">
        <f t="shared" si="25"/>
        <v>5.6539999999999999</v>
      </c>
      <c r="CN33" s="87">
        <v>1.5</v>
      </c>
      <c r="CO33" s="84">
        <f t="shared" si="26"/>
        <v>0</v>
      </c>
    </row>
    <row r="34" spans="1:93" ht="12" customHeight="1" x14ac:dyDescent="0.45">
      <c r="A34" s="83"/>
      <c r="B34" s="272"/>
      <c r="C34" s="272"/>
      <c r="D34" s="272"/>
      <c r="E34" s="272"/>
      <c r="F34" s="64"/>
      <c r="G34" s="64"/>
      <c r="H34" s="82"/>
      <c r="I34" s="81"/>
      <c r="J34" s="64"/>
      <c r="K34" s="80"/>
      <c r="L34" s="156">
        <f t="shared" si="0"/>
        <v>0</v>
      </c>
      <c r="M34" s="64"/>
      <c r="N34" s="64"/>
      <c r="O34" s="64"/>
      <c r="P34" s="80"/>
      <c r="Q34" s="79">
        <f t="shared" si="1"/>
        <v>0</v>
      </c>
      <c r="R34" s="269" t="s">
        <v>282</v>
      </c>
      <c r="S34" s="270"/>
      <c r="T34" s="266"/>
      <c r="U34" s="267"/>
      <c r="V34" s="267"/>
      <c r="W34" s="268"/>
      <c r="X34" s="271">
        <f>IFERROR(INDEX(Table394123[],MATCH(R34,Table394123[Film Type],),3),"")</f>
        <v>0</v>
      </c>
      <c r="Y34" s="271"/>
      <c r="Z34" s="78" t="s">
        <v>55</v>
      </c>
      <c r="AA34" s="78" t="s">
        <v>55</v>
      </c>
      <c r="AB34" s="77"/>
      <c r="AC34" s="76"/>
      <c r="AD34" s="75">
        <f t="shared" si="2"/>
        <v>0</v>
      </c>
      <c r="AG34" s="74">
        <f t="shared" si="3"/>
        <v>0</v>
      </c>
      <c r="AK34" s="65">
        <f t="shared" si="4"/>
        <v>0</v>
      </c>
      <c r="AL34" s="65">
        <f t="shared" si="5"/>
        <v>0</v>
      </c>
      <c r="AM34" s="65">
        <f t="shared" si="6"/>
        <v>0</v>
      </c>
      <c r="AN34" s="73">
        <f t="shared" si="7"/>
        <v>0</v>
      </c>
      <c r="AO34" s="65" t="str">
        <f t="shared" si="8"/>
        <v>0.00</v>
      </c>
      <c r="AP34" s="65" t="str">
        <f t="shared" si="9"/>
        <v>0</v>
      </c>
      <c r="AQ34" s="71">
        <f t="shared" si="10"/>
        <v>0</v>
      </c>
      <c r="AR34" s="72">
        <f t="shared" si="11"/>
        <v>0</v>
      </c>
      <c r="AS34" s="71">
        <f t="shared" si="12"/>
        <v>0</v>
      </c>
      <c r="AT34" s="70">
        <f t="shared" si="13"/>
        <v>0</v>
      </c>
      <c r="AU34" s="70">
        <f t="shared" si="14"/>
        <v>0</v>
      </c>
      <c r="AV34" s="2"/>
      <c r="AW34" s="66">
        <f t="shared" si="15"/>
        <v>0</v>
      </c>
      <c r="AX34" s="68">
        <f>_xlfn.IFNA(INDEX(Table394123[I $ p/ft2],MATCH(R34,Table394123[Film Type],0)),1.75)</f>
        <v>1.75</v>
      </c>
      <c r="AY34" s="69">
        <f>VLOOKUP(Z34,Table134931[#All],2,FALSE)</f>
        <v>1</v>
      </c>
      <c r="AZ34" s="68">
        <f t="shared" si="16"/>
        <v>1.75</v>
      </c>
      <c r="BA34" s="65">
        <f t="shared" si="17"/>
        <v>0</v>
      </c>
      <c r="BB34" s="64">
        <f t="shared" si="18"/>
        <v>0</v>
      </c>
      <c r="BC34" s="67">
        <f t="shared" si="19"/>
        <v>0</v>
      </c>
      <c r="BD34" s="66">
        <f t="shared" si="20"/>
        <v>0</v>
      </c>
      <c r="BE34" s="64"/>
      <c r="BF34" s="66">
        <f t="shared" si="21"/>
        <v>0</v>
      </c>
      <c r="BG34" s="66">
        <f t="shared" si="22"/>
        <v>0</v>
      </c>
      <c r="BH34" s="65">
        <f>VLOOKUP(AA34,Table155133[#All],2,FALSE)</f>
        <v>1</v>
      </c>
      <c r="BI34" s="65">
        <f t="shared" si="23"/>
        <v>0</v>
      </c>
      <c r="BJ34" s="64" t="str">
        <f t="shared" si="24"/>
        <v>0</v>
      </c>
      <c r="BL34" s="89"/>
      <c r="BM34" s="89"/>
      <c r="BQ34" s="6"/>
      <c r="BR34" s="6"/>
      <c r="BS34" s="6"/>
      <c r="BT34" s="6"/>
      <c r="BU34" s="6"/>
      <c r="BV34" s="6"/>
      <c r="BX34" s="2"/>
      <c r="CK34" s="86" t="s">
        <v>169</v>
      </c>
      <c r="CL34" s="2">
        <v>4.12</v>
      </c>
      <c r="CM34" s="2">
        <f t="shared" si="25"/>
        <v>4.5320000000000009</v>
      </c>
      <c r="CN34" s="87">
        <v>1.5</v>
      </c>
      <c r="CO34" s="84">
        <f t="shared" si="26"/>
        <v>0</v>
      </c>
    </row>
    <row r="35" spans="1:93" ht="12" customHeight="1" x14ac:dyDescent="0.45">
      <c r="A35" s="83"/>
      <c r="B35" s="272"/>
      <c r="C35" s="272"/>
      <c r="D35" s="272"/>
      <c r="E35" s="272"/>
      <c r="F35" s="64"/>
      <c r="G35" s="64"/>
      <c r="H35" s="82"/>
      <c r="I35" s="81"/>
      <c r="J35" s="64"/>
      <c r="K35" s="80"/>
      <c r="L35" s="156">
        <f t="shared" si="0"/>
        <v>0</v>
      </c>
      <c r="M35" s="64"/>
      <c r="N35" s="64"/>
      <c r="O35" s="64"/>
      <c r="P35" s="80"/>
      <c r="Q35" s="79">
        <f t="shared" si="1"/>
        <v>0</v>
      </c>
      <c r="R35" s="269" t="s">
        <v>282</v>
      </c>
      <c r="S35" s="270"/>
      <c r="T35" s="266"/>
      <c r="U35" s="267"/>
      <c r="V35" s="267"/>
      <c r="W35" s="268"/>
      <c r="X35" s="271">
        <f>IFERROR(INDEX(Table394123[],MATCH(R35,Table394123[Film Type],),3),"")</f>
        <v>0</v>
      </c>
      <c r="Y35" s="271"/>
      <c r="Z35" s="78" t="s">
        <v>55</v>
      </c>
      <c r="AA35" s="78" t="s">
        <v>55</v>
      </c>
      <c r="AB35" s="77"/>
      <c r="AC35" s="76"/>
      <c r="AD35" s="75">
        <f t="shared" si="2"/>
        <v>0</v>
      </c>
      <c r="AG35" s="74">
        <f t="shared" si="3"/>
        <v>0</v>
      </c>
      <c r="AK35" s="65">
        <f t="shared" si="4"/>
        <v>0</v>
      </c>
      <c r="AL35" s="65">
        <f t="shared" si="5"/>
        <v>0</v>
      </c>
      <c r="AM35" s="65">
        <f t="shared" si="6"/>
        <v>0</v>
      </c>
      <c r="AN35" s="73">
        <f t="shared" si="7"/>
        <v>0</v>
      </c>
      <c r="AO35" s="65" t="str">
        <f t="shared" si="8"/>
        <v>0.00</v>
      </c>
      <c r="AP35" s="65" t="str">
        <f t="shared" si="9"/>
        <v>0</v>
      </c>
      <c r="AQ35" s="71">
        <f t="shared" si="10"/>
        <v>0</v>
      </c>
      <c r="AR35" s="72">
        <f t="shared" si="11"/>
        <v>0</v>
      </c>
      <c r="AS35" s="71">
        <f t="shared" si="12"/>
        <v>0</v>
      </c>
      <c r="AT35" s="70">
        <f t="shared" si="13"/>
        <v>0</v>
      </c>
      <c r="AU35" s="70">
        <f t="shared" si="14"/>
        <v>0</v>
      </c>
      <c r="AV35" s="2"/>
      <c r="AW35" s="66">
        <f t="shared" si="15"/>
        <v>0</v>
      </c>
      <c r="AX35" s="68">
        <f>_xlfn.IFNA(INDEX(Table394123[I $ p/ft2],MATCH(R35,Table394123[Film Type],0)),1.75)</f>
        <v>1.75</v>
      </c>
      <c r="AY35" s="69">
        <f>VLOOKUP(Z35,Table134931[#All],2,FALSE)</f>
        <v>1</v>
      </c>
      <c r="AZ35" s="68">
        <f t="shared" si="16"/>
        <v>1.75</v>
      </c>
      <c r="BA35" s="65">
        <f t="shared" si="17"/>
        <v>0</v>
      </c>
      <c r="BB35" s="64">
        <f t="shared" si="18"/>
        <v>0</v>
      </c>
      <c r="BC35" s="67">
        <f t="shared" si="19"/>
        <v>0</v>
      </c>
      <c r="BD35" s="66">
        <f t="shared" si="20"/>
        <v>0</v>
      </c>
      <c r="BE35" s="64"/>
      <c r="BF35" s="66">
        <f t="shared" si="21"/>
        <v>0</v>
      </c>
      <c r="BG35" s="66">
        <f t="shared" si="22"/>
        <v>0</v>
      </c>
      <c r="BH35" s="65">
        <f>VLOOKUP(AA35,Table155133[#All],2,FALSE)</f>
        <v>1</v>
      </c>
      <c r="BI35" s="65">
        <f t="shared" si="23"/>
        <v>0</v>
      </c>
      <c r="BJ35" s="64" t="str">
        <f t="shared" si="24"/>
        <v>0</v>
      </c>
      <c r="BL35" s="89"/>
      <c r="BM35" s="89"/>
      <c r="BQ35" s="6"/>
      <c r="BR35" s="6"/>
      <c r="BS35" s="6"/>
      <c r="BT35" s="6"/>
      <c r="BU35" s="6"/>
      <c r="BV35" s="6"/>
      <c r="BW35" s="6"/>
      <c r="BX35" s="2"/>
      <c r="CK35" s="86" t="s">
        <v>168</v>
      </c>
      <c r="CL35" s="2">
        <v>1.59</v>
      </c>
      <c r="CM35" s="2">
        <f t="shared" si="25"/>
        <v>1.7490000000000003</v>
      </c>
      <c r="CN35" s="87">
        <v>1.5</v>
      </c>
      <c r="CO35" s="84">
        <f t="shared" si="26"/>
        <v>0</v>
      </c>
    </row>
    <row r="36" spans="1:93" ht="12" customHeight="1" x14ac:dyDescent="0.45">
      <c r="A36" s="83"/>
      <c r="B36" s="272"/>
      <c r="C36" s="272"/>
      <c r="D36" s="272"/>
      <c r="E36" s="272"/>
      <c r="F36" s="64"/>
      <c r="G36" s="64"/>
      <c r="H36" s="82"/>
      <c r="I36" s="81"/>
      <c r="J36" s="64"/>
      <c r="K36" s="80"/>
      <c r="L36" s="156">
        <f t="shared" si="0"/>
        <v>0</v>
      </c>
      <c r="M36" s="64"/>
      <c r="N36" s="64"/>
      <c r="O36" s="64"/>
      <c r="P36" s="80"/>
      <c r="Q36" s="79">
        <f t="shared" si="1"/>
        <v>0</v>
      </c>
      <c r="R36" s="269" t="s">
        <v>282</v>
      </c>
      <c r="S36" s="270"/>
      <c r="T36" s="266"/>
      <c r="U36" s="267"/>
      <c r="V36" s="267"/>
      <c r="W36" s="268"/>
      <c r="X36" s="271">
        <f>IFERROR(INDEX(Table394123[],MATCH(R36,Table394123[Film Type],),3),"")</f>
        <v>0</v>
      </c>
      <c r="Y36" s="271"/>
      <c r="Z36" s="78" t="s">
        <v>55</v>
      </c>
      <c r="AA36" s="78" t="s">
        <v>55</v>
      </c>
      <c r="AB36" s="77"/>
      <c r="AC36" s="76"/>
      <c r="AD36" s="75">
        <f t="shared" si="2"/>
        <v>0</v>
      </c>
      <c r="AG36" s="74">
        <f t="shared" si="3"/>
        <v>0</v>
      </c>
      <c r="AK36" s="65">
        <f t="shared" si="4"/>
        <v>0</v>
      </c>
      <c r="AL36" s="65">
        <f t="shared" si="5"/>
        <v>0</v>
      </c>
      <c r="AM36" s="65">
        <f t="shared" si="6"/>
        <v>0</v>
      </c>
      <c r="AN36" s="73">
        <f t="shared" si="7"/>
        <v>0</v>
      </c>
      <c r="AO36" s="65" t="str">
        <f t="shared" si="8"/>
        <v>0.00</v>
      </c>
      <c r="AP36" s="65" t="str">
        <f t="shared" si="9"/>
        <v>0</v>
      </c>
      <c r="AQ36" s="71">
        <f t="shared" si="10"/>
        <v>0</v>
      </c>
      <c r="AR36" s="72">
        <f t="shared" si="11"/>
        <v>0</v>
      </c>
      <c r="AS36" s="71">
        <f t="shared" si="12"/>
        <v>0</v>
      </c>
      <c r="AT36" s="70">
        <f t="shared" si="13"/>
        <v>0</v>
      </c>
      <c r="AU36" s="70">
        <f t="shared" si="14"/>
        <v>0</v>
      </c>
      <c r="AV36" s="2"/>
      <c r="AW36" s="66">
        <f t="shared" si="15"/>
        <v>0</v>
      </c>
      <c r="AX36" s="68">
        <f>_xlfn.IFNA(INDEX(Table394123[I $ p/ft2],MATCH(R36,Table394123[Film Type],0)),1.75)</f>
        <v>1.75</v>
      </c>
      <c r="AY36" s="69">
        <f>VLOOKUP(Z36,Table134931[#All],2,FALSE)</f>
        <v>1</v>
      </c>
      <c r="AZ36" s="68">
        <f t="shared" si="16"/>
        <v>1.75</v>
      </c>
      <c r="BA36" s="65">
        <f t="shared" si="17"/>
        <v>0</v>
      </c>
      <c r="BB36" s="64">
        <f t="shared" si="18"/>
        <v>0</v>
      </c>
      <c r="BC36" s="67">
        <f t="shared" si="19"/>
        <v>0</v>
      </c>
      <c r="BD36" s="66">
        <f t="shared" si="20"/>
        <v>0</v>
      </c>
      <c r="BE36" s="64"/>
      <c r="BF36" s="66">
        <f t="shared" si="21"/>
        <v>0</v>
      </c>
      <c r="BG36" s="66">
        <f t="shared" si="22"/>
        <v>0</v>
      </c>
      <c r="BH36" s="65">
        <f>VLOOKUP(AA36,Table155133[#All],2,FALSE)</f>
        <v>1</v>
      </c>
      <c r="BI36" s="65">
        <f t="shared" si="23"/>
        <v>0</v>
      </c>
      <c r="BJ36" s="64" t="str">
        <f t="shared" si="24"/>
        <v>0</v>
      </c>
      <c r="BL36" s="89"/>
      <c r="BM36" s="89"/>
      <c r="BQ36" s="6"/>
      <c r="BR36" s="6"/>
      <c r="BS36" s="6"/>
      <c r="BT36" s="6"/>
      <c r="BU36" s="6"/>
      <c r="BV36" s="6"/>
      <c r="BW36" s="6"/>
      <c r="BX36" s="2"/>
      <c r="CK36" s="86" t="s">
        <v>167</v>
      </c>
      <c r="CL36" s="2">
        <v>1.59</v>
      </c>
      <c r="CM36" s="2">
        <f t="shared" si="25"/>
        <v>1.7490000000000003</v>
      </c>
      <c r="CN36" s="87">
        <v>1.5</v>
      </c>
      <c r="CO36" s="84">
        <f t="shared" si="26"/>
        <v>0</v>
      </c>
    </row>
    <row r="37" spans="1:93" ht="14.1" customHeight="1" x14ac:dyDescent="0.45">
      <c r="A37" s="83"/>
      <c r="B37" s="272"/>
      <c r="C37" s="272"/>
      <c r="D37" s="272"/>
      <c r="E37" s="272"/>
      <c r="F37" s="64"/>
      <c r="G37" s="64"/>
      <c r="H37" s="82"/>
      <c r="I37" s="81"/>
      <c r="J37" s="64"/>
      <c r="K37" s="80"/>
      <c r="L37" s="156">
        <f t="shared" si="0"/>
        <v>0</v>
      </c>
      <c r="M37" s="64"/>
      <c r="N37" s="64"/>
      <c r="O37" s="64"/>
      <c r="P37" s="80"/>
      <c r="Q37" s="79">
        <f t="shared" si="1"/>
        <v>0</v>
      </c>
      <c r="R37" s="269" t="s">
        <v>282</v>
      </c>
      <c r="S37" s="270"/>
      <c r="T37" s="266"/>
      <c r="U37" s="267"/>
      <c r="V37" s="267"/>
      <c r="W37" s="268"/>
      <c r="X37" s="271">
        <f>IFERROR(INDEX(Table394123[],MATCH(R37,Table394123[Film Type],),3),"")</f>
        <v>0</v>
      </c>
      <c r="Y37" s="271"/>
      <c r="Z37" s="78" t="s">
        <v>55</v>
      </c>
      <c r="AA37" s="78" t="s">
        <v>55</v>
      </c>
      <c r="AB37" s="77"/>
      <c r="AC37" s="76"/>
      <c r="AD37" s="75">
        <f t="shared" si="2"/>
        <v>0</v>
      </c>
      <c r="AG37" s="74">
        <f t="shared" si="3"/>
        <v>0</v>
      </c>
      <c r="AK37" s="65">
        <f t="shared" si="4"/>
        <v>0</v>
      </c>
      <c r="AL37" s="65">
        <f t="shared" si="5"/>
        <v>0</v>
      </c>
      <c r="AM37" s="65">
        <f t="shared" si="6"/>
        <v>0</v>
      </c>
      <c r="AN37" s="73">
        <f t="shared" si="7"/>
        <v>0</v>
      </c>
      <c r="AO37" s="65" t="str">
        <f t="shared" si="8"/>
        <v>0.00</v>
      </c>
      <c r="AP37" s="65" t="str">
        <f t="shared" si="9"/>
        <v>0</v>
      </c>
      <c r="AQ37" s="71">
        <f t="shared" si="10"/>
        <v>0</v>
      </c>
      <c r="AR37" s="72">
        <f t="shared" si="11"/>
        <v>0</v>
      </c>
      <c r="AS37" s="71">
        <f t="shared" si="12"/>
        <v>0</v>
      </c>
      <c r="AT37" s="70">
        <f t="shared" si="13"/>
        <v>0</v>
      </c>
      <c r="AU37" s="70">
        <f t="shared" si="14"/>
        <v>0</v>
      </c>
      <c r="AV37" s="2"/>
      <c r="AW37" s="66">
        <f t="shared" si="15"/>
        <v>0</v>
      </c>
      <c r="AX37" s="68">
        <f>_xlfn.IFNA(INDEX(Table394123[I $ p/ft2],MATCH(R37,Table394123[Film Type],0)),1.75)</f>
        <v>1.75</v>
      </c>
      <c r="AY37" s="69">
        <f>VLOOKUP(Z37,Table134931[#All],2,FALSE)</f>
        <v>1</v>
      </c>
      <c r="AZ37" s="68">
        <f t="shared" si="16"/>
        <v>1.75</v>
      </c>
      <c r="BA37" s="65">
        <f t="shared" si="17"/>
        <v>0</v>
      </c>
      <c r="BB37" s="64">
        <f t="shared" si="18"/>
        <v>0</v>
      </c>
      <c r="BC37" s="67">
        <f t="shared" si="19"/>
        <v>0</v>
      </c>
      <c r="BD37" s="66">
        <f t="shared" si="20"/>
        <v>0</v>
      </c>
      <c r="BE37" s="64"/>
      <c r="BF37" s="66">
        <f t="shared" si="21"/>
        <v>0</v>
      </c>
      <c r="BG37" s="66">
        <f t="shared" si="22"/>
        <v>0</v>
      </c>
      <c r="BH37" s="65">
        <f>VLOOKUP(AA37,Table155133[#All],2,FALSE)</f>
        <v>1</v>
      </c>
      <c r="BI37" s="65">
        <f t="shared" si="23"/>
        <v>0</v>
      </c>
      <c r="BJ37" s="64" t="str">
        <f t="shared" si="24"/>
        <v>0</v>
      </c>
      <c r="BQ37" s="6"/>
      <c r="BR37" s="6"/>
      <c r="BS37" s="6"/>
      <c r="BT37" s="6"/>
      <c r="BU37" s="6"/>
      <c r="BV37" s="6"/>
      <c r="BW37" s="6"/>
      <c r="BX37" s="2"/>
      <c r="CK37" s="86" t="s">
        <v>166</v>
      </c>
      <c r="CL37" s="2">
        <v>4.0199999999999996</v>
      </c>
      <c r="CM37" s="2">
        <f t="shared" si="25"/>
        <v>4.4219999999999997</v>
      </c>
      <c r="CN37" s="10">
        <v>2</v>
      </c>
      <c r="CO37" s="84">
        <f t="shared" si="26"/>
        <v>0</v>
      </c>
    </row>
    <row r="38" spans="1:93" ht="12" customHeight="1" thickBot="1" x14ac:dyDescent="0.5">
      <c r="A38" s="83"/>
      <c r="B38" s="272"/>
      <c r="C38" s="272"/>
      <c r="D38" s="272"/>
      <c r="E38" s="272"/>
      <c r="F38" s="64"/>
      <c r="G38" s="64"/>
      <c r="H38" s="82"/>
      <c r="I38" s="81"/>
      <c r="J38" s="64"/>
      <c r="K38" s="80"/>
      <c r="L38" s="156">
        <f t="shared" si="0"/>
        <v>0</v>
      </c>
      <c r="M38" s="64"/>
      <c r="N38" s="64"/>
      <c r="O38" s="64"/>
      <c r="P38" s="80"/>
      <c r="Q38" s="79">
        <f t="shared" si="1"/>
        <v>0</v>
      </c>
      <c r="R38" s="269" t="s">
        <v>282</v>
      </c>
      <c r="S38" s="270"/>
      <c r="T38" s="266"/>
      <c r="U38" s="267"/>
      <c r="V38" s="267"/>
      <c r="W38" s="268"/>
      <c r="X38" s="271">
        <f>IFERROR(INDEX(Table394123[],MATCH(R38,Table394123[Film Type],),3),"")</f>
        <v>0</v>
      </c>
      <c r="Y38" s="271"/>
      <c r="Z38" s="78" t="s">
        <v>55</v>
      </c>
      <c r="AA38" s="78" t="s">
        <v>55</v>
      </c>
      <c r="AB38" s="77"/>
      <c r="AC38" s="76"/>
      <c r="AD38" s="75">
        <f t="shared" si="2"/>
        <v>0</v>
      </c>
      <c r="AG38" s="74">
        <f t="shared" si="3"/>
        <v>0</v>
      </c>
      <c r="AK38" s="65">
        <f t="shared" si="4"/>
        <v>0</v>
      </c>
      <c r="AL38" s="65">
        <f t="shared" si="5"/>
        <v>0</v>
      </c>
      <c r="AM38" s="65">
        <f t="shared" si="6"/>
        <v>0</v>
      </c>
      <c r="AN38" s="73">
        <f t="shared" si="7"/>
        <v>0</v>
      </c>
      <c r="AO38" s="65" t="str">
        <f t="shared" si="8"/>
        <v>0.00</v>
      </c>
      <c r="AP38" s="65" t="str">
        <f t="shared" si="9"/>
        <v>0</v>
      </c>
      <c r="AQ38" s="71">
        <f t="shared" si="10"/>
        <v>0</v>
      </c>
      <c r="AR38" s="72">
        <f t="shared" si="11"/>
        <v>0</v>
      </c>
      <c r="AS38" s="71">
        <f t="shared" si="12"/>
        <v>0</v>
      </c>
      <c r="AT38" s="70">
        <f t="shared" si="13"/>
        <v>0</v>
      </c>
      <c r="AU38" s="70">
        <f t="shared" si="14"/>
        <v>0</v>
      </c>
      <c r="AV38" s="2"/>
      <c r="AW38" s="66">
        <f t="shared" si="15"/>
        <v>0</v>
      </c>
      <c r="AX38" s="68">
        <f>_xlfn.IFNA(INDEX(Table394123[I $ p/ft2],MATCH(R38,Table394123[Film Type],0)),1.75)</f>
        <v>1.75</v>
      </c>
      <c r="AY38" s="69">
        <f>VLOOKUP(Z38,Table134931[#All],2,FALSE)</f>
        <v>1</v>
      </c>
      <c r="AZ38" s="68">
        <f t="shared" si="16"/>
        <v>1.75</v>
      </c>
      <c r="BA38" s="65">
        <f t="shared" si="17"/>
        <v>0</v>
      </c>
      <c r="BB38" s="64">
        <f t="shared" si="18"/>
        <v>0</v>
      </c>
      <c r="BC38" s="67">
        <f t="shared" si="19"/>
        <v>0</v>
      </c>
      <c r="BD38" s="66">
        <f t="shared" si="20"/>
        <v>0</v>
      </c>
      <c r="BE38" s="64"/>
      <c r="BF38" s="66">
        <f t="shared" si="21"/>
        <v>0</v>
      </c>
      <c r="BG38" s="66">
        <f t="shared" si="22"/>
        <v>0</v>
      </c>
      <c r="BH38" s="65">
        <f>VLOOKUP(AA38,Table155133[#All],2,FALSE)</f>
        <v>1</v>
      </c>
      <c r="BI38" s="65">
        <f t="shared" si="23"/>
        <v>0</v>
      </c>
      <c r="BJ38" s="64" t="str">
        <f t="shared" si="24"/>
        <v>0</v>
      </c>
      <c r="BQ38" s="6"/>
      <c r="BR38" s="6"/>
      <c r="BS38" s="6"/>
      <c r="BT38" s="6"/>
      <c r="BU38" s="6"/>
      <c r="BV38" s="6"/>
      <c r="BW38" s="6"/>
      <c r="BX38" s="2"/>
      <c r="CK38" s="86" t="s">
        <v>165</v>
      </c>
      <c r="CL38" s="2">
        <v>6.13</v>
      </c>
      <c r="CM38" s="2">
        <f t="shared" si="25"/>
        <v>6.7430000000000003</v>
      </c>
      <c r="CN38" s="10">
        <v>2</v>
      </c>
      <c r="CO38" s="84">
        <f t="shared" si="26"/>
        <v>0</v>
      </c>
    </row>
    <row r="39" spans="1:93" ht="12" hidden="1" customHeight="1" x14ac:dyDescent="0.5">
      <c r="A39" s="83"/>
      <c r="B39" s="176"/>
      <c r="C39" s="177"/>
      <c r="D39" s="177"/>
      <c r="E39" s="178"/>
      <c r="F39" s="161"/>
      <c r="G39" s="161"/>
      <c r="H39" s="162"/>
      <c r="I39" s="163"/>
      <c r="J39" s="161"/>
      <c r="K39" s="164"/>
      <c r="L39" s="79">
        <f t="shared" si="0"/>
        <v>0</v>
      </c>
      <c r="M39" s="64"/>
      <c r="N39" s="64"/>
      <c r="O39" s="64"/>
      <c r="P39" s="80"/>
      <c r="Q39" s="79">
        <f t="shared" si="1"/>
        <v>0</v>
      </c>
      <c r="R39" s="269" t="s">
        <v>282</v>
      </c>
      <c r="S39" s="270"/>
      <c r="T39" s="266"/>
      <c r="U39" s="267"/>
      <c r="V39" s="267"/>
      <c r="W39" s="268"/>
      <c r="X39" s="271">
        <f>IFERROR(INDEX(Table394123[],MATCH(R39,Table394123[Film Type],),3),"")</f>
        <v>0</v>
      </c>
      <c r="Y39" s="271"/>
      <c r="Z39" s="78" t="s">
        <v>55</v>
      </c>
      <c r="AA39" s="78" t="s">
        <v>55</v>
      </c>
      <c r="AB39" s="77"/>
      <c r="AC39" s="76"/>
      <c r="AD39" s="75">
        <f t="shared" si="2"/>
        <v>0</v>
      </c>
      <c r="AG39" s="74">
        <f t="shared" si="3"/>
        <v>0</v>
      </c>
      <c r="AK39" s="65">
        <f t="shared" si="4"/>
        <v>0</v>
      </c>
      <c r="AL39" s="65">
        <f t="shared" si="5"/>
        <v>0</v>
      </c>
      <c r="AM39" s="65">
        <f t="shared" si="6"/>
        <v>0</v>
      </c>
      <c r="AN39" s="73">
        <f t="shared" si="7"/>
        <v>0</v>
      </c>
      <c r="AO39" s="65" t="str">
        <f t="shared" si="8"/>
        <v>0.00</v>
      </c>
      <c r="AP39" s="65" t="str">
        <f t="shared" si="9"/>
        <v>0</v>
      </c>
      <c r="AQ39" s="71">
        <f t="shared" si="10"/>
        <v>0</v>
      </c>
      <c r="AR39" s="72">
        <f t="shared" si="11"/>
        <v>0</v>
      </c>
      <c r="AS39" s="71">
        <f t="shared" si="12"/>
        <v>0</v>
      </c>
      <c r="AT39" s="70">
        <f t="shared" si="13"/>
        <v>0</v>
      </c>
      <c r="AU39" s="70">
        <f t="shared" si="14"/>
        <v>0</v>
      </c>
      <c r="AV39" s="2"/>
      <c r="AW39" s="66">
        <f t="shared" si="15"/>
        <v>0</v>
      </c>
      <c r="AX39" s="68">
        <f>_xlfn.IFNA(INDEX(Table394123[I $ p/ft2],MATCH(R39,Table394123[Film Type],0)),1.75)</f>
        <v>1.75</v>
      </c>
      <c r="AY39" s="69">
        <f>VLOOKUP(Z39,Table134931[#All],2,FALSE)</f>
        <v>1</v>
      </c>
      <c r="AZ39" s="68">
        <f t="shared" si="16"/>
        <v>1.75</v>
      </c>
      <c r="BA39" s="65">
        <f t="shared" si="17"/>
        <v>0</v>
      </c>
      <c r="BB39" s="64">
        <f t="shared" si="18"/>
        <v>0</v>
      </c>
      <c r="BC39" s="67">
        <f t="shared" si="19"/>
        <v>0</v>
      </c>
      <c r="BD39" s="66">
        <f t="shared" si="20"/>
        <v>0</v>
      </c>
      <c r="BE39" s="64"/>
      <c r="BF39" s="66">
        <f t="shared" si="21"/>
        <v>0</v>
      </c>
      <c r="BG39" s="66">
        <f t="shared" si="22"/>
        <v>0</v>
      </c>
      <c r="BH39" s="65">
        <f>VLOOKUP(AA39,Table155133[#All],2,FALSE)</f>
        <v>1</v>
      </c>
      <c r="BI39" s="65">
        <f t="shared" si="23"/>
        <v>0</v>
      </c>
      <c r="BJ39" s="64" t="str">
        <f t="shared" si="24"/>
        <v>0</v>
      </c>
      <c r="BQ39" s="6"/>
      <c r="BR39" s="6"/>
      <c r="BS39" s="6"/>
      <c r="BT39" s="6"/>
      <c r="BU39" s="6"/>
      <c r="BV39" s="6"/>
      <c r="BW39" s="6"/>
      <c r="BX39" s="2"/>
      <c r="CK39" s="86" t="s">
        <v>164</v>
      </c>
      <c r="CL39" s="2">
        <v>6.13</v>
      </c>
      <c r="CM39" s="2">
        <f t="shared" si="25"/>
        <v>6.7430000000000003</v>
      </c>
      <c r="CN39" s="10">
        <v>2</v>
      </c>
      <c r="CO39" s="84">
        <f t="shared" ref="CO39:CO70" si="27">(O39*K39)/12</f>
        <v>0</v>
      </c>
    </row>
    <row r="40" spans="1:93" ht="12" hidden="1" customHeight="1" x14ac:dyDescent="0.5">
      <c r="A40" s="83"/>
      <c r="B40" s="266"/>
      <c r="C40" s="267"/>
      <c r="D40" s="267"/>
      <c r="E40" s="268"/>
      <c r="F40" s="64"/>
      <c r="G40" s="64"/>
      <c r="H40" s="82"/>
      <c r="I40" s="81"/>
      <c r="J40" s="64"/>
      <c r="K40" s="80"/>
      <c r="L40" s="79">
        <f t="shared" si="0"/>
        <v>0</v>
      </c>
      <c r="M40" s="64"/>
      <c r="N40" s="64"/>
      <c r="O40" s="64"/>
      <c r="P40" s="80"/>
      <c r="Q40" s="79">
        <f t="shared" si="1"/>
        <v>0</v>
      </c>
      <c r="R40" s="269" t="s">
        <v>282</v>
      </c>
      <c r="S40" s="270"/>
      <c r="T40" s="266"/>
      <c r="U40" s="267"/>
      <c r="V40" s="267"/>
      <c r="W40" s="268"/>
      <c r="X40" s="271">
        <f>IFERROR(INDEX(Table394123[],MATCH(R40,Table394123[Film Type],),3),"")</f>
        <v>0</v>
      </c>
      <c r="Y40" s="271"/>
      <c r="Z40" s="78" t="s">
        <v>55</v>
      </c>
      <c r="AA40" s="78" t="s">
        <v>55</v>
      </c>
      <c r="AB40" s="77"/>
      <c r="AC40" s="76"/>
      <c r="AD40" s="75">
        <f t="shared" si="2"/>
        <v>0</v>
      </c>
      <c r="AG40" s="74">
        <f t="shared" si="3"/>
        <v>0</v>
      </c>
      <c r="AK40" s="65">
        <f t="shared" si="4"/>
        <v>0</v>
      </c>
      <c r="AL40" s="65">
        <f t="shared" si="5"/>
        <v>0</v>
      </c>
      <c r="AM40" s="65">
        <f t="shared" si="6"/>
        <v>0</v>
      </c>
      <c r="AN40" s="73">
        <f t="shared" si="7"/>
        <v>0</v>
      </c>
      <c r="AO40" s="65" t="str">
        <f t="shared" si="8"/>
        <v>0.00</v>
      </c>
      <c r="AP40" s="65" t="str">
        <f t="shared" si="9"/>
        <v>0</v>
      </c>
      <c r="AQ40" s="71">
        <f t="shared" si="10"/>
        <v>0</v>
      </c>
      <c r="AR40" s="72">
        <f t="shared" si="11"/>
        <v>0</v>
      </c>
      <c r="AS40" s="71">
        <f t="shared" si="12"/>
        <v>0</v>
      </c>
      <c r="AT40" s="70">
        <f t="shared" si="13"/>
        <v>0</v>
      </c>
      <c r="AU40" s="70">
        <f t="shared" si="14"/>
        <v>0</v>
      </c>
      <c r="AV40" s="2"/>
      <c r="AW40" s="66">
        <f t="shared" si="15"/>
        <v>0</v>
      </c>
      <c r="AX40" s="68">
        <f>_xlfn.IFNA(INDEX(Table394123[I $ p/ft2],MATCH(R40,Table394123[Film Type],0)),1.75)</f>
        <v>1.75</v>
      </c>
      <c r="AY40" s="69">
        <f>VLOOKUP(Z40,Table134931[#All],2,FALSE)</f>
        <v>1</v>
      </c>
      <c r="AZ40" s="68">
        <f t="shared" si="16"/>
        <v>1.75</v>
      </c>
      <c r="BA40" s="65">
        <f t="shared" si="17"/>
        <v>0</v>
      </c>
      <c r="BB40" s="64">
        <f t="shared" si="18"/>
        <v>0</v>
      </c>
      <c r="BC40" s="67">
        <f t="shared" si="19"/>
        <v>0</v>
      </c>
      <c r="BD40" s="66">
        <f t="shared" si="20"/>
        <v>0</v>
      </c>
      <c r="BE40" s="64"/>
      <c r="BF40" s="66">
        <f t="shared" si="21"/>
        <v>0</v>
      </c>
      <c r="BG40" s="66">
        <f t="shared" si="22"/>
        <v>0</v>
      </c>
      <c r="BH40" s="65">
        <f>VLOOKUP(AA40,Table155133[#All],2,FALSE)</f>
        <v>1</v>
      </c>
      <c r="BI40" s="65">
        <f t="shared" si="23"/>
        <v>0</v>
      </c>
      <c r="BJ40" s="64" t="str">
        <f t="shared" si="24"/>
        <v>0</v>
      </c>
      <c r="BQ40" s="6"/>
      <c r="BR40" s="6"/>
      <c r="BS40" s="6"/>
      <c r="BT40" s="6"/>
      <c r="BU40" s="6"/>
      <c r="BV40" s="6"/>
      <c r="BW40" s="6"/>
      <c r="BX40" s="2"/>
      <c r="CK40" s="86" t="s">
        <v>163</v>
      </c>
      <c r="CL40" s="2">
        <v>3.87</v>
      </c>
      <c r="CM40" s="2">
        <f t="shared" si="25"/>
        <v>4.2570000000000006</v>
      </c>
      <c r="CN40" s="10">
        <v>2</v>
      </c>
      <c r="CO40" s="84">
        <f t="shared" si="27"/>
        <v>0</v>
      </c>
    </row>
    <row r="41" spans="1:93" ht="12" hidden="1" customHeight="1" x14ac:dyDescent="0.5">
      <c r="A41" s="83"/>
      <c r="B41" s="266"/>
      <c r="C41" s="267"/>
      <c r="D41" s="267"/>
      <c r="E41" s="268"/>
      <c r="F41" s="64"/>
      <c r="G41" s="64"/>
      <c r="H41" s="82"/>
      <c r="I41" s="81"/>
      <c r="J41" s="64"/>
      <c r="K41" s="80"/>
      <c r="L41" s="79">
        <f t="shared" si="0"/>
        <v>0</v>
      </c>
      <c r="M41" s="64"/>
      <c r="N41" s="64"/>
      <c r="O41" s="64"/>
      <c r="P41" s="80"/>
      <c r="Q41" s="79">
        <f t="shared" si="1"/>
        <v>0</v>
      </c>
      <c r="R41" s="269" t="s">
        <v>282</v>
      </c>
      <c r="S41" s="270"/>
      <c r="T41" s="266"/>
      <c r="U41" s="267"/>
      <c r="V41" s="267"/>
      <c r="W41" s="268"/>
      <c r="X41" s="271">
        <f>IFERROR(INDEX(Table394123[],MATCH(R41,Table394123[Film Type],),3),"")</f>
        <v>0</v>
      </c>
      <c r="Y41" s="271"/>
      <c r="Z41" s="78" t="s">
        <v>55</v>
      </c>
      <c r="AA41" s="78" t="s">
        <v>55</v>
      </c>
      <c r="AB41" s="77"/>
      <c r="AC41" s="76"/>
      <c r="AD41" s="75">
        <f t="shared" si="2"/>
        <v>0</v>
      </c>
      <c r="AG41" s="74">
        <f t="shared" si="3"/>
        <v>0</v>
      </c>
      <c r="AK41" s="65">
        <f t="shared" si="4"/>
        <v>0</v>
      </c>
      <c r="AL41" s="65">
        <f t="shared" si="5"/>
        <v>0</v>
      </c>
      <c r="AM41" s="65">
        <f t="shared" si="6"/>
        <v>0</v>
      </c>
      <c r="AN41" s="73">
        <f t="shared" si="7"/>
        <v>0</v>
      </c>
      <c r="AO41" s="65" t="str">
        <f t="shared" si="8"/>
        <v>0.00</v>
      </c>
      <c r="AP41" s="65" t="str">
        <f t="shared" si="9"/>
        <v>0</v>
      </c>
      <c r="AQ41" s="71">
        <f t="shared" si="10"/>
        <v>0</v>
      </c>
      <c r="AR41" s="72">
        <f t="shared" si="11"/>
        <v>0</v>
      </c>
      <c r="AS41" s="71">
        <f t="shared" si="12"/>
        <v>0</v>
      </c>
      <c r="AT41" s="70">
        <f t="shared" si="13"/>
        <v>0</v>
      </c>
      <c r="AU41" s="70">
        <f t="shared" si="14"/>
        <v>0</v>
      </c>
      <c r="AV41" s="2"/>
      <c r="AW41" s="66">
        <f t="shared" si="15"/>
        <v>0</v>
      </c>
      <c r="AX41" s="68">
        <f>_xlfn.IFNA(INDEX(Table394123[I $ p/ft2],MATCH(R41,Table394123[Film Type],0)),1.75)</f>
        <v>1.75</v>
      </c>
      <c r="AY41" s="69">
        <f>VLOOKUP(Z41,Table134931[#All],2,FALSE)</f>
        <v>1</v>
      </c>
      <c r="AZ41" s="68">
        <f t="shared" si="16"/>
        <v>1.75</v>
      </c>
      <c r="BA41" s="65">
        <f t="shared" si="17"/>
        <v>0</v>
      </c>
      <c r="BB41" s="64">
        <f t="shared" si="18"/>
        <v>0</v>
      </c>
      <c r="BC41" s="67">
        <f t="shared" si="19"/>
        <v>0</v>
      </c>
      <c r="BD41" s="66">
        <f t="shared" si="20"/>
        <v>0</v>
      </c>
      <c r="BE41" s="64"/>
      <c r="BF41" s="66">
        <f t="shared" si="21"/>
        <v>0</v>
      </c>
      <c r="BG41" s="66">
        <f t="shared" si="22"/>
        <v>0</v>
      </c>
      <c r="BH41" s="65">
        <f>VLOOKUP(AA41,Table155133[#All],2,FALSE)</f>
        <v>1</v>
      </c>
      <c r="BI41" s="65">
        <f t="shared" si="23"/>
        <v>0</v>
      </c>
      <c r="BJ41" s="64" t="str">
        <f t="shared" si="24"/>
        <v>0</v>
      </c>
      <c r="BQ41" s="6"/>
      <c r="BR41" s="6"/>
      <c r="BS41" s="6"/>
      <c r="BT41" s="6"/>
      <c r="BU41" s="6"/>
      <c r="BV41" s="6"/>
      <c r="BW41" s="6"/>
      <c r="BX41" s="2"/>
      <c r="CK41" s="86" t="s">
        <v>162</v>
      </c>
      <c r="CL41" s="2">
        <v>2.4300000000000002</v>
      </c>
      <c r="CM41" s="2">
        <f t="shared" si="25"/>
        <v>2.6730000000000005</v>
      </c>
      <c r="CN41" s="10">
        <v>2</v>
      </c>
      <c r="CO41" s="84">
        <f t="shared" si="27"/>
        <v>0</v>
      </c>
    </row>
    <row r="42" spans="1:93" ht="12" hidden="1" customHeight="1" x14ac:dyDescent="0.5">
      <c r="A42" s="83"/>
      <c r="B42" s="266"/>
      <c r="C42" s="267"/>
      <c r="D42" s="267"/>
      <c r="E42" s="268"/>
      <c r="F42" s="64"/>
      <c r="G42" s="64"/>
      <c r="H42" s="82"/>
      <c r="I42" s="81"/>
      <c r="J42" s="64"/>
      <c r="K42" s="80"/>
      <c r="L42" s="79">
        <f t="shared" si="0"/>
        <v>0</v>
      </c>
      <c r="M42" s="64"/>
      <c r="N42" s="64"/>
      <c r="O42" s="64"/>
      <c r="P42" s="80"/>
      <c r="Q42" s="79">
        <f t="shared" si="1"/>
        <v>0</v>
      </c>
      <c r="R42" s="269" t="s">
        <v>282</v>
      </c>
      <c r="S42" s="270"/>
      <c r="T42" s="266"/>
      <c r="U42" s="267"/>
      <c r="V42" s="267"/>
      <c r="W42" s="268"/>
      <c r="X42" s="271">
        <f>IFERROR(INDEX(Table394123[],MATCH(R42,Table394123[Film Type],),3),"")</f>
        <v>0</v>
      </c>
      <c r="Y42" s="271"/>
      <c r="Z42" s="78" t="s">
        <v>55</v>
      </c>
      <c r="AA42" s="78" t="s">
        <v>55</v>
      </c>
      <c r="AB42" s="77"/>
      <c r="AC42" s="76"/>
      <c r="AD42" s="75">
        <f t="shared" si="2"/>
        <v>0</v>
      </c>
      <c r="AG42" s="74">
        <f t="shared" si="3"/>
        <v>0</v>
      </c>
      <c r="AK42" s="65">
        <f t="shared" si="4"/>
        <v>0</v>
      </c>
      <c r="AL42" s="65">
        <f t="shared" si="5"/>
        <v>0</v>
      </c>
      <c r="AM42" s="65">
        <f t="shared" si="6"/>
        <v>0</v>
      </c>
      <c r="AN42" s="73">
        <f t="shared" si="7"/>
        <v>0</v>
      </c>
      <c r="AO42" s="65" t="str">
        <f t="shared" si="8"/>
        <v>0.00</v>
      </c>
      <c r="AP42" s="65" t="str">
        <f t="shared" si="9"/>
        <v>0</v>
      </c>
      <c r="AQ42" s="71">
        <f t="shared" si="10"/>
        <v>0</v>
      </c>
      <c r="AR42" s="72">
        <f t="shared" si="11"/>
        <v>0</v>
      </c>
      <c r="AS42" s="71">
        <f t="shared" si="12"/>
        <v>0</v>
      </c>
      <c r="AT42" s="70">
        <f t="shared" si="13"/>
        <v>0</v>
      </c>
      <c r="AU42" s="70">
        <f t="shared" si="14"/>
        <v>0</v>
      </c>
      <c r="AV42" s="2"/>
      <c r="AW42" s="66">
        <f t="shared" si="15"/>
        <v>0</v>
      </c>
      <c r="AX42" s="68">
        <f>_xlfn.IFNA(INDEX(Table394123[I $ p/ft2],MATCH(R42,Table394123[Film Type],0)),1.75)</f>
        <v>1.75</v>
      </c>
      <c r="AY42" s="69">
        <f>VLOOKUP(Z42,Table134931[#All],2,FALSE)</f>
        <v>1</v>
      </c>
      <c r="AZ42" s="68">
        <f t="shared" si="16"/>
        <v>1.75</v>
      </c>
      <c r="BA42" s="65">
        <f t="shared" si="17"/>
        <v>0</v>
      </c>
      <c r="BB42" s="64">
        <f t="shared" si="18"/>
        <v>0</v>
      </c>
      <c r="BC42" s="67">
        <f t="shared" si="19"/>
        <v>0</v>
      </c>
      <c r="BD42" s="66">
        <f t="shared" si="20"/>
        <v>0</v>
      </c>
      <c r="BE42" s="64"/>
      <c r="BF42" s="66">
        <f t="shared" si="21"/>
        <v>0</v>
      </c>
      <c r="BG42" s="66">
        <f t="shared" si="22"/>
        <v>0</v>
      </c>
      <c r="BH42" s="65">
        <f>VLOOKUP(AA42,Table155133[#All],2,FALSE)</f>
        <v>1</v>
      </c>
      <c r="BI42" s="65">
        <f t="shared" si="23"/>
        <v>0</v>
      </c>
      <c r="BJ42" s="64" t="str">
        <f t="shared" si="24"/>
        <v>0</v>
      </c>
      <c r="BQ42" s="6"/>
      <c r="BR42" s="6"/>
      <c r="BS42" s="6"/>
      <c r="BT42" s="6"/>
      <c r="BU42" s="6"/>
      <c r="BV42" s="6"/>
      <c r="BW42" s="6"/>
      <c r="BX42" s="2"/>
      <c r="CK42" s="86" t="s">
        <v>161</v>
      </c>
      <c r="CL42" s="2">
        <v>1.61</v>
      </c>
      <c r="CM42" s="2">
        <f t="shared" si="25"/>
        <v>1.7710000000000004</v>
      </c>
      <c r="CN42" s="10">
        <v>2</v>
      </c>
      <c r="CO42" s="84">
        <f t="shared" si="27"/>
        <v>0</v>
      </c>
    </row>
    <row r="43" spans="1:93" ht="12" hidden="1" customHeight="1" x14ac:dyDescent="0.5">
      <c r="A43" s="83"/>
      <c r="B43" s="266"/>
      <c r="C43" s="267"/>
      <c r="D43" s="267"/>
      <c r="E43" s="268"/>
      <c r="F43" s="64"/>
      <c r="G43" s="64"/>
      <c r="H43" s="82"/>
      <c r="I43" s="81"/>
      <c r="J43" s="64"/>
      <c r="K43" s="80"/>
      <c r="L43" s="79">
        <f t="shared" si="0"/>
        <v>0</v>
      </c>
      <c r="M43" s="64"/>
      <c r="N43" s="64"/>
      <c r="O43" s="64"/>
      <c r="P43" s="80"/>
      <c r="Q43" s="79">
        <f t="shared" si="1"/>
        <v>0</v>
      </c>
      <c r="R43" s="269" t="s">
        <v>282</v>
      </c>
      <c r="S43" s="270"/>
      <c r="T43" s="266"/>
      <c r="U43" s="267"/>
      <c r="V43" s="267"/>
      <c r="W43" s="268"/>
      <c r="X43" s="271">
        <f>IFERROR(INDEX(Table394123[],MATCH(R43,Table394123[Film Type],),3),"")</f>
        <v>0</v>
      </c>
      <c r="Y43" s="271"/>
      <c r="Z43" s="78" t="s">
        <v>55</v>
      </c>
      <c r="AA43" s="78" t="s">
        <v>55</v>
      </c>
      <c r="AB43" s="77"/>
      <c r="AC43" s="76"/>
      <c r="AD43" s="75">
        <f t="shared" si="2"/>
        <v>0</v>
      </c>
      <c r="AG43" s="74">
        <f t="shared" si="3"/>
        <v>0</v>
      </c>
      <c r="AK43" s="65">
        <f t="shared" si="4"/>
        <v>0</v>
      </c>
      <c r="AL43" s="65">
        <f t="shared" si="5"/>
        <v>0</v>
      </c>
      <c r="AM43" s="65">
        <f t="shared" si="6"/>
        <v>0</v>
      </c>
      <c r="AN43" s="73">
        <f t="shared" si="7"/>
        <v>0</v>
      </c>
      <c r="AO43" s="65" t="str">
        <f t="shared" si="8"/>
        <v>0.00</v>
      </c>
      <c r="AP43" s="65" t="str">
        <f t="shared" si="9"/>
        <v>0</v>
      </c>
      <c r="AQ43" s="71">
        <f t="shared" si="10"/>
        <v>0</v>
      </c>
      <c r="AR43" s="72">
        <f t="shared" si="11"/>
        <v>0</v>
      </c>
      <c r="AS43" s="71">
        <f t="shared" si="12"/>
        <v>0</v>
      </c>
      <c r="AT43" s="70">
        <f t="shared" si="13"/>
        <v>0</v>
      </c>
      <c r="AU43" s="70">
        <f t="shared" si="14"/>
        <v>0</v>
      </c>
      <c r="AV43" s="2"/>
      <c r="AW43" s="66">
        <f t="shared" si="15"/>
        <v>0</v>
      </c>
      <c r="AX43" s="68">
        <f>_xlfn.IFNA(INDEX(Table394123[I $ p/ft2],MATCH(R43,Table394123[Film Type],0)),1.75)</f>
        <v>1.75</v>
      </c>
      <c r="AY43" s="69">
        <f>VLOOKUP(Z43,Table134931[#All],2,FALSE)</f>
        <v>1</v>
      </c>
      <c r="AZ43" s="68">
        <f t="shared" si="16"/>
        <v>1.75</v>
      </c>
      <c r="BA43" s="65">
        <f t="shared" si="17"/>
        <v>0</v>
      </c>
      <c r="BB43" s="64">
        <f t="shared" si="18"/>
        <v>0</v>
      </c>
      <c r="BC43" s="67">
        <f t="shared" si="19"/>
        <v>0</v>
      </c>
      <c r="BD43" s="66">
        <f t="shared" si="20"/>
        <v>0</v>
      </c>
      <c r="BE43" s="64"/>
      <c r="BF43" s="66">
        <f t="shared" si="21"/>
        <v>0</v>
      </c>
      <c r="BG43" s="66">
        <f t="shared" si="22"/>
        <v>0</v>
      </c>
      <c r="BH43" s="65">
        <f>VLOOKUP(AA43,Table155133[#All],2,FALSE)</f>
        <v>1</v>
      </c>
      <c r="BI43" s="65">
        <f t="shared" si="23"/>
        <v>0</v>
      </c>
      <c r="BJ43" s="64" t="str">
        <f t="shared" si="24"/>
        <v>0</v>
      </c>
      <c r="BQ43" s="6"/>
      <c r="BR43" s="6"/>
      <c r="BS43" s="6"/>
      <c r="BT43" s="6"/>
      <c r="BU43" s="6"/>
      <c r="BV43" s="6"/>
      <c r="BW43" s="6"/>
      <c r="BX43" s="2"/>
      <c r="CK43" s="86" t="s">
        <v>160</v>
      </c>
      <c r="CL43" s="2">
        <v>1.61</v>
      </c>
      <c r="CM43" s="2">
        <f t="shared" si="25"/>
        <v>1.7710000000000004</v>
      </c>
      <c r="CN43" s="10">
        <v>2</v>
      </c>
      <c r="CO43" s="84">
        <f t="shared" si="27"/>
        <v>0</v>
      </c>
    </row>
    <row r="44" spans="1:93" ht="12" hidden="1" customHeight="1" x14ac:dyDescent="0.5">
      <c r="A44" s="83"/>
      <c r="B44" s="266"/>
      <c r="C44" s="267"/>
      <c r="D44" s="267"/>
      <c r="E44" s="268"/>
      <c r="F44" s="64"/>
      <c r="G44" s="64"/>
      <c r="H44" s="82"/>
      <c r="I44" s="81"/>
      <c r="J44" s="64"/>
      <c r="K44" s="80"/>
      <c r="L44" s="79">
        <f t="shared" si="0"/>
        <v>0</v>
      </c>
      <c r="M44" s="64"/>
      <c r="N44" s="64"/>
      <c r="O44" s="64"/>
      <c r="P44" s="80"/>
      <c r="Q44" s="79">
        <f t="shared" si="1"/>
        <v>0</v>
      </c>
      <c r="R44" s="269" t="s">
        <v>282</v>
      </c>
      <c r="S44" s="270"/>
      <c r="T44" s="266"/>
      <c r="U44" s="267"/>
      <c r="V44" s="267"/>
      <c r="W44" s="268"/>
      <c r="X44" s="271">
        <f>IFERROR(INDEX(Table394123[],MATCH(R44,Table394123[Film Type],),3),"")</f>
        <v>0</v>
      </c>
      <c r="Y44" s="271"/>
      <c r="Z44" s="78" t="s">
        <v>55</v>
      </c>
      <c r="AA44" s="78" t="s">
        <v>55</v>
      </c>
      <c r="AB44" s="77"/>
      <c r="AC44" s="76"/>
      <c r="AD44" s="75">
        <f t="shared" si="2"/>
        <v>0</v>
      </c>
      <c r="AG44" s="74">
        <f t="shared" si="3"/>
        <v>0</v>
      </c>
      <c r="AK44" s="65">
        <f t="shared" si="4"/>
        <v>0</v>
      </c>
      <c r="AL44" s="65">
        <f t="shared" si="5"/>
        <v>0</v>
      </c>
      <c r="AM44" s="65">
        <f t="shared" si="6"/>
        <v>0</v>
      </c>
      <c r="AN44" s="73">
        <f t="shared" si="7"/>
        <v>0</v>
      </c>
      <c r="AO44" s="65" t="str">
        <f t="shared" si="8"/>
        <v>0.00</v>
      </c>
      <c r="AP44" s="65" t="str">
        <f t="shared" si="9"/>
        <v>0</v>
      </c>
      <c r="AQ44" s="71">
        <f t="shared" si="10"/>
        <v>0</v>
      </c>
      <c r="AR44" s="72">
        <f t="shared" si="11"/>
        <v>0</v>
      </c>
      <c r="AS44" s="71">
        <f t="shared" si="12"/>
        <v>0</v>
      </c>
      <c r="AT44" s="70">
        <f t="shared" si="13"/>
        <v>0</v>
      </c>
      <c r="AU44" s="70">
        <f t="shared" si="14"/>
        <v>0</v>
      </c>
      <c r="AV44" s="2"/>
      <c r="AW44" s="66">
        <f t="shared" si="15"/>
        <v>0</v>
      </c>
      <c r="AX44" s="68">
        <f>_xlfn.IFNA(INDEX(Table394123[I $ p/ft2],MATCH(R44,Table394123[Film Type],0)),1.75)</f>
        <v>1.75</v>
      </c>
      <c r="AY44" s="69">
        <f>VLOOKUP(Z44,Table134931[#All],2,FALSE)</f>
        <v>1</v>
      </c>
      <c r="AZ44" s="68">
        <f t="shared" si="16"/>
        <v>1.75</v>
      </c>
      <c r="BA44" s="65">
        <f t="shared" si="17"/>
        <v>0</v>
      </c>
      <c r="BB44" s="64">
        <f t="shared" si="18"/>
        <v>0</v>
      </c>
      <c r="BC44" s="67">
        <f t="shared" si="19"/>
        <v>0</v>
      </c>
      <c r="BD44" s="66">
        <f t="shared" si="20"/>
        <v>0</v>
      </c>
      <c r="BE44" s="64"/>
      <c r="BF44" s="66">
        <f t="shared" si="21"/>
        <v>0</v>
      </c>
      <c r="BG44" s="66">
        <f t="shared" si="22"/>
        <v>0</v>
      </c>
      <c r="BH44" s="65">
        <f>VLOOKUP(AA44,Table155133[#All],2,FALSE)</f>
        <v>1</v>
      </c>
      <c r="BI44" s="65">
        <f t="shared" si="23"/>
        <v>0</v>
      </c>
      <c r="BJ44" s="64" t="str">
        <f t="shared" si="24"/>
        <v>0</v>
      </c>
      <c r="BQ44" s="6"/>
      <c r="BR44" s="6"/>
      <c r="BS44" s="6"/>
      <c r="BT44" s="6"/>
      <c r="BU44" s="6"/>
      <c r="BV44" s="6"/>
      <c r="BW44" s="6"/>
      <c r="BX44" s="2"/>
      <c r="CK44" s="86" t="s">
        <v>159</v>
      </c>
      <c r="CL44" s="2">
        <v>1.79</v>
      </c>
      <c r="CM44" s="2">
        <f t="shared" si="25"/>
        <v>1.9690000000000003</v>
      </c>
      <c r="CN44" s="10">
        <v>2</v>
      </c>
      <c r="CO44" s="84">
        <f t="shared" si="27"/>
        <v>0</v>
      </c>
    </row>
    <row r="45" spans="1:93" ht="12" hidden="1" customHeight="1" x14ac:dyDescent="0.5">
      <c r="A45" s="83"/>
      <c r="B45" s="266"/>
      <c r="C45" s="267"/>
      <c r="D45" s="267"/>
      <c r="E45" s="268"/>
      <c r="F45" s="64"/>
      <c r="G45" s="64"/>
      <c r="H45" s="82"/>
      <c r="I45" s="81"/>
      <c r="J45" s="64"/>
      <c r="K45" s="80"/>
      <c r="L45" s="79">
        <f t="shared" si="0"/>
        <v>0</v>
      </c>
      <c r="M45" s="64"/>
      <c r="N45" s="64"/>
      <c r="O45" s="64"/>
      <c r="P45" s="80"/>
      <c r="Q45" s="79">
        <f t="shared" si="1"/>
        <v>0</v>
      </c>
      <c r="R45" s="269" t="s">
        <v>282</v>
      </c>
      <c r="S45" s="270"/>
      <c r="T45" s="266"/>
      <c r="U45" s="267"/>
      <c r="V45" s="267"/>
      <c r="W45" s="268"/>
      <c r="X45" s="271">
        <f>IFERROR(INDEX(Table394123[],MATCH(R45,Table394123[Film Type],),3),"")</f>
        <v>0</v>
      </c>
      <c r="Y45" s="271"/>
      <c r="Z45" s="78" t="s">
        <v>55</v>
      </c>
      <c r="AA45" s="78" t="s">
        <v>55</v>
      </c>
      <c r="AB45" s="77"/>
      <c r="AC45" s="76"/>
      <c r="AD45" s="75">
        <f t="shared" si="2"/>
        <v>0</v>
      </c>
      <c r="AG45" s="74">
        <f t="shared" si="3"/>
        <v>0</v>
      </c>
      <c r="AK45" s="65">
        <f t="shared" si="4"/>
        <v>0</v>
      </c>
      <c r="AL45" s="65">
        <f t="shared" si="5"/>
        <v>0</v>
      </c>
      <c r="AM45" s="65">
        <f t="shared" si="6"/>
        <v>0</v>
      </c>
      <c r="AN45" s="73">
        <f t="shared" si="7"/>
        <v>0</v>
      </c>
      <c r="AO45" s="65" t="str">
        <f t="shared" si="8"/>
        <v>0.00</v>
      </c>
      <c r="AP45" s="65" t="str">
        <f t="shared" si="9"/>
        <v>0</v>
      </c>
      <c r="AQ45" s="71">
        <f t="shared" si="10"/>
        <v>0</v>
      </c>
      <c r="AR45" s="72">
        <f t="shared" si="11"/>
        <v>0</v>
      </c>
      <c r="AS45" s="71">
        <f t="shared" si="12"/>
        <v>0</v>
      </c>
      <c r="AT45" s="70">
        <f t="shared" si="13"/>
        <v>0</v>
      </c>
      <c r="AU45" s="70">
        <f t="shared" si="14"/>
        <v>0</v>
      </c>
      <c r="AV45" s="2"/>
      <c r="AW45" s="66">
        <f t="shared" si="15"/>
        <v>0</v>
      </c>
      <c r="AX45" s="68">
        <f>_xlfn.IFNA(INDEX(Table394123[I $ p/ft2],MATCH(R45,Table394123[Film Type],0)),1.75)</f>
        <v>1.75</v>
      </c>
      <c r="AY45" s="69">
        <f>VLOOKUP(Z45,Table134931[#All],2,FALSE)</f>
        <v>1</v>
      </c>
      <c r="AZ45" s="68">
        <f t="shared" si="16"/>
        <v>1.75</v>
      </c>
      <c r="BA45" s="65">
        <f t="shared" si="17"/>
        <v>0</v>
      </c>
      <c r="BB45" s="64">
        <f t="shared" si="18"/>
        <v>0</v>
      </c>
      <c r="BC45" s="67">
        <f t="shared" si="19"/>
        <v>0</v>
      </c>
      <c r="BD45" s="66">
        <f t="shared" si="20"/>
        <v>0</v>
      </c>
      <c r="BE45" s="64"/>
      <c r="BF45" s="66">
        <f t="shared" si="21"/>
        <v>0</v>
      </c>
      <c r="BG45" s="66">
        <f t="shared" si="22"/>
        <v>0</v>
      </c>
      <c r="BH45" s="65">
        <f>VLOOKUP(AA45,Table155133[#All],2,FALSE)</f>
        <v>1</v>
      </c>
      <c r="BI45" s="65">
        <f t="shared" si="23"/>
        <v>0</v>
      </c>
      <c r="BJ45" s="64" t="str">
        <f t="shared" si="24"/>
        <v>0</v>
      </c>
      <c r="BQ45" s="6"/>
      <c r="BR45" s="6"/>
      <c r="BS45" s="6"/>
      <c r="BT45" s="6"/>
      <c r="BU45" s="6"/>
      <c r="BV45" s="6"/>
      <c r="BW45" s="6"/>
      <c r="BX45" s="2"/>
      <c r="CK45" s="86" t="s">
        <v>158</v>
      </c>
      <c r="CL45" s="2">
        <v>0.98</v>
      </c>
      <c r="CM45" s="2">
        <f t="shared" si="25"/>
        <v>1.0780000000000001</v>
      </c>
      <c r="CN45" s="10">
        <v>1.5</v>
      </c>
      <c r="CO45" s="84">
        <f t="shared" si="27"/>
        <v>0</v>
      </c>
    </row>
    <row r="46" spans="1:93" ht="12" hidden="1" customHeight="1" x14ac:dyDescent="0.5">
      <c r="A46" s="83"/>
      <c r="B46" s="266"/>
      <c r="C46" s="267"/>
      <c r="D46" s="267"/>
      <c r="E46" s="268"/>
      <c r="F46" s="64"/>
      <c r="G46" s="64"/>
      <c r="H46" s="82"/>
      <c r="I46" s="81"/>
      <c r="J46" s="64"/>
      <c r="K46" s="80"/>
      <c r="L46" s="79">
        <f t="shared" si="0"/>
        <v>0</v>
      </c>
      <c r="M46" s="64"/>
      <c r="N46" s="64"/>
      <c r="O46" s="64"/>
      <c r="P46" s="80"/>
      <c r="Q46" s="79">
        <f t="shared" si="1"/>
        <v>0</v>
      </c>
      <c r="R46" s="269" t="s">
        <v>282</v>
      </c>
      <c r="S46" s="270"/>
      <c r="T46" s="266"/>
      <c r="U46" s="267"/>
      <c r="V46" s="267"/>
      <c r="W46" s="268"/>
      <c r="X46" s="271">
        <f>IFERROR(INDEX(Table394123[],MATCH(R46,Table394123[Film Type],),3),"")</f>
        <v>0</v>
      </c>
      <c r="Y46" s="271"/>
      <c r="Z46" s="78" t="s">
        <v>55</v>
      </c>
      <c r="AA46" s="78" t="s">
        <v>55</v>
      </c>
      <c r="AB46" s="77"/>
      <c r="AC46" s="76"/>
      <c r="AD46" s="75">
        <f t="shared" si="2"/>
        <v>0</v>
      </c>
      <c r="AG46" s="74">
        <f t="shared" si="3"/>
        <v>0</v>
      </c>
      <c r="AK46" s="65">
        <f t="shared" si="4"/>
        <v>0</v>
      </c>
      <c r="AL46" s="65">
        <f t="shared" si="5"/>
        <v>0</v>
      </c>
      <c r="AM46" s="65">
        <f t="shared" si="6"/>
        <v>0</v>
      </c>
      <c r="AN46" s="73">
        <f t="shared" si="7"/>
        <v>0</v>
      </c>
      <c r="AO46" s="65" t="str">
        <f t="shared" si="8"/>
        <v>0.00</v>
      </c>
      <c r="AP46" s="65" t="str">
        <f t="shared" si="9"/>
        <v>0</v>
      </c>
      <c r="AQ46" s="71">
        <f t="shared" si="10"/>
        <v>0</v>
      </c>
      <c r="AR46" s="72">
        <f t="shared" si="11"/>
        <v>0</v>
      </c>
      <c r="AS46" s="71">
        <f t="shared" si="12"/>
        <v>0</v>
      </c>
      <c r="AT46" s="70">
        <f t="shared" si="13"/>
        <v>0</v>
      </c>
      <c r="AU46" s="70">
        <f t="shared" si="14"/>
        <v>0</v>
      </c>
      <c r="AV46" s="2"/>
      <c r="AW46" s="66">
        <f t="shared" si="15"/>
        <v>0</v>
      </c>
      <c r="AX46" s="68">
        <f>_xlfn.IFNA(INDEX(Table394123[I $ p/ft2],MATCH(R46,Table394123[Film Type],0)),1.75)</f>
        <v>1.75</v>
      </c>
      <c r="AY46" s="69">
        <f>VLOOKUP(Z46,Table134931[#All],2,FALSE)</f>
        <v>1</v>
      </c>
      <c r="AZ46" s="68">
        <f t="shared" si="16"/>
        <v>1.75</v>
      </c>
      <c r="BA46" s="65">
        <f t="shared" si="17"/>
        <v>0</v>
      </c>
      <c r="BB46" s="64">
        <f t="shared" si="18"/>
        <v>0</v>
      </c>
      <c r="BC46" s="67">
        <f t="shared" si="19"/>
        <v>0</v>
      </c>
      <c r="BD46" s="66">
        <f t="shared" si="20"/>
        <v>0</v>
      </c>
      <c r="BE46" s="64"/>
      <c r="BF46" s="66">
        <f t="shared" si="21"/>
        <v>0</v>
      </c>
      <c r="BG46" s="66">
        <f t="shared" si="22"/>
        <v>0</v>
      </c>
      <c r="BH46" s="65">
        <f>VLOOKUP(AA46,Table155133[#All],2,FALSE)</f>
        <v>1</v>
      </c>
      <c r="BI46" s="65">
        <f t="shared" si="23"/>
        <v>0</v>
      </c>
      <c r="BJ46" s="64" t="str">
        <f t="shared" si="24"/>
        <v>0</v>
      </c>
      <c r="BQ46" s="6"/>
      <c r="BR46" s="6"/>
      <c r="BS46" s="6"/>
      <c r="BT46" s="6"/>
      <c r="BU46" s="6"/>
      <c r="BV46" s="6"/>
      <c r="BW46" s="6"/>
      <c r="BX46" s="2"/>
      <c r="CK46" s="86" t="s">
        <v>157</v>
      </c>
      <c r="CL46" s="2">
        <v>1.96</v>
      </c>
      <c r="CM46" s="2">
        <f t="shared" si="25"/>
        <v>2.1560000000000001</v>
      </c>
      <c r="CN46" s="10">
        <v>1.5</v>
      </c>
      <c r="CO46" s="84">
        <f t="shared" si="27"/>
        <v>0</v>
      </c>
    </row>
    <row r="47" spans="1:93" ht="12" hidden="1" customHeight="1" x14ac:dyDescent="0.5">
      <c r="A47" s="83"/>
      <c r="B47" s="266"/>
      <c r="C47" s="267"/>
      <c r="D47" s="267"/>
      <c r="E47" s="268"/>
      <c r="F47" s="64"/>
      <c r="G47" s="64"/>
      <c r="H47" s="82"/>
      <c r="I47" s="81"/>
      <c r="J47" s="64"/>
      <c r="K47" s="80"/>
      <c r="L47" s="79">
        <f t="shared" si="0"/>
        <v>0</v>
      </c>
      <c r="M47" s="64"/>
      <c r="N47" s="64"/>
      <c r="O47" s="64"/>
      <c r="P47" s="80"/>
      <c r="Q47" s="79">
        <f t="shared" si="1"/>
        <v>0</v>
      </c>
      <c r="R47" s="269" t="s">
        <v>282</v>
      </c>
      <c r="S47" s="270"/>
      <c r="T47" s="266"/>
      <c r="U47" s="267"/>
      <c r="V47" s="267"/>
      <c r="W47" s="268"/>
      <c r="X47" s="271">
        <f>IFERROR(INDEX(Table394123[],MATCH(R47,Table394123[Film Type],),3),"")</f>
        <v>0</v>
      </c>
      <c r="Y47" s="271"/>
      <c r="Z47" s="78" t="s">
        <v>55</v>
      </c>
      <c r="AA47" s="78" t="s">
        <v>55</v>
      </c>
      <c r="AB47" s="77"/>
      <c r="AC47" s="76"/>
      <c r="AD47" s="75">
        <f t="shared" si="2"/>
        <v>0</v>
      </c>
      <c r="AG47" s="74">
        <f t="shared" si="3"/>
        <v>0</v>
      </c>
      <c r="AK47" s="65">
        <f t="shared" si="4"/>
        <v>0</v>
      </c>
      <c r="AL47" s="65">
        <f t="shared" si="5"/>
        <v>0</v>
      </c>
      <c r="AM47" s="65">
        <f t="shared" si="6"/>
        <v>0</v>
      </c>
      <c r="AN47" s="73">
        <f t="shared" si="7"/>
        <v>0</v>
      </c>
      <c r="AO47" s="65" t="str">
        <f t="shared" si="8"/>
        <v>0.00</v>
      </c>
      <c r="AP47" s="65" t="str">
        <f t="shared" si="9"/>
        <v>0</v>
      </c>
      <c r="AQ47" s="71">
        <f t="shared" si="10"/>
        <v>0</v>
      </c>
      <c r="AR47" s="72">
        <f t="shared" si="11"/>
        <v>0</v>
      </c>
      <c r="AS47" s="71">
        <f t="shared" si="12"/>
        <v>0</v>
      </c>
      <c r="AT47" s="70">
        <f t="shared" si="13"/>
        <v>0</v>
      </c>
      <c r="AU47" s="70">
        <f t="shared" si="14"/>
        <v>0</v>
      </c>
      <c r="AV47" s="2"/>
      <c r="AW47" s="66">
        <f t="shared" si="15"/>
        <v>0</v>
      </c>
      <c r="AX47" s="68">
        <f>_xlfn.IFNA(INDEX(Table394123[I $ p/ft2],MATCH(R47,Table394123[Film Type],0)),1.75)</f>
        <v>1.75</v>
      </c>
      <c r="AY47" s="69">
        <f>VLOOKUP(Z47,Table134931[#All],2,FALSE)</f>
        <v>1</v>
      </c>
      <c r="AZ47" s="68">
        <f t="shared" si="16"/>
        <v>1.75</v>
      </c>
      <c r="BA47" s="65">
        <f t="shared" si="17"/>
        <v>0</v>
      </c>
      <c r="BB47" s="64">
        <f t="shared" si="18"/>
        <v>0</v>
      </c>
      <c r="BC47" s="67">
        <f t="shared" si="19"/>
        <v>0</v>
      </c>
      <c r="BD47" s="66">
        <f t="shared" si="20"/>
        <v>0</v>
      </c>
      <c r="BE47" s="64"/>
      <c r="BF47" s="66">
        <f t="shared" si="21"/>
        <v>0</v>
      </c>
      <c r="BG47" s="66">
        <f t="shared" si="22"/>
        <v>0</v>
      </c>
      <c r="BH47" s="65">
        <f>VLOOKUP(AA47,Table155133[#All],2,FALSE)</f>
        <v>1</v>
      </c>
      <c r="BI47" s="65">
        <f t="shared" si="23"/>
        <v>0</v>
      </c>
      <c r="BJ47" s="64" t="str">
        <f t="shared" si="24"/>
        <v>0</v>
      </c>
      <c r="BQ47" s="6"/>
      <c r="BR47" s="6"/>
      <c r="BS47" s="6"/>
      <c r="BT47" s="6"/>
      <c r="BU47" s="6"/>
      <c r="BV47" s="6"/>
      <c r="BW47" s="6"/>
      <c r="BX47" s="2"/>
      <c r="CK47" s="86"/>
      <c r="CM47" s="2">
        <f t="shared" si="25"/>
        <v>0</v>
      </c>
      <c r="CN47" s="10"/>
      <c r="CO47" s="84">
        <f t="shared" si="27"/>
        <v>0</v>
      </c>
    </row>
    <row r="48" spans="1:93" ht="12" hidden="1" customHeight="1" x14ac:dyDescent="0.5">
      <c r="A48" s="83"/>
      <c r="B48" s="266"/>
      <c r="C48" s="267"/>
      <c r="D48" s="267"/>
      <c r="E48" s="268"/>
      <c r="F48" s="64"/>
      <c r="G48" s="64"/>
      <c r="H48" s="82"/>
      <c r="I48" s="81"/>
      <c r="J48" s="64"/>
      <c r="K48" s="80"/>
      <c r="L48" s="79">
        <f t="shared" si="0"/>
        <v>0</v>
      </c>
      <c r="M48" s="64"/>
      <c r="N48" s="64"/>
      <c r="O48" s="64"/>
      <c r="P48" s="80"/>
      <c r="Q48" s="79">
        <f t="shared" si="1"/>
        <v>0</v>
      </c>
      <c r="R48" s="269" t="s">
        <v>282</v>
      </c>
      <c r="S48" s="270"/>
      <c r="T48" s="266"/>
      <c r="U48" s="267"/>
      <c r="V48" s="267"/>
      <c r="W48" s="268"/>
      <c r="X48" s="271">
        <f>IFERROR(INDEX(Table394123[],MATCH(R48,Table394123[Film Type],),3),"")</f>
        <v>0</v>
      </c>
      <c r="Y48" s="271"/>
      <c r="Z48" s="78" t="s">
        <v>55</v>
      </c>
      <c r="AA48" s="78" t="s">
        <v>55</v>
      </c>
      <c r="AB48" s="77"/>
      <c r="AC48" s="76"/>
      <c r="AD48" s="75">
        <f t="shared" si="2"/>
        <v>0</v>
      </c>
      <c r="AG48" s="74">
        <f t="shared" si="3"/>
        <v>0</v>
      </c>
      <c r="AK48" s="65">
        <f t="shared" si="4"/>
        <v>0</v>
      </c>
      <c r="AL48" s="65">
        <f t="shared" si="5"/>
        <v>0</v>
      </c>
      <c r="AM48" s="65">
        <f t="shared" si="6"/>
        <v>0</v>
      </c>
      <c r="AN48" s="73">
        <f t="shared" si="7"/>
        <v>0</v>
      </c>
      <c r="AO48" s="65" t="str">
        <f t="shared" si="8"/>
        <v>0.00</v>
      </c>
      <c r="AP48" s="65" t="str">
        <f t="shared" si="9"/>
        <v>0</v>
      </c>
      <c r="AQ48" s="71">
        <f t="shared" si="10"/>
        <v>0</v>
      </c>
      <c r="AR48" s="72">
        <f t="shared" si="11"/>
        <v>0</v>
      </c>
      <c r="AS48" s="71">
        <f t="shared" si="12"/>
        <v>0</v>
      </c>
      <c r="AT48" s="70">
        <f t="shared" si="13"/>
        <v>0</v>
      </c>
      <c r="AU48" s="70">
        <f t="shared" si="14"/>
        <v>0</v>
      </c>
      <c r="AV48" s="2"/>
      <c r="AW48" s="66">
        <f t="shared" si="15"/>
        <v>0</v>
      </c>
      <c r="AX48" s="68">
        <f>_xlfn.IFNA(INDEX(Table394123[I $ p/ft2],MATCH(R48,Table394123[Film Type],0)),1.75)</f>
        <v>1.75</v>
      </c>
      <c r="AY48" s="69">
        <f>VLOOKUP(Z48,Table134931[#All],2,FALSE)</f>
        <v>1</v>
      </c>
      <c r="AZ48" s="68">
        <f t="shared" si="16"/>
        <v>1.75</v>
      </c>
      <c r="BA48" s="65">
        <f t="shared" si="17"/>
        <v>0</v>
      </c>
      <c r="BB48" s="64">
        <f t="shared" si="18"/>
        <v>0</v>
      </c>
      <c r="BC48" s="67">
        <f t="shared" si="19"/>
        <v>0</v>
      </c>
      <c r="BD48" s="66">
        <f t="shared" si="20"/>
        <v>0</v>
      </c>
      <c r="BE48" s="64"/>
      <c r="BF48" s="66">
        <f t="shared" si="21"/>
        <v>0</v>
      </c>
      <c r="BG48" s="66">
        <f t="shared" si="22"/>
        <v>0</v>
      </c>
      <c r="BH48" s="65">
        <f>VLOOKUP(AA48,Table155133[#All],2,FALSE)</f>
        <v>1</v>
      </c>
      <c r="BI48" s="65">
        <f t="shared" si="23"/>
        <v>0</v>
      </c>
      <c r="BJ48" s="64" t="str">
        <f t="shared" si="24"/>
        <v>0</v>
      </c>
      <c r="BQ48" s="6"/>
      <c r="BR48" s="6"/>
      <c r="BS48" s="6"/>
      <c r="BT48" s="6"/>
      <c r="BU48" s="6"/>
      <c r="BV48" s="6"/>
      <c r="BW48" s="6"/>
      <c r="BX48" s="2"/>
      <c r="CK48" s="86" t="s">
        <v>156</v>
      </c>
      <c r="CL48" s="2">
        <v>2.4700000000000002</v>
      </c>
      <c r="CM48" s="2">
        <f t="shared" si="25"/>
        <v>2.7170000000000005</v>
      </c>
      <c r="CN48" s="10">
        <v>1.5</v>
      </c>
      <c r="CO48" s="84">
        <f t="shared" si="27"/>
        <v>0</v>
      </c>
    </row>
    <row r="49" spans="1:93" ht="12" hidden="1" customHeight="1" x14ac:dyDescent="0.5">
      <c r="A49" s="83"/>
      <c r="B49" s="266"/>
      <c r="C49" s="267"/>
      <c r="D49" s="267"/>
      <c r="E49" s="268"/>
      <c r="F49" s="64"/>
      <c r="G49" s="64"/>
      <c r="H49" s="82"/>
      <c r="I49" s="81"/>
      <c r="J49" s="64"/>
      <c r="K49" s="80"/>
      <c r="L49" s="79">
        <f t="shared" si="0"/>
        <v>0</v>
      </c>
      <c r="M49" s="64"/>
      <c r="N49" s="64"/>
      <c r="O49" s="64"/>
      <c r="P49" s="80"/>
      <c r="Q49" s="79">
        <f t="shared" si="1"/>
        <v>0</v>
      </c>
      <c r="R49" s="269" t="s">
        <v>282</v>
      </c>
      <c r="S49" s="270"/>
      <c r="T49" s="266"/>
      <c r="U49" s="267"/>
      <c r="V49" s="267"/>
      <c r="W49" s="268"/>
      <c r="X49" s="271">
        <f>IFERROR(INDEX(Table394123[],MATCH(R49,Table394123[Film Type],),3),"")</f>
        <v>0</v>
      </c>
      <c r="Y49" s="271"/>
      <c r="Z49" s="78" t="s">
        <v>55</v>
      </c>
      <c r="AA49" s="78" t="s">
        <v>55</v>
      </c>
      <c r="AB49" s="77"/>
      <c r="AC49" s="76"/>
      <c r="AD49" s="75">
        <f t="shared" si="2"/>
        <v>0</v>
      </c>
      <c r="AG49" s="74">
        <f t="shared" si="3"/>
        <v>0</v>
      </c>
      <c r="AK49" s="65">
        <f t="shared" si="4"/>
        <v>0</v>
      </c>
      <c r="AL49" s="65">
        <f t="shared" si="5"/>
        <v>0</v>
      </c>
      <c r="AM49" s="65">
        <f t="shared" si="6"/>
        <v>0</v>
      </c>
      <c r="AN49" s="73">
        <f t="shared" si="7"/>
        <v>0</v>
      </c>
      <c r="AO49" s="65" t="str">
        <f t="shared" si="8"/>
        <v>0.00</v>
      </c>
      <c r="AP49" s="65" t="str">
        <f t="shared" si="9"/>
        <v>0</v>
      </c>
      <c r="AQ49" s="71">
        <f t="shared" si="10"/>
        <v>0</v>
      </c>
      <c r="AR49" s="72">
        <f t="shared" si="11"/>
        <v>0</v>
      </c>
      <c r="AS49" s="71">
        <f t="shared" si="12"/>
        <v>0</v>
      </c>
      <c r="AT49" s="70">
        <f t="shared" si="13"/>
        <v>0</v>
      </c>
      <c r="AU49" s="70">
        <f t="shared" si="14"/>
        <v>0</v>
      </c>
      <c r="AV49" s="2"/>
      <c r="AW49" s="66">
        <f t="shared" si="15"/>
        <v>0</v>
      </c>
      <c r="AX49" s="68">
        <f>_xlfn.IFNA(INDEX(Table394123[I $ p/ft2],MATCH(R49,Table394123[Film Type],0)),1.75)</f>
        <v>1.75</v>
      </c>
      <c r="AY49" s="69">
        <f>VLOOKUP(Z49,Table134931[#All],2,FALSE)</f>
        <v>1</v>
      </c>
      <c r="AZ49" s="68">
        <f t="shared" si="16"/>
        <v>1.75</v>
      </c>
      <c r="BA49" s="65">
        <f t="shared" si="17"/>
        <v>0</v>
      </c>
      <c r="BB49" s="64">
        <f t="shared" si="18"/>
        <v>0</v>
      </c>
      <c r="BC49" s="67">
        <f t="shared" si="19"/>
        <v>0</v>
      </c>
      <c r="BD49" s="66">
        <f t="shared" si="20"/>
        <v>0</v>
      </c>
      <c r="BE49" s="64"/>
      <c r="BF49" s="66">
        <f t="shared" si="21"/>
        <v>0</v>
      </c>
      <c r="BG49" s="66">
        <f t="shared" si="22"/>
        <v>0</v>
      </c>
      <c r="BH49" s="65">
        <f>VLOOKUP(AA49,Table155133[#All],2,FALSE)</f>
        <v>1</v>
      </c>
      <c r="BI49" s="65">
        <f t="shared" si="23"/>
        <v>0</v>
      </c>
      <c r="BJ49" s="64" t="str">
        <f t="shared" si="24"/>
        <v>0</v>
      </c>
      <c r="BQ49" s="6"/>
      <c r="BR49" s="6"/>
      <c r="BS49" s="6"/>
      <c r="BT49" s="6"/>
      <c r="BU49" s="6"/>
      <c r="BV49" s="6"/>
      <c r="BW49" s="6"/>
      <c r="BX49" s="2"/>
      <c r="CK49" s="86" t="s">
        <v>155</v>
      </c>
      <c r="CL49" s="2">
        <v>2.4700000000000002</v>
      </c>
      <c r="CM49" s="2">
        <f t="shared" si="25"/>
        <v>2.7170000000000005</v>
      </c>
      <c r="CN49" s="10">
        <v>1.5</v>
      </c>
      <c r="CO49" s="84">
        <f t="shared" si="27"/>
        <v>0</v>
      </c>
    </row>
    <row r="50" spans="1:93" ht="12" hidden="1" customHeight="1" x14ac:dyDescent="0.5">
      <c r="A50" s="83"/>
      <c r="B50" s="266"/>
      <c r="C50" s="267"/>
      <c r="D50" s="267"/>
      <c r="E50" s="268"/>
      <c r="F50" s="64"/>
      <c r="G50" s="64"/>
      <c r="H50" s="82"/>
      <c r="I50" s="81"/>
      <c r="J50" s="64"/>
      <c r="K50" s="80"/>
      <c r="L50" s="79">
        <f t="shared" si="0"/>
        <v>0</v>
      </c>
      <c r="M50" s="64"/>
      <c r="N50" s="64"/>
      <c r="O50" s="64"/>
      <c r="P50" s="80"/>
      <c r="Q50" s="79">
        <f t="shared" si="1"/>
        <v>0</v>
      </c>
      <c r="R50" s="269" t="s">
        <v>282</v>
      </c>
      <c r="S50" s="270"/>
      <c r="T50" s="266"/>
      <c r="U50" s="267"/>
      <c r="V50" s="267"/>
      <c r="W50" s="268"/>
      <c r="X50" s="271">
        <f>IFERROR(INDEX(Table394123[],MATCH(R50,Table394123[Film Type],),3),"")</f>
        <v>0</v>
      </c>
      <c r="Y50" s="271"/>
      <c r="Z50" s="78" t="s">
        <v>55</v>
      </c>
      <c r="AA50" s="78" t="s">
        <v>55</v>
      </c>
      <c r="AB50" s="77"/>
      <c r="AC50" s="76"/>
      <c r="AD50" s="75">
        <f t="shared" si="2"/>
        <v>0</v>
      </c>
      <c r="AG50" s="74">
        <f t="shared" si="3"/>
        <v>0</v>
      </c>
      <c r="AK50" s="65">
        <f t="shared" si="4"/>
        <v>0</v>
      </c>
      <c r="AL50" s="65">
        <f t="shared" si="5"/>
        <v>0</v>
      </c>
      <c r="AM50" s="65">
        <f t="shared" si="6"/>
        <v>0</v>
      </c>
      <c r="AN50" s="73">
        <f t="shared" si="7"/>
        <v>0</v>
      </c>
      <c r="AO50" s="65" t="str">
        <f t="shared" si="8"/>
        <v>0.00</v>
      </c>
      <c r="AP50" s="65" t="str">
        <f t="shared" si="9"/>
        <v>0</v>
      </c>
      <c r="AQ50" s="71">
        <f t="shared" si="10"/>
        <v>0</v>
      </c>
      <c r="AR50" s="72">
        <f t="shared" si="11"/>
        <v>0</v>
      </c>
      <c r="AS50" s="71">
        <f t="shared" si="12"/>
        <v>0</v>
      </c>
      <c r="AT50" s="70">
        <f t="shared" si="13"/>
        <v>0</v>
      </c>
      <c r="AU50" s="70">
        <f t="shared" si="14"/>
        <v>0</v>
      </c>
      <c r="AV50" s="2"/>
      <c r="AW50" s="66">
        <f t="shared" si="15"/>
        <v>0</v>
      </c>
      <c r="AX50" s="68">
        <f>_xlfn.IFNA(INDEX(Table394123[I $ p/ft2],MATCH(R50,Table394123[Film Type],0)),1.75)</f>
        <v>1.75</v>
      </c>
      <c r="AY50" s="69">
        <f>VLOOKUP(Z50,Table134931[#All],2,FALSE)</f>
        <v>1</v>
      </c>
      <c r="AZ50" s="68">
        <f t="shared" si="16"/>
        <v>1.75</v>
      </c>
      <c r="BA50" s="65">
        <f t="shared" si="17"/>
        <v>0</v>
      </c>
      <c r="BB50" s="64">
        <f t="shared" si="18"/>
        <v>0</v>
      </c>
      <c r="BC50" s="67">
        <f t="shared" si="19"/>
        <v>0</v>
      </c>
      <c r="BD50" s="66">
        <f t="shared" si="20"/>
        <v>0</v>
      </c>
      <c r="BE50" s="64"/>
      <c r="BF50" s="66">
        <f t="shared" si="21"/>
        <v>0</v>
      </c>
      <c r="BG50" s="66">
        <f t="shared" si="22"/>
        <v>0</v>
      </c>
      <c r="BH50" s="65">
        <f>VLOOKUP(AA50,Table155133[#All],2,FALSE)</f>
        <v>1</v>
      </c>
      <c r="BI50" s="65">
        <f t="shared" si="23"/>
        <v>0</v>
      </c>
      <c r="BJ50" s="64" t="str">
        <f t="shared" si="24"/>
        <v>0</v>
      </c>
      <c r="BQ50" s="6"/>
      <c r="BR50" s="6"/>
      <c r="BS50" s="6"/>
      <c r="BT50" s="6"/>
      <c r="BU50" s="6"/>
      <c r="BV50" s="6"/>
      <c r="BW50" s="6"/>
      <c r="BX50" s="2"/>
      <c r="CK50" s="86" t="s">
        <v>154</v>
      </c>
      <c r="CL50" s="2">
        <v>4.47</v>
      </c>
      <c r="CM50" s="2">
        <f t="shared" si="25"/>
        <v>4.9169999999999998</v>
      </c>
      <c r="CN50" s="10">
        <v>1.5</v>
      </c>
      <c r="CO50" s="84">
        <f t="shared" si="27"/>
        <v>0</v>
      </c>
    </row>
    <row r="51" spans="1:93" ht="12" hidden="1" customHeight="1" x14ac:dyDescent="0.5">
      <c r="A51" s="83"/>
      <c r="B51" s="266"/>
      <c r="C51" s="267"/>
      <c r="D51" s="267"/>
      <c r="E51" s="268"/>
      <c r="F51" s="64"/>
      <c r="G51" s="64"/>
      <c r="H51" s="82"/>
      <c r="I51" s="81"/>
      <c r="J51" s="64"/>
      <c r="K51" s="80"/>
      <c r="L51" s="79">
        <f t="shared" si="0"/>
        <v>0</v>
      </c>
      <c r="M51" s="64"/>
      <c r="N51" s="64"/>
      <c r="O51" s="64"/>
      <c r="P51" s="80"/>
      <c r="Q51" s="79">
        <f t="shared" si="1"/>
        <v>0</v>
      </c>
      <c r="R51" s="269" t="s">
        <v>282</v>
      </c>
      <c r="S51" s="270"/>
      <c r="T51" s="266"/>
      <c r="U51" s="267"/>
      <c r="V51" s="267"/>
      <c r="W51" s="268"/>
      <c r="X51" s="271">
        <f>IFERROR(INDEX(Table394123[],MATCH(R51,Table394123[Film Type],),3),"")</f>
        <v>0</v>
      </c>
      <c r="Y51" s="271"/>
      <c r="Z51" s="78" t="s">
        <v>55</v>
      </c>
      <c r="AA51" s="78" t="s">
        <v>55</v>
      </c>
      <c r="AB51" s="77"/>
      <c r="AC51" s="76"/>
      <c r="AD51" s="75">
        <f t="shared" si="2"/>
        <v>0</v>
      </c>
      <c r="AG51" s="74">
        <f t="shared" si="3"/>
        <v>0</v>
      </c>
      <c r="AK51" s="65">
        <f t="shared" si="4"/>
        <v>0</v>
      </c>
      <c r="AL51" s="65">
        <f t="shared" si="5"/>
        <v>0</v>
      </c>
      <c r="AM51" s="65">
        <f t="shared" si="6"/>
        <v>0</v>
      </c>
      <c r="AN51" s="73">
        <f t="shared" si="7"/>
        <v>0</v>
      </c>
      <c r="AO51" s="65" t="str">
        <f t="shared" si="8"/>
        <v>0.00</v>
      </c>
      <c r="AP51" s="65" t="str">
        <f t="shared" si="9"/>
        <v>0</v>
      </c>
      <c r="AQ51" s="71">
        <f t="shared" si="10"/>
        <v>0</v>
      </c>
      <c r="AR51" s="72">
        <f t="shared" si="11"/>
        <v>0</v>
      </c>
      <c r="AS51" s="71">
        <f t="shared" si="12"/>
        <v>0</v>
      </c>
      <c r="AT51" s="70">
        <f t="shared" si="13"/>
        <v>0</v>
      </c>
      <c r="AU51" s="70">
        <f t="shared" si="14"/>
        <v>0</v>
      </c>
      <c r="AV51" s="2"/>
      <c r="AW51" s="66">
        <f t="shared" si="15"/>
        <v>0</v>
      </c>
      <c r="AX51" s="68">
        <f>_xlfn.IFNA(INDEX(Table394123[I $ p/ft2],MATCH(R51,Table394123[Film Type],0)),1.75)</f>
        <v>1.75</v>
      </c>
      <c r="AY51" s="69">
        <f>VLOOKUP(Z51,Table134931[#All],2,FALSE)</f>
        <v>1</v>
      </c>
      <c r="AZ51" s="68">
        <f t="shared" si="16"/>
        <v>1.75</v>
      </c>
      <c r="BA51" s="65">
        <f t="shared" si="17"/>
        <v>0</v>
      </c>
      <c r="BB51" s="64">
        <f t="shared" si="18"/>
        <v>0</v>
      </c>
      <c r="BC51" s="67">
        <f t="shared" si="19"/>
        <v>0</v>
      </c>
      <c r="BD51" s="66">
        <f t="shared" si="20"/>
        <v>0</v>
      </c>
      <c r="BE51" s="64"/>
      <c r="BF51" s="66">
        <f t="shared" si="21"/>
        <v>0</v>
      </c>
      <c r="BG51" s="66">
        <f t="shared" si="22"/>
        <v>0</v>
      </c>
      <c r="BH51" s="65">
        <f>VLOOKUP(AA51,Table155133[#All],2,FALSE)</f>
        <v>1</v>
      </c>
      <c r="BI51" s="65">
        <f t="shared" si="23"/>
        <v>0</v>
      </c>
      <c r="BJ51" s="64" t="str">
        <f t="shared" si="24"/>
        <v>0</v>
      </c>
      <c r="BQ51" s="6"/>
      <c r="BR51" s="6"/>
      <c r="BS51" s="6"/>
      <c r="BT51" s="6"/>
      <c r="BU51" s="6"/>
      <c r="BV51" s="6"/>
      <c r="BW51" s="6"/>
      <c r="BX51" s="2"/>
      <c r="CK51" s="86" t="s">
        <v>153</v>
      </c>
      <c r="CL51" s="2">
        <v>1.85</v>
      </c>
      <c r="CM51" s="2">
        <f t="shared" si="25"/>
        <v>2.0350000000000001</v>
      </c>
      <c r="CN51" s="10">
        <v>1.5</v>
      </c>
      <c r="CO51" s="84">
        <f t="shared" si="27"/>
        <v>0</v>
      </c>
    </row>
    <row r="52" spans="1:93" ht="12" hidden="1" customHeight="1" x14ac:dyDescent="0.5">
      <c r="A52" s="83"/>
      <c r="B52" s="266"/>
      <c r="C52" s="267"/>
      <c r="D52" s="267"/>
      <c r="E52" s="268"/>
      <c r="F52" s="64"/>
      <c r="G52" s="64"/>
      <c r="H52" s="82"/>
      <c r="I52" s="81"/>
      <c r="J52" s="64"/>
      <c r="K52" s="80"/>
      <c r="L52" s="79">
        <f t="shared" si="0"/>
        <v>0</v>
      </c>
      <c r="M52" s="64"/>
      <c r="N52" s="64"/>
      <c r="O52" s="64"/>
      <c r="P52" s="80"/>
      <c r="Q52" s="79">
        <f t="shared" si="1"/>
        <v>0</v>
      </c>
      <c r="R52" s="269" t="s">
        <v>282</v>
      </c>
      <c r="S52" s="270"/>
      <c r="T52" s="266"/>
      <c r="U52" s="267"/>
      <c r="V52" s="267"/>
      <c r="W52" s="268"/>
      <c r="X52" s="271">
        <f>IFERROR(INDEX(Table394123[],MATCH(R52,Table394123[Film Type],),3),"")</f>
        <v>0</v>
      </c>
      <c r="Y52" s="271"/>
      <c r="Z52" s="78" t="s">
        <v>55</v>
      </c>
      <c r="AA52" s="78" t="s">
        <v>55</v>
      </c>
      <c r="AB52" s="77"/>
      <c r="AC52" s="76"/>
      <c r="AD52" s="75">
        <f t="shared" si="2"/>
        <v>0</v>
      </c>
      <c r="AG52" s="74">
        <f t="shared" si="3"/>
        <v>0</v>
      </c>
      <c r="AK52" s="65">
        <f t="shared" si="4"/>
        <v>0</v>
      </c>
      <c r="AL52" s="65">
        <f t="shared" si="5"/>
        <v>0</v>
      </c>
      <c r="AM52" s="65">
        <f t="shared" si="6"/>
        <v>0</v>
      </c>
      <c r="AN52" s="73">
        <f t="shared" si="7"/>
        <v>0</v>
      </c>
      <c r="AO52" s="65" t="str">
        <f t="shared" si="8"/>
        <v>0.00</v>
      </c>
      <c r="AP52" s="65" t="str">
        <f t="shared" si="9"/>
        <v>0</v>
      </c>
      <c r="AQ52" s="71">
        <f t="shared" si="10"/>
        <v>0</v>
      </c>
      <c r="AR52" s="72">
        <f t="shared" si="11"/>
        <v>0</v>
      </c>
      <c r="AS52" s="71">
        <f t="shared" si="12"/>
        <v>0</v>
      </c>
      <c r="AT52" s="70">
        <f t="shared" si="13"/>
        <v>0</v>
      </c>
      <c r="AU52" s="70">
        <f t="shared" si="14"/>
        <v>0</v>
      </c>
      <c r="AV52" s="2"/>
      <c r="AW52" s="66">
        <f t="shared" si="15"/>
        <v>0</v>
      </c>
      <c r="AX52" s="68">
        <f>_xlfn.IFNA(INDEX(Table394123[I $ p/ft2],MATCH(R52,Table394123[Film Type],0)),1.75)</f>
        <v>1.75</v>
      </c>
      <c r="AY52" s="69">
        <f>VLOOKUP(Z52,Table134931[#All],2,FALSE)</f>
        <v>1</v>
      </c>
      <c r="AZ52" s="68">
        <f t="shared" si="16"/>
        <v>1.75</v>
      </c>
      <c r="BA52" s="65">
        <f t="shared" si="17"/>
        <v>0</v>
      </c>
      <c r="BB52" s="64">
        <f t="shared" si="18"/>
        <v>0</v>
      </c>
      <c r="BC52" s="67">
        <f t="shared" si="19"/>
        <v>0</v>
      </c>
      <c r="BD52" s="66">
        <f t="shared" si="20"/>
        <v>0</v>
      </c>
      <c r="BE52" s="64"/>
      <c r="BF52" s="66">
        <f t="shared" si="21"/>
        <v>0</v>
      </c>
      <c r="BG52" s="66">
        <f t="shared" si="22"/>
        <v>0</v>
      </c>
      <c r="BH52" s="65">
        <f>VLOOKUP(AA52,Table155133[#All],2,FALSE)</f>
        <v>1</v>
      </c>
      <c r="BI52" s="65">
        <f t="shared" si="23"/>
        <v>0</v>
      </c>
      <c r="BJ52" s="64" t="str">
        <f t="shared" si="24"/>
        <v>0</v>
      </c>
      <c r="BQ52" s="6"/>
      <c r="BR52" s="6"/>
      <c r="BS52" s="6"/>
      <c r="BT52" s="6"/>
      <c r="BU52" s="6"/>
      <c r="BV52" s="6"/>
      <c r="BW52" s="6"/>
      <c r="BX52" s="2"/>
      <c r="CK52" s="86" t="s">
        <v>152</v>
      </c>
      <c r="CL52" s="2">
        <v>2.4700000000000002</v>
      </c>
      <c r="CM52" s="2">
        <f t="shared" si="25"/>
        <v>2.7170000000000005</v>
      </c>
      <c r="CN52" s="10">
        <v>1.5</v>
      </c>
      <c r="CO52" s="84">
        <f t="shared" si="27"/>
        <v>0</v>
      </c>
    </row>
    <row r="53" spans="1:93" ht="11.1" hidden="1" customHeight="1" x14ac:dyDescent="0.5">
      <c r="A53" s="83"/>
      <c r="B53" s="266"/>
      <c r="C53" s="267"/>
      <c r="D53" s="267"/>
      <c r="E53" s="268"/>
      <c r="F53" s="64"/>
      <c r="G53" s="64"/>
      <c r="H53" s="82"/>
      <c r="I53" s="81"/>
      <c r="J53" s="64"/>
      <c r="K53" s="80"/>
      <c r="L53" s="79">
        <f t="shared" si="0"/>
        <v>0</v>
      </c>
      <c r="M53" s="64"/>
      <c r="N53" s="64"/>
      <c r="O53" s="64"/>
      <c r="P53" s="80"/>
      <c r="Q53" s="79">
        <f t="shared" si="1"/>
        <v>0</v>
      </c>
      <c r="R53" s="269" t="s">
        <v>282</v>
      </c>
      <c r="S53" s="270"/>
      <c r="T53" s="266"/>
      <c r="U53" s="267"/>
      <c r="V53" s="267"/>
      <c r="W53" s="268"/>
      <c r="X53" s="271">
        <f>IFERROR(INDEX(Table394123[],MATCH(R53,Table394123[Film Type],),3),"")</f>
        <v>0</v>
      </c>
      <c r="Y53" s="271"/>
      <c r="Z53" s="78" t="s">
        <v>55</v>
      </c>
      <c r="AA53" s="78" t="s">
        <v>55</v>
      </c>
      <c r="AB53" s="77"/>
      <c r="AC53" s="76"/>
      <c r="AD53" s="75">
        <f t="shared" si="2"/>
        <v>0</v>
      </c>
      <c r="AG53" s="74">
        <f t="shared" si="3"/>
        <v>0</v>
      </c>
      <c r="AK53" s="65">
        <f t="shared" si="4"/>
        <v>0</v>
      </c>
      <c r="AL53" s="65">
        <f t="shared" si="5"/>
        <v>0</v>
      </c>
      <c r="AM53" s="65">
        <f t="shared" si="6"/>
        <v>0</v>
      </c>
      <c r="AN53" s="73">
        <f t="shared" si="7"/>
        <v>0</v>
      </c>
      <c r="AO53" s="65" t="str">
        <f t="shared" si="8"/>
        <v>0.00</v>
      </c>
      <c r="AP53" s="65" t="str">
        <f t="shared" si="9"/>
        <v>0</v>
      </c>
      <c r="AQ53" s="71">
        <f t="shared" si="10"/>
        <v>0</v>
      </c>
      <c r="AR53" s="72">
        <f t="shared" si="11"/>
        <v>0</v>
      </c>
      <c r="AS53" s="71">
        <f t="shared" si="12"/>
        <v>0</v>
      </c>
      <c r="AT53" s="70">
        <f t="shared" si="13"/>
        <v>0</v>
      </c>
      <c r="AU53" s="70">
        <f t="shared" si="14"/>
        <v>0</v>
      </c>
      <c r="AV53" s="2"/>
      <c r="AW53" s="66">
        <f t="shared" si="15"/>
        <v>0</v>
      </c>
      <c r="AX53" s="68">
        <f>_xlfn.IFNA(INDEX(Table394123[I $ p/ft2],MATCH(R53,Table394123[Film Type],0)),1.75)</f>
        <v>1.75</v>
      </c>
      <c r="AY53" s="69">
        <f>VLOOKUP(Z53,Table134931[#All],2,FALSE)</f>
        <v>1</v>
      </c>
      <c r="AZ53" s="68">
        <f t="shared" si="16"/>
        <v>1.75</v>
      </c>
      <c r="BA53" s="65">
        <f t="shared" si="17"/>
        <v>0</v>
      </c>
      <c r="BB53" s="64">
        <f t="shared" si="18"/>
        <v>0</v>
      </c>
      <c r="BC53" s="67">
        <f t="shared" si="19"/>
        <v>0</v>
      </c>
      <c r="BD53" s="66">
        <f t="shared" si="20"/>
        <v>0</v>
      </c>
      <c r="BE53" s="64"/>
      <c r="BF53" s="66">
        <f t="shared" si="21"/>
        <v>0</v>
      </c>
      <c r="BG53" s="66">
        <f t="shared" si="22"/>
        <v>0</v>
      </c>
      <c r="BH53" s="65">
        <f>VLOOKUP(AA53,Table155133[#All],2,FALSE)</f>
        <v>1</v>
      </c>
      <c r="BI53" s="65">
        <f t="shared" si="23"/>
        <v>0</v>
      </c>
      <c r="BJ53" s="64" t="str">
        <f t="shared" si="24"/>
        <v>0</v>
      </c>
      <c r="BQ53" s="6"/>
      <c r="BR53" s="6"/>
      <c r="BS53" s="6"/>
      <c r="BT53" s="6"/>
      <c r="BU53" s="6"/>
      <c r="BV53" s="6"/>
      <c r="BW53" s="6"/>
      <c r="BX53" s="2"/>
      <c r="CK53" s="86" t="s">
        <v>151</v>
      </c>
      <c r="CL53" s="2">
        <v>4.6399999999999997</v>
      </c>
      <c r="CM53" s="2">
        <f t="shared" si="25"/>
        <v>5.1040000000000001</v>
      </c>
      <c r="CN53" s="10">
        <v>1.5</v>
      </c>
      <c r="CO53" s="84">
        <f t="shared" si="27"/>
        <v>0</v>
      </c>
    </row>
    <row r="54" spans="1:93" ht="11.1" hidden="1" customHeight="1" x14ac:dyDescent="0.5">
      <c r="A54" s="83"/>
      <c r="B54" s="266"/>
      <c r="C54" s="267"/>
      <c r="D54" s="267"/>
      <c r="E54" s="268"/>
      <c r="F54" s="64"/>
      <c r="G54" s="64"/>
      <c r="H54" s="82"/>
      <c r="I54" s="81"/>
      <c r="J54" s="64"/>
      <c r="K54" s="80"/>
      <c r="L54" s="79">
        <f t="shared" si="0"/>
        <v>0</v>
      </c>
      <c r="M54" s="64"/>
      <c r="N54" s="64"/>
      <c r="O54" s="64"/>
      <c r="P54" s="80"/>
      <c r="Q54" s="79">
        <f t="shared" si="1"/>
        <v>0</v>
      </c>
      <c r="R54" s="269" t="s">
        <v>282</v>
      </c>
      <c r="S54" s="270"/>
      <c r="T54" s="266"/>
      <c r="U54" s="267"/>
      <c r="V54" s="267"/>
      <c r="W54" s="268"/>
      <c r="X54" s="271">
        <f>IFERROR(INDEX(Table394123[],MATCH(R54,Table394123[Film Type],),3),"")</f>
        <v>0</v>
      </c>
      <c r="Y54" s="271"/>
      <c r="Z54" s="78" t="s">
        <v>55</v>
      </c>
      <c r="AA54" s="78" t="s">
        <v>55</v>
      </c>
      <c r="AB54" s="77"/>
      <c r="AC54" s="76"/>
      <c r="AD54" s="75">
        <f t="shared" si="2"/>
        <v>0</v>
      </c>
      <c r="AG54" s="74">
        <f t="shared" si="3"/>
        <v>0</v>
      </c>
      <c r="AK54" s="65">
        <f t="shared" si="4"/>
        <v>0</v>
      </c>
      <c r="AL54" s="65">
        <f t="shared" si="5"/>
        <v>0</v>
      </c>
      <c r="AM54" s="65">
        <f t="shared" si="6"/>
        <v>0</v>
      </c>
      <c r="AN54" s="73">
        <f t="shared" si="7"/>
        <v>0</v>
      </c>
      <c r="AO54" s="65" t="str">
        <f t="shared" si="8"/>
        <v>0.00</v>
      </c>
      <c r="AP54" s="65" t="str">
        <f t="shared" si="9"/>
        <v>0</v>
      </c>
      <c r="AQ54" s="71">
        <f t="shared" si="10"/>
        <v>0</v>
      </c>
      <c r="AR54" s="72">
        <f t="shared" si="11"/>
        <v>0</v>
      </c>
      <c r="AS54" s="71">
        <f t="shared" si="12"/>
        <v>0</v>
      </c>
      <c r="AT54" s="70">
        <f t="shared" si="13"/>
        <v>0</v>
      </c>
      <c r="AU54" s="70">
        <f t="shared" si="14"/>
        <v>0</v>
      </c>
      <c r="AV54" s="2"/>
      <c r="AW54" s="66">
        <f t="shared" si="15"/>
        <v>0</v>
      </c>
      <c r="AX54" s="68">
        <f>_xlfn.IFNA(INDEX(Table394123[I $ p/ft2],MATCH(R54,Table394123[Film Type],0)),1.75)</f>
        <v>1.75</v>
      </c>
      <c r="AY54" s="69">
        <f>VLOOKUP(Z54,Table134931[#All],2,FALSE)</f>
        <v>1</v>
      </c>
      <c r="AZ54" s="68">
        <f t="shared" si="16"/>
        <v>1.75</v>
      </c>
      <c r="BA54" s="65">
        <f t="shared" si="17"/>
        <v>0</v>
      </c>
      <c r="BB54" s="64">
        <f t="shared" si="18"/>
        <v>0</v>
      </c>
      <c r="BC54" s="67">
        <f t="shared" si="19"/>
        <v>0</v>
      </c>
      <c r="BD54" s="66">
        <f t="shared" si="20"/>
        <v>0</v>
      </c>
      <c r="BE54" s="64"/>
      <c r="BF54" s="66">
        <f t="shared" si="21"/>
        <v>0</v>
      </c>
      <c r="BG54" s="66">
        <f t="shared" si="22"/>
        <v>0</v>
      </c>
      <c r="BH54" s="65">
        <f>VLOOKUP(AA54,Table155133[#All],2,FALSE)</f>
        <v>1</v>
      </c>
      <c r="BI54" s="65">
        <f t="shared" si="23"/>
        <v>0</v>
      </c>
      <c r="BJ54" s="64" t="str">
        <f t="shared" si="24"/>
        <v>0</v>
      </c>
      <c r="BQ54" s="54"/>
      <c r="BR54" s="54"/>
      <c r="BS54" s="54"/>
      <c r="BT54" s="54"/>
      <c r="BU54" s="54"/>
      <c r="BV54" s="54"/>
      <c r="BW54" s="54"/>
      <c r="BX54" s="88"/>
      <c r="CK54" s="86" t="s">
        <v>150</v>
      </c>
      <c r="CL54" s="2">
        <v>2.4700000000000002</v>
      </c>
      <c r="CM54" s="2">
        <f t="shared" si="25"/>
        <v>2.7170000000000005</v>
      </c>
      <c r="CN54" s="10">
        <v>1.5</v>
      </c>
      <c r="CO54" s="84">
        <f t="shared" si="27"/>
        <v>0</v>
      </c>
    </row>
    <row r="55" spans="1:93" ht="11.1" hidden="1" customHeight="1" x14ac:dyDescent="0.5">
      <c r="A55" s="83"/>
      <c r="B55" s="266"/>
      <c r="C55" s="267"/>
      <c r="D55" s="267"/>
      <c r="E55" s="268"/>
      <c r="F55" s="64"/>
      <c r="G55" s="64"/>
      <c r="H55" s="82"/>
      <c r="I55" s="81"/>
      <c r="J55" s="64"/>
      <c r="K55" s="80"/>
      <c r="L55" s="79">
        <f t="shared" si="0"/>
        <v>0</v>
      </c>
      <c r="M55" s="64"/>
      <c r="N55" s="64"/>
      <c r="O55" s="64"/>
      <c r="P55" s="80"/>
      <c r="Q55" s="79">
        <f t="shared" si="1"/>
        <v>0</v>
      </c>
      <c r="R55" s="269" t="s">
        <v>282</v>
      </c>
      <c r="S55" s="270"/>
      <c r="T55" s="266"/>
      <c r="U55" s="267"/>
      <c r="V55" s="267"/>
      <c r="W55" s="268"/>
      <c r="X55" s="271">
        <f>IFERROR(INDEX(Table394123[],MATCH(R55,Table394123[Film Type],),3),"")</f>
        <v>0</v>
      </c>
      <c r="Y55" s="271"/>
      <c r="Z55" s="78" t="s">
        <v>55</v>
      </c>
      <c r="AA55" s="78" t="s">
        <v>55</v>
      </c>
      <c r="AB55" s="77"/>
      <c r="AC55" s="76"/>
      <c r="AD55" s="75">
        <f t="shared" si="2"/>
        <v>0</v>
      </c>
      <c r="AG55" s="74">
        <f t="shared" si="3"/>
        <v>0</v>
      </c>
      <c r="AK55" s="65">
        <f t="shared" si="4"/>
        <v>0</v>
      </c>
      <c r="AL55" s="65">
        <f t="shared" si="5"/>
        <v>0</v>
      </c>
      <c r="AM55" s="65">
        <f t="shared" si="6"/>
        <v>0</v>
      </c>
      <c r="AN55" s="73">
        <f t="shared" si="7"/>
        <v>0</v>
      </c>
      <c r="AO55" s="65" t="str">
        <f t="shared" si="8"/>
        <v>0.00</v>
      </c>
      <c r="AP55" s="65" t="str">
        <f t="shared" si="9"/>
        <v>0</v>
      </c>
      <c r="AQ55" s="71">
        <f t="shared" si="10"/>
        <v>0</v>
      </c>
      <c r="AR55" s="72">
        <f t="shared" si="11"/>
        <v>0</v>
      </c>
      <c r="AS55" s="71">
        <f t="shared" si="12"/>
        <v>0</v>
      </c>
      <c r="AT55" s="70">
        <f t="shared" si="13"/>
        <v>0</v>
      </c>
      <c r="AU55" s="70">
        <f t="shared" si="14"/>
        <v>0</v>
      </c>
      <c r="AV55" s="2"/>
      <c r="AW55" s="66">
        <f t="shared" si="15"/>
        <v>0</v>
      </c>
      <c r="AX55" s="68">
        <f>_xlfn.IFNA(INDEX(Table394123[I $ p/ft2],MATCH(R55,Table394123[Film Type],0)),1.75)</f>
        <v>1.75</v>
      </c>
      <c r="AY55" s="69">
        <f>VLOOKUP(Z55,Table134931[#All],2,FALSE)</f>
        <v>1</v>
      </c>
      <c r="AZ55" s="68">
        <f t="shared" si="16"/>
        <v>1.75</v>
      </c>
      <c r="BA55" s="65">
        <f t="shared" si="17"/>
        <v>0</v>
      </c>
      <c r="BB55" s="64">
        <f t="shared" si="18"/>
        <v>0</v>
      </c>
      <c r="BC55" s="67">
        <f t="shared" si="19"/>
        <v>0</v>
      </c>
      <c r="BD55" s="66">
        <f t="shared" si="20"/>
        <v>0</v>
      </c>
      <c r="BE55" s="64"/>
      <c r="BF55" s="66">
        <f t="shared" si="21"/>
        <v>0</v>
      </c>
      <c r="BG55" s="66">
        <f t="shared" si="22"/>
        <v>0</v>
      </c>
      <c r="BH55" s="65">
        <f>VLOOKUP(AA55,Table155133[#All],2,FALSE)</f>
        <v>1</v>
      </c>
      <c r="BI55" s="65">
        <f t="shared" si="23"/>
        <v>0</v>
      </c>
      <c r="BJ55" s="64" t="str">
        <f t="shared" si="24"/>
        <v>0</v>
      </c>
      <c r="CK55" s="86" t="s">
        <v>149</v>
      </c>
      <c r="CL55" s="2">
        <v>1.85</v>
      </c>
      <c r="CM55" s="2">
        <f t="shared" si="25"/>
        <v>2.0350000000000001</v>
      </c>
      <c r="CN55" s="10">
        <v>1.5</v>
      </c>
      <c r="CO55" s="84">
        <f t="shared" si="27"/>
        <v>0</v>
      </c>
    </row>
    <row r="56" spans="1:93" ht="11.1" hidden="1" customHeight="1" x14ac:dyDescent="0.5">
      <c r="A56" s="83"/>
      <c r="B56" s="266"/>
      <c r="C56" s="267"/>
      <c r="D56" s="267"/>
      <c r="E56" s="268"/>
      <c r="F56" s="64"/>
      <c r="G56" s="64"/>
      <c r="H56" s="82"/>
      <c r="I56" s="81"/>
      <c r="J56" s="64"/>
      <c r="K56" s="80"/>
      <c r="L56" s="79">
        <f t="shared" si="0"/>
        <v>0</v>
      </c>
      <c r="M56" s="64"/>
      <c r="N56" s="64"/>
      <c r="O56" s="64"/>
      <c r="P56" s="80"/>
      <c r="Q56" s="79">
        <f t="shared" si="1"/>
        <v>0</v>
      </c>
      <c r="R56" s="269" t="s">
        <v>282</v>
      </c>
      <c r="S56" s="270"/>
      <c r="T56" s="266"/>
      <c r="U56" s="267"/>
      <c r="V56" s="267"/>
      <c r="W56" s="268"/>
      <c r="X56" s="271">
        <f>IFERROR(INDEX(Table394123[],MATCH(R56,Table394123[Film Type],),3),"")</f>
        <v>0</v>
      </c>
      <c r="Y56" s="271"/>
      <c r="Z56" s="78" t="s">
        <v>55</v>
      </c>
      <c r="AA56" s="78" t="s">
        <v>55</v>
      </c>
      <c r="AB56" s="77"/>
      <c r="AC56" s="76"/>
      <c r="AD56" s="75">
        <f t="shared" si="2"/>
        <v>0</v>
      </c>
      <c r="AG56" s="74">
        <f t="shared" si="3"/>
        <v>0</v>
      </c>
      <c r="AK56" s="65">
        <f t="shared" si="4"/>
        <v>0</v>
      </c>
      <c r="AL56" s="65">
        <f t="shared" si="5"/>
        <v>0</v>
      </c>
      <c r="AM56" s="65">
        <f t="shared" si="6"/>
        <v>0</v>
      </c>
      <c r="AN56" s="73">
        <f t="shared" si="7"/>
        <v>0</v>
      </c>
      <c r="AO56" s="65" t="str">
        <f t="shared" si="8"/>
        <v>0.00</v>
      </c>
      <c r="AP56" s="65" t="str">
        <f t="shared" si="9"/>
        <v>0</v>
      </c>
      <c r="AQ56" s="71">
        <f t="shared" si="10"/>
        <v>0</v>
      </c>
      <c r="AR56" s="72">
        <f t="shared" si="11"/>
        <v>0</v>
      </c>
      <c r="AS56" s="71">
        <f t="shared" si="12"/>
        <v>0</v>
      </c>
      <c r="AT56" s="70">
        <f t="shared" si="13"/>
        <v>0</v>
      </c>
      <c r="AU56" s="70">
        <f t="shared" si="14"/>
        <v>0</v>
      </c>
      <c r="AV56" s="2"/>
      <c r="AW56" s="66">
        <f t="shared" si="15"/>
        <v>0</v>
      </c>
      <c r="AX56" s="68">
        <f>_xlfn.IFNA(INDEX(Table394123[I $ p/ft2],MATCH(R56,Table394123[Film Type],0)),1.75)</f>
        <v>1.75</v>
      </c>
      <c r="AY56" s="69">
        <f>VLOOKUP(Z56,Table134931[#All],2,FALSE)</f>
        <v>1</v>
      </c>
      <c r="AZ56" s="68">
        <f t="shared" si="16"/>
        <v>1.75</v>
      </c>
      <c r="BA56" s="65">
        <f t="shared" si="17"/>
        <v>0</v>
      </c>
      <c r="BB56" s="64">
        <f t="shared" si="18"/>
        <v>0</v>
      </c>
      <c r="BC56" s="67">
        <f t="shared" si="19"/>
        <v>0</v>
      </c>
      <c r="BD56" s="66">
        <f t="shared" si="20"/>
        <v>0</v>
      </c>
      <c r="BE56" s="64"/>
      <c r="BF56" s="66">
        <f t="shared" si="21"/>
        <v>0</v>
      </c>
      <c r="BG56" s="66">
        <f t="shared" si="22"/>
        <v>0</v>
      </c>
      <c r="BH56" s="65">
        <f>VLOOKUP(AA56,Table155133[#All],2,FALSE)</f>
        <v>1</v>
      </c>
      <c r="BI56" s="65">
        <f t="shared" si="23"/>
        <v>0</v>
      </c>
      <c r="BJ56" s="64" t="str">
        <f t="shared" si="24"/>
        <v>0</v>
      </c>
      <c r="CK56" s="86" t="s">
        <v>148</v>
      </c>
      <c r="CL56" s="2">
        <v>2.4</v>
      </c>
      <c r="CM56" s="2">
        <f t="shared" si="25"/>
        <v>2.64</v>
      </c>
      <c r="CN56" s="10">
        <v>2</v>
      </c>
      <c r="CO56" s="84">
        <f t="shared" si="27"/>
        <v>0</v>
      </c>
    </row>
    <row r="57" spans="1:93" ht="11.1" hidden="1" customHeight="1" x14ac:dyDescent="0.5">
      <c r="A57" s="83"/>
      <c r="B57" s="266"/>
      <c r="C57" s="267"/>
      <c r="D57" s="267"/>
      <c r="E57" s="268"/>
      <c r="F57" s="64"/>
      <c r="G57" s="64"/>
      <c r="H57" s="82"/>
      <c r="I57" s="81"/>
      <c r="J57" s="64"/>
      <c r="K57" s="80"/>
      <c r="L57" s="79">
        <f t="shared" si="0"/>
        <v>0</v>
      </c>
      <c r="M57" s="64"/>
      <c r="N57" s="64"/>
      <c r="O57" s="64"/>
      <c r="P57" s="80"/>
      <c r="Q57" s="79">
        <f t="shared" si="1"/>
        <v>0</v>
      </c>
      <c r="R57" s="269" t="s">
        <v>282</v>
      </c>
      <c r="S57" s="270"/>
      <c r="T57" s="266"/>
      <c r="U57" s="267"/>
      <c r="V57" s="267"/>
      <c r="W57" s="268"/>
      <c r="X57" s="271">
        <f>IFERROR(INDEX(Table394123[],MATCH(R57,Table394123[Film Type],),3),"")</f>
        <v>0</v>
      </c>
      <c r="Y57" s="271"/>
      <c r="Z57" s="78" t="s">
        <v>55</v>
      </c>
      <c r="AA57" s="78" t="s">
        <v>55</v>
      </c>
      <c r="AB57" s="77"/>
      <c r="AC57" s="76"/>
      <c r="AD57" s="75">
        <f t="shared" si="2"/>
        <v>0</v>
      </c>
      <c r="AG57" s="74">
        <f t="shared" si="3"/>
        <v>0</v>
      </c>
      <c r="AK57" s="65">
        <f t="shared" si="4"/>
        <v>0</v>
      </c>
      <c r="AL57" s="65">
        <f t="shared" si="5"/>
        <v>0</v>
      </c>
      <c r="AM57" s="65">
        <f t="shared" si="6"/>
        <v>0</v>
      </c>
      <c r="AN57" s="73">
        <f t="shared" si="7"/>
        <v>0</v>
      </c>
      <c r="AO57" s="65" t="str">
        <f t="shared" si="8"/>
        <v>0.00</v>
      </c>
      <c r="AP57" s="65" t="str">
        <f t="shared" si="9"/>
        <v>0</v>
      </c>
      <c r="AQ57" s="71">
        <f t="shared" si="10"/>
        <v>0</v>
      </c>
      <c r="AR57" s="72">
        <f t="shared" si="11"/>
        <v>0</v>
      </c>
      <c r="AS57" s="71">
        <f t="shared" si="12"/>
        <v>0</v>
      </c>
      <c r="AT57" s="70">
        <f t="shared" si="13"/>
        <v>0</v>
      </c>
      <c r="AU57" s="70">
        <f t="shared" si="14"/>
        <v>0</v>
      </c>
      <c r="AV57" s="2"/>
      <c r="AW57" s="66">
        <f t="shared" si="15"/>
        <v>0</v>
      </c>
      <c r="AX57" s="68">
        <f>_xlfn.IFNA(INDEX(Table394123[I $ p/ft2],MATCH(R57,Table394123[Film Type],0)),1.75)</f>
        <v>1.75</v>
      </c>
      <c r="AY57" s="69">
        <f>VLOOKUP(Z57,Table134931[#All],2,FALSE)</f>
        <v>1</v>
      </c>
      <c r="AZ57" s="68">
        <f t="shared" si="16"/>
        <v>1.75</v>
      </c>
      <c r="BA57" s="65">
        <f t="shared" si="17"/>
        <v>0</v>
      </c>
      <c r="BB57" s="64">
        <f t="shared" si="18"/>
        <v>0</v>
      </c>
      <c r="BC57" s="67">
        <f t="shared" si="19"/>
        <v>0</v>
      </c>
      <c r="BD57" s="66">
        <f t="shared" si="20"/>
        <v>0</v>
      </c>
      <c r="BE57" s="64"/>
      <c r="BF57" s="66">
        <f t="shared" si="21"/>
        <v>0</v>
      </c>
      <c r="BG57" s="66">
        <f t="shared" si="22"/>
        <v>0</v>
      </c>
      <c r="BH57" s="65">
        <f>VLOOKUP(AA57,Table155133[#All],2,FALSE)</f>
        <v>1</v>
      </c>
      <c r="BI57" s="65">
        <f t="shared" si="23"/>
        <v>0</v>
      </c>
      <c r="BJ57" s="64" t="str">
        <f t="shared" si="24"/>
        <v>0</v>
      </c>
      <c r="CK57" s="86" t="s">
        <v>147</v>
      </c>
      <c r="CL57" s="2">
        <v>2.4</v>
      </c>
      <c r="CM57" s="2">
        <f t="shared" si="25"/>
        <v>2.64</v>
      </c>
      <c r="CN57" s="10">
        <v>2</v>
      </c>
      <c r="CO57" s="84">
        <f t="shared" si="27"/>
        <v>0</v>
      </c>
    </row>
    <row r="58" spans="1:93" ht="11.1" hidden="1" customHeight="1" x14ac:dyDescent="0.5">
      <c r="A58" s="83"/>
      <c r="B58" s="266"/>
      <c r="C58" s="267"/>
      <c r="D58" s="267"/>
      <c r="E58" s="268"/>
      <c r="F58" s="64"/>
      <c r="G58" s="64"/>
      <c r="H58" s="82"/>
      <c r="I58" s="81"/>
      <c r="J58" s="64"/>
      <c r="K58" s="80"/>
      <c r="L58" s="79">
        <f t="shared" si="0"/>
        <v>0</v>
      </c>
      <c r="M58" s="64"/>
      <c r="N58" s="64"/>
      <c r="O58" s="64"/>
      <c r="P58" s="80"/>
      <c r="Q58" s="79">
        <f t="shared" si="1"/>
        <v>0</v>
      </c>
      <c r="R58" s="269" t="s">
        <v>282</v>
      </c>
      <c r="S58" s="270"/>
      <c r="T58" s="266"/>
      <c r="U58" s="267"/>
      <c r="V58" s="267"/>
      <c r="W58" s="268"/>
      <c r="X58" s="271">
        <f>IFERROR(INDEX(Table394123[],MATCH(R58,Table394123[Film Type],),3),"")</f>
        <v>0</v>
      </c>
      <c r="Y58" s="271"/>
      <c r="Z58" s="78" t="s">
        <v>55</v>
      </c>
      <c r="AA58" s="78" t="s">
        <v>55</v>
      </c>
      <c r="AB58" s="77"/>
      <c r="AC58" s="76"/>
      <c r="AD58" s="75">
        <f t="shared" si="2"/>
        <v>0</v>
      </c>
      <c r="AG58" s="74">
        <f t="shared" si="3"/>
        <v>0</v>
      </c>
      <c r="AK58" s="65">
        <f t="shared" si="4"/>
        <v>0</v>
      </c>
      <c r="AL58" s="65">
        <f t="shared" si="5"/>
        <v>0</v>
      </c>
      <c r="AM58" s="65">
        <f t="shared" si="6"/>
        <v>0</v>
      </c>
      <c r="AN58" s="73">
        <f t="shared" si="7"/>
        <v>0</v>
      </c>
      <c r="AO58" s="65" t="str">
        <f t="shared" si="8"/>
        <v>0.00</v>
      </c>
      <c r="AP58" s="65" t="str">
        <f t="shared" si="9"/>
        <v>0</v>
      </c>
      <c r="AQ58" s="71">
        <f t="shared" si="10"/>
        <v>0</v>
      </c>
      <c r="AR58" s="72">
        <f t="shared" si="11"/>
        <v>0</v>
      </c>
      <c r="AS58" s="71">
        <f t="shared" si="12"/>
        <v>0</v>
      </c>
      <c r="AT58" s="70">
        <f t="shared" si="13"/>
        <v>0</v>
      </c>
      <c r="AU58" s="70">
        <f t="shared" si="14"/>
        <v>0</v>
      </c>
      <c r="AV58" s="2"/>
      <c r="AW58" s="66">
        <f t="shared" si="15"/>
        <v>0</v>
      </c>
      <c r="AX58" s="68">
        <f>_xlfn.IFNA(INDEX(Table394123[I $ p/ft2],MATCH(R58,Table394123[Film Type],0)),1.75)</f>
        <v>1.75</v>
      </c>
      <c r="AY58" s="69">
        <f>VLOOKUP(Z58,Table134931[#All],2,FALSE)</f>
        <v>1</v>
      </c>
      <c r="AZ58" s="68">
        <f t="shared" si="16"/>
        <v>1.75</v>
      </c>
      <c r="BA58" s="65">
        <f t="shared" si="17"/>
        <v>0</v>
      </c>
      <c r="BB58" s="64">
        <f t="shared" si="18"/>
        <v>0</v>
      </c>
      <c r="BC58" s="67">
        <f t="shared" si="19"/>
        <v>0</v>
      </c>
      <c r="BD58" s="66">
        <f t="shared" si="20"/>
        <v>0</v>
      </c>
      <c r="BE58" s="64"/>
      <c r="BF58" s="66">
        <f t="shared" si="21"/>
        <v>0</v>
      </c>
      <c r="BG58" s="66">
        <f t="shared" si="22"/>
        <v>0</v>
      </c>
      <c r="BH58" s="65">
        <f>VLOOKUP(AA58,Table155133[#All],2,FALSE)</f>
        <v>1</v>
      </c>
      <c r="BI58" s="65">
        <f t="shared" si="23"/>
        <v>0</v>
      </c>
      <c r="BJ58" s="64" t="str">
        <f t="shared" si="24"/>
        <v>0</v>
      </c>
      <c r="CK58" s="86" t="s">
        <v>146</v>
      </c>
      <c r="CL58" s="2">
        <v>1.48</v>
      </c>
      <c r="CM58" s="2">
        <f t="shared" si="25"/>
        <v>1.6280000000000001</v>
      </c>
      <c r="CN58" s="10">
        <v>2</v>
      </c>
      <c r="CO58" s="84">
        <f t="shared" si="27"/>
        <v>0</v>
      </c>
    </row>
    <row r="59" spans="1:93" ht="11.1" hidden="1" customHeight="1" x14ac:dyDescent="0.5">
      <c r="A59" s="83"/>
      <c r="B59" s="266"/>
      <c r="C59" s="267"/>
      <c r="D59" s="267"/>
      <c r="E59" s="268"/>
      <c r="F59" s="64"/>
      <c r="G59" s="64"/>
      <c r="H59" s="82"/>
      <c r="I59" s="81"/>
      <c r="J59" s="64"/>
      <c r="K59" s="80"/>
      <c r="L59" s="79">
        <f t="shared" si="0"/>
        <v>0</v>
      </c>
      <c r="M59" s="64"/>
      <c r="N59" s="64"/>
      <c r="O59" s="64"/>
      <c r="P59" s="80"/>
      <c r="Q59" s="79">
        <f t="shared" si="1"/>
        <v>0</v>
      </c>
      <c r="R59" s="269" t="s">
        <v>282</v>
      </c>
      <c r="S59" s="270"/>
      <c r="T59" s="266"/>
      <c r="U59" s="267"/>
      <c r="V59" s="267"/>
      <c r="W59" s="268"/>
      <c r="X59" s="271">
        <f>IFERROR(INDEX(Table394123[],MATCH(R59,Table394123[Film Type],),3),"")</f>
        <v>0</v>
      </c>
      <c r="Y59" s="271"/>
      <c r="Z59" s="78" t="s">
        <v>55</v>
      </c>
      <c r="AA59" s="78" t="s">
        <v>55</v>
      </c>
      <c r="AB59" s="77"/>
      <c r="AC59" s="76"/>
      <c r="AD59" s="75">
        <f t="shared" si="2"/>
        <v>0</v>
      </c>
      <c r="AG59" s="74">
        <f t="shared" si="3"/>
        <v>0</v>
      </c>
      <c r="AK59" s="65">
        <f t="shared" si="4"/>
        <v>0</v>
      </c>
      <c r="AL59" s="65">
        <f t="shared" si="5"/>
        <v>0</v>
      </c>
      <c r="AM59" s="65">
        <f t="shared" si="6"/>
        <v>0</v>
      </c>
      <c r="AN59" s="73">
        <f t="shared" si="7"/>
        <v>0</v>
      </c>
      <c r="AO59" s="65" t="str">
        <f t="shared" si="8"/>
        <v>0.00</v>
      </c>
      <c r="AP59" s="65" t="str">
        <f t="shared" si="9"/>
        <v>0</v>
      </c>
      <c r="AQ59" s="71">
        <f t="shared" si="10"/>
        <v>0</v>
      </c>
      <c r="AR59" s="72">
        <f t="shared" si="11"/>
        <v>0</v>
      </c>
      <c r="AS59" s="71">
        <f t="shared" si="12"/>
        <v>0</v>
      </c>
      <c r="AT59" s="70">
        <f t="shared" si="13"/>
        <v>0</v>
      </c>
      <c r="AU59" s="70">
        <f t="shared" si="14"/>
        <v>0</v>
      </c>
      <c r="AV59" s="2"/>
      <c r="AW59" s="66">
        <f t="shared" si="15"/>
        <v>0</v>
      </c>
      <c r="AX59" s="68">
        <f>_xlfn.IFNA(INDEX(Table394123[I $ p/ft2],MATCH(R59,Table394123[Film Type],0)),1.75)</f>
        <v>1.75</v>
      </c>
      <c r="AY59" s="69">
        <f>VLOOKUP(Z59,Table134931[#All],2,FALSE)</f>
        <v>1</v>
      </c>
      <c r="AZ59" s="68">
        <f t="shared" si="16"/>
        <v>1.75</v>
      </c>
      <c r="BA59" s="65">
        <f t="shared" si="17"/>
        <v>0</v>
      </c>
      <c r="BB59" s="64">
        <f t="shared" si="18"/>
        <v>0</v>
      </c>
      <c r="BC59" s="67">
        <f t="shared" si="19"/>
        <v>0</v>
      </c>
      <c r="BD59" s="66">
        <f t="shared" si="20"/>
        <v>0</v>
      </c>
      <c r="BE59" s="64"/>
      <c r="BF59" s="66">
        <f t="shared" si="21"/>
        <v>0</v>
      </c>
      <c r="BG59" s="66">
        <f t="shared" si="22"/>
        <v>0</v>
      </c>
      <c r="BH59" s="65">
        <f>VLOOKUP(AA59,Table155133[#All],2,FALSE)</f>
        <v>1</v>
      </c>
      <c r="BI59" s="65">
        <f t="shared" si="23"/>
        <v>0</v>
      </c>
      <c r="BJ59" s="64" t="str">
        <f t="shared" si="24"/>
        <v>0</v>
      </c>
      <c r="CK59" s="86" t="s">
        <v>145</v>
      </c>
      <c r="CL59" s="2">
        <v>1.48</v>
      </c>
      <c r="CM59" s="2">
        <f t="shared" si="25"/>
        <v>1.6280000000000001</v>
      </c>
      <c r="CN59" s="10">
        <v>2</v>
      </c>
      <c r="CO59" s="84">
        <f t="shared" si="27"/>
        <v>0</v>
      </c>
    </row>
    <row r="60" spans="1:93" ht="11.1" hidden="1" customHeight="1" x14ac:dyDescent="0.5">
      <c r="A60" s="83"/>
      <c r="B60" s="266"/>
      <c r="C60" s="267"/>
      <c r="D60" s="267"/>
      <c r="E60" s="268"/>
      <c r="F60" s="64"/>
      <c r="G60" s="64"/>
      <c r="H60" s="82"/>
      <c r="I60" s="81"/>
      <c r="J60" s="64"/>
      <c r="K60" s="80"/>
      <c r="L60" s="79">
        <f t="shared" si="0"/>
        <v>0</v>
      </c>
      <c r="M60" s="64"/>
      <c r="N60" s="64"/>
      <c r="O60" s="64"/>
      <c r="P60" s="80"/>
      <c r="Q60" s="79">
        <f t="shared" si="1"/>
        <v>0</v>
      </c>
      <c r="R60" s="269" t="s">
        <v>282</v>
      </c>
      <c r="S60" s="270"/>
      <c r="T60" s="266"/>
      <c r="U60" s="267"/>
      <c r="V60" s="267"/>
      <c r="W60" s="268"/>
      <c r="X60" s="271">
        <f>IFERROR(INDEX(Table394123[],MATCH(R60,Table394123[Film Type],),3),"")</f>
        <v>0</v>
      </c>
      <c r="Y60" s="271"/>
      <c r="Z60" s="78" t="s">
        <v>55</v>
      </c>
      <c r="AA60" s="78" t="s">
        <v>55</v>
      </c>
      <c r="AB60" s="77"/>
      <c r="AC60" s="76"/>
      <c r="AD60" s="75">
        <f t="shared" si="2"/>
        <v>0</v>
      </c>
      <c r="AG60" s="74">
        <f t="shared" si="3"/>
        <v>0</v>
      </c>
      <c r="AK60" s="65">
        <f t="shared" si="4"/>
        <v>0</v>
      </c>
      <c r="AL60" s="65">
        <f t="shared" si="5"/>
        <v>0</v>
      </c>
      <c r="AM60" s="65">
        <f t="shared" si="6"/>
        <v>0</v>
      </c>
      <c r="AN60" s="73">
        <f t="shared" si="7"/>
        <v>0</v>
      </c>
      <c r="AO60" s="65" t="str">
        <f t="shared" si="8"/>
        <v>0.00</v>
      </c>
      <c r="AP60" s="65" t="str">
        <f t="shared" si="9"/>
        <v>0</v>
      </c>
      <c r="AQ60" s="71">
        <f t="shared" si="10"/>
        <v>0</v>
      </c>
      <c r="AR60" s="72">
        <f t="shared" si="11"/>
        <v>0</v>
      </c>
      <c r="AS60" s="71">
        <f t="shared" si="12"/>
        <v>0</v>
      </c>
      <c r="AT60" s="70">
        <f t="shared" si="13"/>
        <v>0</v>
      </c>
      <c r="AU60" s="70">
        <f t="shared" si="14"/>
        <v>0</v>
      </c>
      <c r="AV60" s="2"/>
      <c r="AW60" s="66">
        <f t="shared" si="15"/>
        <v>0</v>
      </c>
      <c r="AX60" s="68">
        <f>_xlfn.IFNA(INDEX(Table394123[I $ p/ft2],MATCH(R60,Table394123[Film Type],0)),1.75)</f>
        <v>1.75</v>
      </c>
      <c r="AY60" s="69">
        <f>VLOOKUP(Z60,Table134931[#All],2,FALSE)</f>
        <v>1</v>
      </c>
      <c r="AZ60" s="68">
        <f t="shared" si="16"/>
        <v>1.75</v>
      </c>
      <c r="BA60" s="65">
        <f t="shared" si="17"/>
        <v>0</v>
      </c>
      <c r="BB60" s="64">
        <f t="shared" si="18"/>
        <v>0</v>
      </c>
      <c r="BC60" s="67">
        <f t="shared" si="19"/>
        <v>0</v>
      </c>
      <c r="BD60" s="66">
        <f t="shared" si="20"/>
        <v>0</v>
      </c>
      <c r="BE60" s="64"/>
      <c r="BF60" s="66">
        <f t="shared" si="21"/>
        <v>0</v>
      </c>
      <c r="BG60" s="66">
        <f t="shared" si="22"/>
        <v>0</v>
      </c>
      <c r="BH60" s="65">
        <f>VLOOKUP(AA60,Table155133[#All],2,FALSE)</f>
        <v>1</v>
      </c>
      <c r="BI60" s="65">
        <f t="shared" si="23"/>
        <v>0</v>
      </c>
      <c r="BJ60" s="64" t="str">
        <f t="shared" si="24"/>
        <v>0</v>
      </c>
      <c r="CK60" s="86" t="s">
        <v>144</v>
      </c>
      <c r="CL60" s="2">
        <v>1.97</v>
      </c>
      <c r="CM60" s="2">
        <f t="shared" si="25"/>
        <v>2.1670000000000003</v>
      </c>
      <c r="CN60" s="87">
        <v>1.75</v>
      </c>
      <c r="CO60" s="84">
        <f t="shared" si="27"/>
        <v>0</v>
      </c>
    </row>
    <row r="61" spans="1:93" ht="11.1" hidden="1" customHeight="1" x14ac:dyDescent="0.5">
      <c r="A61" s="83"/>
      <c r="B61" s="266"/>
      <c r="C61" s="267"/>
      <c r="D61" s="267"/>
      <c r="E61" s="268"/>
      <c r="F61" s="64"/>
      <c r="G61" s="64"/>
      <c r="H61" s="82"/>
      <c r="I61" s="81"/>
      <c r="J61" s="64"/>
      <c r="K61" s="80"/>
      <c r="L61" s="79">
        <f t="shared" si="0"/>
        <v>0</v>
      </c>
      <c r="M61" s="64"/>
      <c r="N61" s="64"/>
      <c r="O61" s="64"/>
      <c r="P61" s="80"/>
      <c r="Q61" s="79">
        <f t="shared" si="1"/>
        <v>0</v>
      </c>
      <c r="R61" s="269" t="s">
        <v>282</v>
      </c>
      <c r="S61" s="270"/>
      <c r="T61" s="266"/>
      <c r="U61" s="267"/>
      <c r="V61" s="267"/>
      <c r="W61" s="268"/>
      <c r="X61" s="271">
        <f>IFERROR(INDEX(Table394123[],MATCH(R61,Table394123[Film Type],),3),"")</f>
        <v>0</v>
      </c>
      <c r="Y61" s="271"/>
      <c r="Z61" s="78" t="s">
        <v>55</v>
      </c>
      <c r="AA61" s="78" t="s">
        <v>55</v>
      </c>
      <c r="AB61" s="77"/>
      <c r="AC61" s="76"/>
      <c r="AD61" s="75">
        <f t="shared" si="2"/>
        <v>0</v>
      </c>
      <c r="AG61" s="74">
        <f t="shared" si="3"/>
        <v>0</v>
      </c>
      <c r="AK61" s="65">
        <f t="shared" si="4"/>
        <v>0</v>
      </c>
      <c r="AL61" s="65">
        <f t="shared" si="5"/>
        <v>0</v>
      </c>
      <c r="AM61" s="65">
        <f t="shared" si="6"/>
        <v>0</v>
      </c>
      <c r="AN61" s="73">
        <f t="shared" si="7"/>
        <v>0</v>
      </c>
      <c r="AO61" s="65" t="str">
        <f t="shared" si="8"/>
        <v>0.00</v>
      </c>
      <c r="AP61" s="65" t="str">
        <f t="shared" si="9"/>
        <v>0</v>
      </c>
      <c r="AQ61" s="71">
        <f t="shared" si="10"/>
        <v>0</v>
      </c>
      <c r="AR61" s="72">
        <f t="shared" si="11"/>
        <v>0</v>
      </c>
      <c r="AS61" s="71">
        <f t="shared" si="12"/>
        <v>0</v>
      </c>
      <c r="AT61" s="70">
        <f t="shared" si="13"/>
        <v>0</v>
      </c>
      <c r="AU61" s="70">
        <f t="shared" si="14"/>
        <v>0</v>
      </c>
      <c r="AV61" s="2"/>
      <c r="AW61" s="66">
        <f t="shared" si="15"/>
        <v>0</v>
      </c>
      <c r="AX61" s="68">
        <f>_xlfn.IFNA(INDEX(Table394123[I $ p/ft2],MATCH(R61,Table394123[Film Type],0)),1.75)</f>
        <v>1.75</v>
      </c>
      <c r="AY61" s="69">
        <f>VLOOKUP(Z61,Table134931[#All],2,FALSE)</f>
        <v>1</v>
      </c>
      <c r="AZ61" s="68">
        <f t="shared" si="16"/>
        <v>1.75</v>
      </c>
      <c r="BA61" s="65">
        <f t="shared" si="17"/>
        <v>0</v>
      </c>
      <c r="BB61" s="64">
        <f t="shared" si="18"/>
        <v>0</v>
      </c>
      <c r="BC61" s="67">
        <f t="shared" si="19"/>
        <v>0</v>
      </c>
      <c r="BD61" s="66">
        <f t="shared" si="20"/>
        <v>0</v>
      </c>
      <c r="BE61" s="64"/>
      <c r="BF61" s="66">
        <f t="shared" si="21"/>
        <v>0</v>
      </c>
      <c r="BG61" s="66">
        <f t="shared" si="22"/>
        <v>0</v>
      </c>
      <c r="BH61" s="65">
        <f>VLOOKUP(AA61,Table155133[#All],2,FALSE)</f>
        <v>1</v>
      </c>
      <c r="BI61" s="65">
        <f t="shared" si="23"/>
        <v>0</v>
      </c>
      <c r="BJ61" s="64" t="str">
        <f t="shared" si="24"/>
        <v>0</v>
      </c>
      <c r="CK61" s="86" t="s">
        <v>143</v>
      </c>
      <c r="CL61" s="2">
        <v>1.97</v>
      </c>
      <c r="CM61" s="2">
        <f t="shared" si="25"/>
        <v>2.1670000000000003</v>
      </c>
      <c r="CN61" s="87">
        <v>1.75</v>
      </c>
      <c r="CO61" s="84">
        <f t="shared" si="27"/>
        <v>0</v>
      </c>
    </row>
    <row r="62" spans="1:93" ht="11.1" hidden="1" customHeight="1" x14ac:dyDescent="0.5">
      <c r="A62" s="83"/>
      <c r="B62" s="266"/>
      <c r="C62" s="267"/>
      <c r="D62" s="267"/>
      <c r="E62" s="268"/>
      <c r="F62" s="64"/>
      <c r="G62" s="64"/>
      <c r="H62" s="82"/>
      <c r="I62" s="81"/>
      <c r="J62" s="64"/>
      <c r="K62" s="80"/>
      <c r="L62" s="79">
        <f t="shared" si="0"/>
        <v>0</v>
      </c>
      <c r="M62" s="64"/>
      <c r="N62" s="64"/>
      <c r="O62" s="64"/>
      <c r="P62" s="80"/>
      <c r="Q62" s="79">
        <f t="shared" si="1"/>
        <v>0</v>
      </c>
      <c r="R62" s="269" t="s">
        <v>282</v>
      </c>
      <c r="S62" s="270"/>
      <c r="T62" s="266"/>
      <c r="U62" s="267"/>
      <c r="V62" s="267"/>
      <c r="W62" s="268"/>
      <c r="X62" s="271">
        <f>IFERROR(INDEX(Table394123[],MATCH(R62,Table394123[Film Type],),3),"")</f>
        <v>0</v>
      </c>
      <c r="Y62" s="271"/>
      <c r="Z62" s="78" t="s">
        <v>55</v>
      </c>
      <c r="AA62" s="78" t="s">
        <v>55</v>
      </c>
      <c r="AB62" s="77"/>
      <c r="AC62" s="76"/>
      <c r="AD62" s="75">
        <f t="shared" si="2"/>
        <v>0</v>
      </c>
      <c r="AG62" s="74">
        <f t="shared" si="3"/>
        <v>0</v>
      </c>
      <c r="AK62" s="65">
        <f t="shared" si="4"/>
        <v>0</v>
      </c>
      <c r="AL62" s="65">
        <f t="shared" si="5"/>
        <v>0</v>
      </c>
      <c r="AM62" s="65">
        <f t="shared" si="6"/>
        <v>0</v>
      </c>
      <c r="AN62" s="73">
        <f t="shared" si="7"/>
        <v>0</v>
      </c>
      <c r="AO62" s="65" t="str">
        <f t="shared" si="8"/>
        <v>0.00</v>
      </c>
      <c r="AP62" s="65" t="str">
        <f t="shared" si="9"/>
        <v>0</v>
      </c>
      <c r="AQ62" s="71">
        <f t="shared" si="10"/>
        <v>0</v>
      </c>
      <c r="AR62" s="72">
        <f t="shared" si="11"/>
        <v>0</v>
      </c>
      <c r="AS62" s="71">
        <f t="shared" si="12"/>
        <v>0</v>
      </c>
      <c r="AT62" s="70">
        <f t="shared" si="13"/>
        <v>0</v>
      </c>
      <c r="AU62" s="70">
        <f t="shared" si="14"/>
        <v>0</v>
      </c>
      <c r="AV62" s="2"/>
      <c r="AW62" s="66">
        <f t="shared" si="15"/>
        <v>0</v>
      </c>
      <c r="AX62" s="68">
        <f>_xlfn.IFNA(INDEX(Table394123[I $ p/ft2],MATCH(R62,Table394123[Film Type],0)),1.75)</f>
        <v>1.75</v>
      </c>
      <c r="AY62" s="69">
        <f>VLOOKUP(Z62,Table134931[#All],2,FALSE)</f>
        <v>1</v>
      </c>
      <c r="AZ62" s="68">
        <f t="shared" si="16"/>
        <v>1.75</v>
      </c>
      <c r="BA62" s="65">
        <f t="shared" si="17"/>
        <v>0</v>
      </c>
      <c r="BB62" s="64">
        <f t="shared" si="18"/>
        <v>0</v>
      </c>
      <c r="BC62" s="67">
        <f t="shared" si="19"/>
        <v>0</v>
      </c>
      <c r="BD62" s="66">
        <f t="shared" si="20"/>
        <v>0</v>
      </c>
      <c r="BE62" s="64"/>
      <c r="BF62" s="66">
        <f t="shared" si="21"/>
        <v>0</v>
      </c>
      <c r="BG62" s="66">
        <f t="shared" si="22"/>
        <v>0</v>
      </c>
      <c r="BH62" s="65">
        <f>VLOOKUP(AA62,Table155133[#All],2,FALSE)</f>
        <v>1</v>
      </c>
      <c r="BI62" s="65">
        <f t="shared" si="23"/>
        <v>0</v>
      </c>
      <c r="BJ62" s="64" t="str">
        <f t="shared" si="24"/>
        <v>0</v>
      </c>
      <c r="CK62" s="86"/>
      <c r="CM62" s="2">
        <f t="shared" si="25"/>
        <v>0</v>
      </c>
      <c r="CN62" s="10"/>
      <c r="CO62" s="84">
        <f t="shared" si="27"/>
        <v>0</v>
      </c>
    </row>
    <row r="63" spans="1:93" ht="11.1" hidden="1" customHeight="1" x14ac:dyDescent="0.5">
      <c r="A63" s="83"/>
      <c r="B63" s="266"/>
      <c r="C63" s="267"/>
      <c r="D63" s="267"/>
      <c r="E63" s="268"/>
      <c r="F63" s="64"/>
      <c r="G63" s="64"/>
      <c r="H63" s="82"/>
      <c r="I63" s="81"/>
      <c r="J63" s="64"/>
      <c r="K63" s="80"/>
      <c r="L63" s="79">
        <f t="shared" si="0"/>
        <v>0</v>
      </c>
      <c r="M63" s="64"/>
      <c r="N63" s="64"/>
      <c r="O63" s="64"/>
      <c r="P63" s="80"/>
      <c r="Q63" s="79">
        <f t="shared" si="1"/>
        <v>0</v>
      </c>
      <c r="R63" s="269" t="s">
        <v>282</v>
      </c>
      <c r="S63" s="270"/>
      <c r="T63" s="266"/>
      <c r="U63" s="267"/>
      <c r="V63" s="267"/>
      <c r="W63" s="268"/>
      <c r="X63" s="271">
        <f>IFERROR(INDEX(Table394123[],MATCH(R63,Table394123[Film Type],),3),"")</f>
        <v>0</v>
      </c>
      <c r="Y63" s="271"/>
      <c r="Z63" s="78" t="s">
        <v>55</v>
      </c>
      <c r="AA63" s="78" t="s">
        <v>55</v>
      </c>
      <c r="AB63" s="77"/>
      <c r="AC63" s="76"/>
      <c r="AD63" s="75">
        <f t="shared" si="2"/>
        <v>0</v>
      </c>
      <c r="AG63" s="74">
        <f t="shared" si="3"/>
        <v>0</v>
      </c>
      <c r="AK63" s="65">
        <f t="shared" si="4"/>
        <v>0</v>
      </c>
      <c r="AL63" s="65">
        <f t="shared" si="5"/>
        <v>0</v>
      </c>
      <c r="AM63" s="65">
        <f t="shared" si="6"/>
        <v>0</v>
      </c>
      <c r="AN63" s="73">
        <f t="shared" si="7"/>
        <v>0</v>
      </c>
      <c r="AO63" s="65" t="str">
        <f t="shared" si="8"/>
        <v>0.00</v>
      </c>
      <c r="AP63" s="65" t="str">
        <f t="shared" si="9"/>
        <v>0</v>
      </c>
      <c r="AQ63" s="71">
        <f t="shared" si="10"/>
        <v>0</v>
      </c>
      <c r="AR63" s="72">
        <f t="shared" si="11"/>
        <v>0</v>
      </c>
      <c r="AS63" s="71">
        <f t="shared" si="12"/>
        <v>0</v>
      </c>
      <c r="AT63" s="70">
        <f t="shared" si="13"/>
        <v>0</v>
      </c>
      <c r="AU63" s="70">
        <f t="shared" si="14"/>
        <v>0</v>
      </c>
      <c r="AV63" s="2"/>
      <c r="AW63" s="66">
        <f t="shared" si="15"/>
        <v>0</v>
      </c>
      <c r="AX63" s="68">
        <f>_xlfn.IFNA(INDEX(Table394123[I $ p/ft2],MATCH(R63,Table394123[Film Type],0)),1.75)</f>
        <v>1.75</v>
      </c>
      <c r="AY63" s="69">
        <f>VLOOKUP(Z63,Table134931[#All],2,FALSE)</f>
        <v>1</v>
      </c>
      <c r="AZ63" s="68">
        <f t="shared" si="16"/>
        <v>1.75</v>
      </c>
      <c r="BA63" s="65">
        <f t="shared" si="17"/>
        <v>0</v>
      </c>
      <c r="BB63" s="64">
        <f t="shared" si="18"/>
        <v>0</v>
      </c>
      <c r="BC63" s="67">
        <f t="shared" si="19"/>
        <v>0</v>
      </c>
      <c r="BD63" s="66">
        <f t="shared" si="20"/>
        <v>0</v>
      </c>
      <c r="BE63" s="64"/>
      <c r="BF63" s="66">
        <f t="shared" si="21"/>
        <v>0</v>
      </c>
      <c r="BG63" s="66">
        <f t="shared" si="22"/>
        <v>0</v>
      </c>
      <c r="BH63" s="65">
        <f>VLOOKUP(AA63,Table155133[#All],2,FALSE)</f>
        <v>1</v>
      </c>
      <c r="BI63" s="65">
        <f t="shared" si="23"/>
        <v>0</v>
      </c>
      <c r="BJ63" s="64" t="str">
        <f t="shared" si="24"/>
        <v>0</v>
      </c>
      <c r="CK63" s="86" t="s">
        <v>142</v>
      </c>
      <c r="CL63" s="2">
        <v>1.19</v>
      </c>
      <c r="CM63" s="2">
        <f t="shared" si="25"/>
        <v>1.3089999999999999</v>
      </c>
      <c r="CN63" s="10">
        <v>1.5</v>
      </c>
      <c r="CO63" s="84">
        <f t="shared" si="27"/>
        <v>0</v>
      </c>
    </row>
    <row r="64" spans="1:93" ht="11.1" hidden="1" customHeight="1" x14ac:dyDescent="0.5">
      <c r="A64" s="83"/>
      <c r="B64" s="266"/>
      <c r="C64" s="267"/>
      <c r="D64" s="267"/>
      <c r="E64" s="268"/>
      <c r="F64" s="64"/>
      <c r="G64" s="64"/>
      <c r="H64" s="82"/>
      <c r="I64" s="81"/>
      <c r="J64" s="64"/>
      <c r="K64" s="80"/>
      <c r="L64" s="79">
        <f t="shared" si="0"/>
        <v>0</v>
      </c>
      <c r="M64" s="64"/>
      <c r="N64" s="64"/>
      <c r="O64" s="64"/>
      <c r="P64" s="80"/>
      <c r="Q64" s="79">
        <f t="shared" si="1"/>
        <v>0</v>
      </c>
      <c r="R64" s="269" t="s">
        <v>282</v>
      </c>
      <c r="S64" s="270"/>
      <c r="T64" s="266"/>
      <c r="U64" s="267"/>
      <c r="V64" s="267"/>
      <c r="W64" s="268"/>
      <c r="X64" s="271">
        <f>IFERROR(INDEX(Table394123[],MATCH(R64,Table394123[Film Type],),3),"")</f>
        <v>0</v>
      </c>
      <c r="Y64" s="271"/>
      <c r="Z64" s="78" t="s">
        <v>55</v>
      </c>
      <c r="AA64" s="78" t="s">
        <v>55</v>
      </c>
      <c r="AB64" s="77"/>
      <c r="AC64" s="76"/>
      <c r="AD64" s="75">
        <f t="shared" si="2"/>
        <v>0</v>
      </c>
      <c r="AG64" s="74">
        <f t="shared" si="3"/>
        <v>0</v>
      </c>
      <c r="AK64" s="65">
        <f t="shared" si="4"/>
        <v>0</v>
      </c>
      <c r="AL64" s="65">
        <f t="shared" si="5"/>
        <v>0</v>
      </c>
      <c r="AM64" s="65">
        <f t="shared" si="6"/>
        <v>0</v>
      </c>
      <c r="AN64" s="73">
        <f t="shared" si="7"/>
        <v>0</v>
      </c>
      <c r="AO64" s="65" t="str">
        <f t="shared" si="8"/>
        <v>0.00</v>
      </c>
      <c r="AP64" s="65" t="str">
        <f t="shared" si="9"/>
        <v>0</v>
      </c>
      <c r="AQ64" s="71">
        <f t="shared" si="10"/>
        <v>0</v>
      </c>
      <c r="AR64" s="72">
        <f t="shared" si="11"/>
        <v>0</v>
      </c>
      <c r="AS64" s="71">
        <f t="shared" si="12"/>
        <v>0</v>
      </c>
      <c r="AT64" s="70">
        <f t="shared" si="13"/>
        <v>0</v>
      </c>
      <c r="AU64" s="70">
        <f t="shared" si="14"/>
        <v>0</v>
      </c>
      <c r="AV64" s="2"/>
      <c r="AW64" s="66">
        <f t="shared" si="15"/>
        <v>0</v>
      </c>
      <c r="AX64" s="68">
        <f>_xlfn.IFNA(INDEX(Table394123[I $ p/ft2],MATCH(R64,Table394123[Film Type],0)),1.75)</f>
        <v>1.75</v>
      </c>
      <c r="AY64" s="69">
        <f>VLOOKUP(Z64,Table134931[#All],2,FALSE)</f>
        <v>1</v>
      </c>
      <c r="AZ64" s="68">
        <f t="shared" si="16"/>
        <v>1.75</v>
      </c>
      <c r="BA64" s="65">
        <f t="shared" si="17"/>
        <v>0</v>
      </c>
      <c r="BB64" s="64">
        <f t="shared" si="18"/>
        <v>0</v>
      </c>
      <c r="BC64" s="67">
        <f t="shared" si="19"/>
        <v>0</v>
      </c>
      <c r="BD64" s="66">
        <f t="shared" si="20"/>
        <v>0</v>
      </c>
      <c r="BE64" s="64"/>
      <c r="BF64" s="66">
        <f t="shared" si="21"/>
        <v>0</v>
      </c>
      <c r="BG64" s="66">
        <f t="shared" si="22"/>
        <v>0</v>
      </c>
      <c r="BH64" s="65">
        <f>VLOOKUP(AA64,Table155133[#All],2,FALSE)</f>
        <v>1</v>
      </c>
      <c r="BI64" s="65">
        <f t="shared" si="23"/>
        <v>0</v>
      </c>
      <c r="BJ64" s="64" t="str">
        <f t="shared" si="24"/>
        <v>0</v>
      </c>
      <c r="CK64" s="86" t="s">
        <v>141</v>
      </c>
      <c r="CL64" s="2">
        <v>1.19</v>
      </c>
      <c r="CM64" s="2">
        <f t="shared" si="25"/>
        <v>1.3089999999999999</v>
      </c>
      <c r="CN64" s="10">
        <v>1.5</v>
      </c>
      <c r="CO64" s="84">
        <f t="shared" si="27"/>
        <v>0</v>
      </c>
    </row>
    <row r="65" spans="1:93" ht="11.1" hidden="1" customHeight="1" x14ac:dyDescent="0.5">
      <c r="A65" s="83"/>
      <c r="B65" s="266"/>
      <c r="C65" s="267"/>
      <c r="D65" s="267"/>
      <c r="E65" s="268"/>
      <c r="F65" s="64"/>
      <c r="G65" s="64"/>
      <c r="H65" s="82"/>
      <c r="I65" s="81"/>
      <c r="J65" s="64"/>
      <c r="K65" s="80"/>
      <c r="L65" s="79">
        <f t="shared" si="0"/>
        <v>0</v>
      </c>
      <c r="M65" s="64"/>
      <c r="N65" s="64"/>
      <c r="O65" s="64"/>
      <c r="P65" s="80"/>
      <c r="Q65" s="79">
        <f t="shared" si="1"/>
        <v>0</v>
      </c>
      <c r="R65" s="269" t="s">
        <v>282</v>
      </c>
      <c r="S65" s="270"/>
      <c r="T65" s="266"/>
      <c r="U65" s="267"/>
      <c r="V65" s="267"/>
      <c r="W65" s="268"/>
      <c r="X65" s="271">
        <f>IFERROR(INDEX(Table394123[],MATCH(R65,Table394123[Film Type],),3),"")</f>
        <v>0</v>
      </c>
      <c r="Y65" s="271"/>
      <c r="Z65" s="78" t="s">
        <v>55</v>
      </c>
      <c r="AA65" s="78" t="s">
        <v>55</v>
      </c>
      <c r="AB65" s="77"/>
      <c r="AC65" s="76"/>
      <c r="AD65" s="75">
        <f t="shared" si="2"/>
        <v>0</v>
      </c>
      <c r="AG65" s="74">
        <f t="shared" si="3"/>
        <v>0</v>
      </c>
      <c r="AK65" s="65">
        <f t="shared" si="4"/>
        <v>0</v>
      </c>
      <c r="AL65" s="65">
        <f t="shared" si="5"/>
        <v>0</v>
      </c>
      <c r="AM65" s="65">
        <f t="shared" si="6"/>
        <v>0</v>
      </c>
      <c r="AN65" s="73">
        <f t="shared" si="7"/>
        <v>0</v>
      </c>
      <c r="AO65" s="65" t="str">
        <f t="shared" si="8"/>
        <v>0.00</v>
      </c>
      <c r="AP65" s="65" t="str">
        <f t="shared" si="9"/>
        <v>0</v>
      </c>
      <c r="AQ65" s="71">
        <f t="shared" si="10"/>
        <v>0</v>
      </c>
      <c r="AR65" s="72">
        <f t="shared" si="11"/>
        <v>0</v>
      </c>
      <c r="AS65" s="71">
        <f t="shared" si="12"/>
        <v>0</v>
      </c>
      <c r="AT65" s="70">
        <f t="shared" si="13"/>
        <v>0</v>
      </c>
      <c r="AU65" s="70">
        <f t="shared" si="14"/>
        <v>0</v>
      </c>
      <c r="AV65" s="2"/>
      <c r="AW65" s="66">
        <f t="shared" si="15"/>
        <v>0</v>
      </c>
      <c r="AX65" s="68">
        <f>_xlfn.IFNA(INDEX(Table394123[I $ p/ft2],MATCH(R65,Table394123[Film Type],0)),1.75)</f>
        <v>1.75</v>
      </c>
      <c r="AY65" s="69">
        <f>VLOOKUP(Z65,Table134931[#All],2,FALSE)</f>
        <v>1</v>
      </c>
      <c r="AZ65" s="68">
        <f t="shared" si="16"/>
        <v>1.75</v>
      </c>
      <c r="BA65" s="65">
        <f t="shared" si="17"/>
        <v>0</v>
      </c>
      <c r="BB65" s="64">
        <f t="shared" si="18"/>
        <v>0</v>
      </c>
      <c r="BC65" s="67">
        <f t="shared" si="19"/>
        <v>0</v>
      </c>
      <c r="BD65" s="66">
        <f t="shared" si="20"/>
        <v>0</v>
      </c>
      <c r="BE65" s="64"/>
      <c r="BF65" s="66">
        <f t="shared" si="21"/>
        <v>0</v>
      </c>
      <c r="BG65" s="66">
        <f t="shared" si="22"/>
        <v>0</v>
      </c>
      <c r="BH65" s="65">
        <f>VLOOKUP(AA65,Table155133[#All],2,FALSE)</f>
        <v>1</v>
      </c>
      <c r="BI65" s="65">
        <f t="shared" si="23"/>
        <v>0</v>
      </c>
      <c r="BJ65" s="64" t="str">
        <f t="shared" si="24"/>
        <v>0</v>
      </c>
      <c r="CK65" s="86" t="s">
        <v>140</v>
      </c>
      <c r="CL65" s="2">
        <v>1.19</v>
      </c>
      <c r="CM65" s="2">
        <f t="shared" si="25"/>
        <v>1.3089999999999999</v>
      </c>
      <c r="CN65" s="10">
        <v>1.5</v>
      </c>
      <c r="CO65" s="84">
        <f t="shared" si="27"/>
        <v>0</v>
      </c>
    </row>
    <row r="66" spans="1:93" ht="11.1" hidden="1" customHeight="1" x14ac:dyDescent="0.5">
      <c r="A66" s="83"/>
      <c r="B66" s="266"/>
      <c r="C66" s="267"/>
      <c r="D66" s="267"/>
      <c r="E66" s="268"/>
      <c r="F66" s="64"/>
      <c r="G66" s="64"/>
      <c r="H66" s="82"/>
      <c r="I66" s="81"/>
      <c r="J66" s="64"/>
      <c r="K66" s="80"/>
      <c r="L66" s="79">
        <f t="shared" si="0"/>
        <v>0</v>
      </c>
      <c r="M66" s="64"/>
      <c r="N66" s="64"/>
      <c r="O66" s="64"/>
      <c r="P66" s="80"/>
      <c r="Q66" s="79">
        <f t="shared" si="1"/>
        <v>0</v>
      </c>
      <c r="R66" s="269" t="s">
        <v>282</v>
      </c>
      <c r="S66" s="270"/>
      <c r="T66" s="266"/>
      <c r="U66" s="267"/>
      <c r="V66" s="267"/>
      <c r="W66" s="268"/>
      <c r="X66" s="271">
        <f>IFERROR(INDEX(Table394123[],MATCH(R66,Table394123[Film Type],),3),"")</f>
        <v>0</v>
      </c>
      <c r="Y66" s="271"/>
      <c r="Z66" s="78" t="s">
        <v>55</v>
      </c>
      <c r="AA66" s="78" t="s">
        <v>55</v>
      </c>
      <c r="AB66" s="77"/>
      <c r="AC66" s="76"/>
      <c r="AD66" s="75">
        <f t="shared" si="2"/>
        <v>0</v>
      </c>
      <c r="AG66" s="74">
        <f t="shared" si="3"/>
        <v>0</v>
      </c>
      <c r="AK66" s="65">
        <f t="shared" si="4"/>
        <v>0</v>
      </c>
      <c r="AL66" s="65">
        <f t="shared" si="5"/>
        <v>0</v>
      </c>
      <c r="AM66" s="65">
        <f t="shared" si="6"/>
        <v>0</v>
      </c>
      <c r="AN66" s="73">
        <f t="shared" si="7"/>
        <v>0</v>
      </c>
      <c r="AO66" s="65" t="str">
        <f t="shared" si="8"/>
        <v>0.00</v>
      </c>
      <c r="AP66" s="65" t="str">
        <f t="shared" si="9"/>
        <v>0</v>
      </c>
      <c r="AQ66" s="71">
        <f t="shared" si="10"/>
        <v>0</v>
      </c>
      <c r="AR66" s="72">
        <f t="shared" si="11"/>
        <v>0</v>
      </c>
      <c r="AS66" s="71">
        <f t="shared" si="12"/>
        <v>0</v>
      </c>
      <c r="AT66" s="70">
        <f t="shared" si="13"/>
        <v>0</v>
      </c>
      <c r="AU66" s="70">
        <f t="shared" si="14"/>
        <v>0</v>
      </c>
      <c r="AV66" s="2"/>
      <c r="AW66" s="66">
        <f t="shared" si="15"/>
        <v>0</v>
      </c>
      <c r="AX66" s="68">
        <f>_xlfn.IFNA(INDEX(Table394123[I $ p/ft2],MATCH(R66,Table394123[Film Type],0)),1.75)</f>
        <v>1.75</v>
      </c>
      <c r="AY66" s="69">
        <f>VLOOKUP(Z66,Table134931[#All],2,FALSE)</f>
        <v>1</v>
      </c>
      <c r="AZ66" s="68">
        <f t="shared" si="16"/>
        <v>1.75</v>
      </c>
      <c r="BA66" s="65">
        <f t="shared" si="17"/>
        <v>0</v>
      </c>
      <c r="BB66" s="64">
        <f t="shared" si="18"/>
        <v>0</v>
      </c>
      <c r="BC66" s="67">
        <f t="shared" si="19"/>
        <v>0</v>
      </c>
      <c r="BD66" s="66">
        <f t="shared" si="20"/>
        <v>0</v>
      </c>
      <c r="BE66" s="64"/>
      <c r="BF66" s="66">
        <f t="shared" si="21"/>
        <v>0</v>
      </c>
      <c r="BG66" s="66">
        <f t="shared" si="22"/>
        <v>0</v>
      </c>
      <c r="BH66" s="65">
        <f>VLOOKUP(AA66,Table155133[#All],2,FALSE)</f>
        <v>1</v>
      </c>
      <c r="BI66" s="65">
        <f t="shared" si="23"/>
        <v>0</v>
      </c>
      <c r="BJ66" s="64" t="str">
        <f t="shared" si="24"/>
        <v>0</v>
      </c>
      <c r="CK66" s="86" t="s">
        <v>139</v>
      </c>
      <c r="CL66" s="2">
        <v>1.19</v>
      </c>
      <c r="CM66" s="2">
        <f t="shared" si="25"/>
        <v>1.3089999999999999</v>
      </c>
      <c r="CN66" s="10">
        <v>1.5</v>
      </c>
      <c r="CO66" s="84">
        <f t="shared" si="27"/>
        <v>0</v>
      </c>
    </row>
    <row r="67" spans="1:93" ht="11.1" hidden="1" customHeight="1" x14ac:dyDescent="0.5">
      <c r="A67" s="83"/>
      <c r="B67" s="266"/>
      <c r="C67" s="267"/>
      <c r="D67" s="267"/>
      <c r="E67" s="268"/>
      <c r="F67" s="64"/>
      <c r="G67" s="64"/>
      <c r="H67" s="82"/>
      <c r="I67" s="81"/>
      <c r="J67" s="64"/>
      <c r="K67" s="80"/>
      <c r="L67" s="79">
        <f t="shared" si="0"/>
        <v>0</v>
      </c>
      <c r="M67" s="64"/>
      <c r="N67" s="64"/>
      <c r="O67" s="64"/>
      <c r="P67" s="80"/>
      <c r="Q67" s="79">
        <f t="shared" si="1"/>
        <v>0</v>
      </c>
      <c r="R67" s="269" t="s">
        <v>282</v>
      </c>
      <c r="S67" s="270"/>
      <c r="T67" s="266"/>
      <c r="U67" s="267"/>
      <c r="V67" s="267"/>
      <c r="W67" s="268"/>
      <c r="X67" s="271">
        <f>IFERROR(INDEX(Table394123[],MATCH(R67,Table394123[Film Type],),3),"")</f>
        <v>0</v>
      </c>
      <c r="Y67" s="271"/>
      <c r="Z67" s="78" t="s">
        <v>55</v>
      </c>
      <c r="AA67" s="78" t="s">
        <v>55</v>
      </c>
      <c r="AB67" s="77"/>
      <c r="AC67" s="76"/>
      <c r="AD67" s="75">
        <f t="shared" si="2"/>
        <v>0</v>
      </c>
      <c r="AG67" s="74">
        <f t="shared" si="3"/>
        <v>0</v>
      </c>
      <c r="AK67" s="65">
        <f t="shared" si="4"/>
        <v>0</v>
      </c>
      <c r="AL67" s="65">
        <f t="shared" si="5"/>
        <v>0</v>
      </c>
      <c r="AM67" s="65">
        <f t="shared" si="6"/>
        <v>0</v>
      </c>
      <c r="AN67" s="73">
        <f t="shared" si="7"/>
        <v>0</v>
      </c>
      <c r="AO67" s="65" t="str">
        <f t="shared" si="8"/>
        <v>0.00</v>
      </c>
      <c r="AP67" s="65" t="str">
        <f t="shared" si="9"/>
        <v>0</v>
      </c>
      <c r="AQ67" s="71">
        <f t="shared" si="10"/>
        <v>0</v>
      </c>
      <c r="AR67" s="72">
        <f t="shared" si="11"/>
        <v>0</v>
      </c>
      <c r="AS67" s="71">
        <f t="shared" si="12"/>
        <v>0</v>
      </c>
      <c r="AT67" s="70">
        <f t="shared" si="13"/>
        <v>0</v>
      </c>
      <c r="AU67" s="70">
        <f t="shared" si="14"/>
        <v>0</v>
      </c>
      <c r="AV67" s="2"/>
      <c r="AW67" s="66">
        <f t="shared" si="15"/>
        <v>0</v>
      </c>
      <c r="AX67" s="68">
        <f>_xlfn.IFNA(INDEX(Table394123[I $ p/ft2],MATCH(R67,Table394123[Film Type],0)),1.75)</f>
        <v>1.75</v>
      </c>
      <c r="AY67" s="69">
        <f>VLOOKUP(Z67,Table134931[#All],2,FALSE)</f>
        <v>1</v>
      </c>
      <c r="AZ67" s="68">
        <f t="shared" si="16"/>
        <v>1.75</v>
      </c>
      <c r="BA67" s="65">
        <f t="shared" si="17"/>
        <v>0</v>
      </c>
      <c r="BB67" s="64">
        <f t="shared" si="18"/>
        <v>0</v>
      </c>
      <c r="BC67" s="67">
        <f t="shared" si="19"/>
        <v>0</v>
      </c>
      <c r="BD67" s="66">
        <f t="shared" si="20"/>
        <v>0</v>
      </c>
      <c r="BE67" s="64"/>
      <c r="BF67" s="66">
        <f t="shared" si="21"/>
        <v>0</v>
      </c>
      <c r="BG67" s="66">
        <f t="shared" si="22"/>
        <v>0</v>
      </c>
      <c r="BH67" s="65">
        <f>VLOOKUP(AA67,Table155133[#All],2,FALSE)</f>
        <v>1</v>
      </c>
      <c r="BI67" s="65">
        <f t="shared" si="23"/>
        <v>0</v>
      </c>
      <c r="BJ67" s="64" t="str">
        <f t="shared" si="24"/>
        <v>0</v>
      </c>
      <c r="CK67" s="86" t="s">
        <v>138</v>
      </c>
      <c r="CL67" s="2">
        <v>1.25</v>
      </c>
      <c r="CM67" s="2">
        <f t="shared" si="25"/>
        <v>1.375</v>
      </c>
      <c r="CN67" s="10">
        <v>1.5</v>
      </c>
      <c r="CO67" s="84">
        <f t="shared" si="27"/>
        <v>0</v>
      </c>
    </row>
    <row r="68" spans="1:93" ht="11.1" hidden="1" customHeight="1" x14ac:dyDescent="0.5">
      <c r="A68" s="83"/>
      <c r="B68" s="266"/>
      <c r="C68" s="267"/>
      <c r="D68" s="267"/>
      <c r="E68" s="268"/>
      <c r="F68" s="64"/>
      <c r="G68" s="64"/>
      <c r="H68" s="82"/>
      <c r="I68" s="81"/>
      <c r="J68" s="64"/>
      <c r="K68" s="80"/>
      <c r="L68" s="79">
        <f t="shared" si="0"/>
        <v>0</v>
      </c>
      <c r="M68" s="64"/>
      <c r="N68" s="64"/>
      <c r="O68" s="64"/>
      <c r="P68" s="80"/>
      <c r="Q68" s="79">
        <f t="shared" si="1"/>
        <v>0</v>
      </c>
      <c r="R68" s="269" t="s">
        <v>282</v>
      </c>
      <c r="S68" s="270"/>
      <c r="T68" s="266"/>
      <c r="U68" s="267"/>
      <c r="V68" s="267"/>
      <c r="W68" s="268"/>
      <c r="X68" s="271">
        <f>IFERROR(INDEX(Table394123[],MATCH(R68,Table394123[Film Type],),3),"")</f>
        <v>0</v>
      </c>
      <c r="Y68" s="271"/>
      <c r="Z68" s="78" t="s">
        <v>55</v>
      </c>
      <c r="AA68" s="78" t="s">
        <v>55</v>
      </c>
      <c r="AB68" s="77"/>
      <c r="AC68" s="76"/>
      <c r="AD68" s="75">
        <f t="shared" si="2"/>
        <v>0</v>
      </c>
      <c r="AG68" s="74">
        <f t="shared" si="3"/>
        <v>0</v>
      </c>
      <c r="AK68" s="65">
        <f t="shared" si="4"/>
        <v>0</v>
      </c>
      <c r="AL68" s="65">
        <f t="shared" si="5"/>
        <v>0</v>
      </c>
      <c r="AM68" s="65">
        <f t="shared" si="6"/>
        <v>0</v>
      </c>
      <c r="AN68" s="73">
        <f t="shared" si="7"/>
        <v>0</v>
      </c>
      <c r="AO68" s="65" t="str">
        <f t="shared" si="8"/>
        <v>0.00</v>
      </c>
      <c r="AP68" s="65" t="str">
        <f t="shared" si="9"/>
        <v>0</v>
      </c>
      <c r="AQ68" s="71">
        <f t="shared" si="10"/>
        <v>0</v>
      </c>
      <c r="AR68" s="72">
        <f t="shared" si="11"/>
        <v>0</v>
      </c>
      <c r="AS68" s="71">
        <f t="shared" si="12"/>
        <v>0</v>
      </c>
      <c r="AT68" s="70">
        <f t="shared" si="13"/>
        <v>0</v>
      </c>
      <c r="AU68" s="70">
        <f t="shared" si="14"/>
        <v>0</v>
      </c>
      <c r="AV68" s="2"/>
      <c r="AW68" s="66">
        <f t="shared" si="15"/>
        <v>0</v>
      </c>
      <c r="AX68" s="68">
        <f>_xlfn.IFNA(INDEX(Table394123[I $ p/ft2],MATCH(R68,Table394123[Film Type],0)),1.75)</f>
        <v>1.75</v>
      </c>
      <c r="AY68" s="69">
        <f>VLOOKUP(Z68,Table134931[#All],2,FALSE)</f>
        <v>1</v>
      </c>
      <c r="AZ68" s="68">
        <f t="shared" si="16"/>
        <v>1.75</v>
      </c>
      <c r="BA68" s="65">
        <f t="shared" si="17"/>
        <v>0</v>
      </c>
      <c r="BB68" s="64">
        <f t="shared" si="18"/>
        <v>0</v>
      </c>
      <c r="BC68" s="67">
        <f t="shared" si="19"/>
        <v>0</v>
      </c>
      <c r="BD68" s="66">
        <f t="shared" si="20"/>
        <v>0</v>
      </c>
      <c r="BE68" s="64"/>
      <c r="BF68" s="66">
        <f t="shared" si="21"/>
        <v>0</v>
      </c>
      <c r="BG68" s="66">
        <f t="shared" si="22"/>
        <v>0</v>
      </c>
      <c r="BH68" s="65">
        <f>VLOOKUP(AA68,Table155133[#All],2,FALSE)</f>
        <v>1</v>
      </c>
      <c r="BI68" s="65">
        <f t="shared" si="23"/>
        <v>0</v>
      </c>
      <c r="BJ68" s="64" t="str">
        <f t="shared" si="24"/>
        <v>0</v>
      </c>
      <c r="CK68" s="86" t="s">
        <v>137</v>
      </c>
      <c r="CL68" s="2">
        <v>1.24</v>
      </c>
      <c r="CM68" s="2">
        <f t="shared" si="25"/>
        <v>1.3640000000000001</v>
      </c>
      <c r="CN68" s="10">
        <v>1.5</v>
      </c>
      <c r="CO68" s="84">
        <f t="shared" si="27"/>
        <v>0</v>
      </c>
    </row>
    <row r="69" spans="1:93" ht="11.1" hidden="1" customHeight="1" x14ac:dyDescent="0.5">
      <c r="A69" s="83"/>
      <c r="B69" s="266"/>
      <c r="C69" s="267"/>
      <c r="D69" s="267"/>
      <c r="E69" s="268"/>
      <c r="F69" s="64"/>
      <c r="G69" s="64"/>
      <c r="H69" s="82"/>
      <c r="I69" s="81"/>
      <c r="J69" s="64"/>
      <c r="K69" s="80"/>
      <c r="L69" s="79">
        <f t="shared" si="0"/>
        <v>0</v>
      </c>
      <c r="M69" s="64"/>
      <c r="N69" s="64"/>
      <c r="O69" s="64"/>
      <c r="P69" s="80"/>
      <c r="Q69" s="79">
        <f t="shared" si="1"/>
        <v>0</v>
      </c>
      <c r="R69" s="269" t="s">
        <v>282</v>
      </c>
      <c r="S69" s="270"/>
      <c r="T69" s="266"/>
      <c r="U69" s="267"/>
      <c r="V69" s="267"/>
      <c r="W69" s="268"/>
      <c r="X69" s="271">
        <f>IFERROR(INDEX(Table394123[],MATCH(R69,Table394123[Film Type],),3),"")</f>
        <v>0</v>
      </c>
      <c r="Y69" s="271"/>
      <c r="Z69" s="78" t="s">
        <v>55</v>
      </c>
      <c r="AA69" s="78" t="s">
        <v>55</v>
      </c>
      <c r="AB69" s="77"/>
      <c r="AC69" s="76"/>
      <c r="AD69" s="75">
        <f t="shared" si="2"/>
        <v>0</v>
      </c>
      <c r="AG69" s="74">
        <f t="shared" si="3"/>
        <v>0</v>
      </c>
      <c r="AK69" s="65">
        <f t="shared" si="4"/>
        <v>0</v>
      </c>
      <c r="AL69" s="65">
        <f t="shared" si="5"/>
        <v>0</v>
      </c>
      <c r="AM69" s="65">
        <f t="shared" si="6"/>
        <v>0</v>
      </c>
      <c r="AN69" s="73">
        <f t="shared" si="7"/>
        <v>0</v>
      </c>
      <c r="AO69" s="65" t="str">
        <f t="shared" si="8"/>
        <v>0.00</v>
      </c>
      <c r="AP69" s="65" t="str">
        <f t="shared" si="9"/>
        <v>0</v>
      </c>
      <c r="AQ69" s="71">
        <f t="shared" si="10"/>
        <v>0</v>
      </c>
      <c r="AR69" s="72">
        <f t="shared" si="11"/>
        <v>0</v>
      </c>
      <c r="AS69" s="71">
        <f t="shared" si="12"/>
        <v>0</v>
      </c>
      <c r="AT69" s="70">
        <f t="shared" si="13"/>
        <v>0</v>
      </c>
      <c r="AU69" s="70">
        <f t="shared" si="14"/>
        <v>0</v>
      </c>
      <c r="AV69" s="2"/>
      <c r="AW69" s="66">
        <f t="shared" si="15"/>
        <v>0</v>
      </c>
      <c r="AX69" s="68">
        <f>_xlfn.IFNA(INDEX(Table394123[I $ p/ft2],MATCH(R69,Table394123[Film Type],0)),1.75)</f>
        <v>1.75</v>
      </c>
      <c r="AY69" s="69">
        <f>VLOOKUP(Z69,Table134931[#All],2,FALSE)</f>
        <v>1</v>
      </c>
      <c r="AZ69" s="68">
        <f t="shared" si="16"/>
        <v>1.75</v>
      </c>
      <c r="BA69" s="65">
        <f t="shared" si="17"/>
        <v>0</v>
      </c>
      <c r="BB69" s="64">
        <f t="shared" si="18"/>
        <v>0</v>
      </c>
      <c r="BC69" s="67">
        <f t="shared" si="19"/>
        <v>0</v>
      </c>
      <c r="BD69" s="66">
        <f t="shared" si="20"/>
        <v>0</v>
      </c>
      <c r="BE69" s="64"/>
      <c r="BF69" s="66">
        <f t="shared" si="21"/>
        <v>0</v>
      </c>
      <c r="BG69" s="66">
        <f t="shared" si="22"/>
        <v>0</v>
      </c>
      <c r="BH69" s="65">
        <f>VLOOKUP(AA69,Table155133[#All],2,FALSE)</f>
        <v>1</v>
      </c>
      <c r="BI69" s="65">
        <f t="shared" si="23"/>
        <v>0</v>
      </c>
      <c r="BJ69" s="64" t="str">
        <f t="shared" si="24"/>
        <v>0</v>
      </c>
      <c r="CK69" s="86" t="s">
        <v>136</v>
      </c>
      <c r="CL69" s="2">
        <v>1.24</v>
      </c>
      <c r="CM69" s="2">
        <f t="shared" si="25"/>
        <v>1.3640000000000001</v>
      </c>
      <c r="CN69" s="10">
        <v>1.5</v>
      </c>
      <c r="CO69" s="84">
        <f t="shared" si="27"/>
        <v>0</v>
      </c>
    </row>
    <row r="70" spans="1:93" ht="11.1" hidden="1" customHeight="1" x14ac:dyDescent="0.5">
      <c r="A70" s="83"/>
      <c r="B70" s="266"/>
      <c r="C70" s="267"/>
      <c r="D70" s="267"/>
      <c r="E70" s="268"/>
      <c r="F70" s="64"/>
      <c r="G70" s="64"/>
      <c r="H70" s="82"/>
      <c r="I70" s="81"/>
      <c r="J70" s="64"/>
      <c r="K70" s="80"/>
      <c r="L70" s="79">
        <f t="shared" si="0"/>
        <v>0</v>
      </c>
      <c r="M70" s="64"/>
      <c r="N70" s="64"/>
      <c r="O70" s="64"/>
      <c r="P70" s="80"/>
      <c r="Q70" s="79">
        <f t="shared" si="1"/>
        <v>0</v>
      </c>
      <c r="R70" s="269" t="s">
        <v>282</v>
      </c>
      <c r="S70" s="270"/>
      <c r="T70" s="266"/>
      <c r="U70" s="267"/>
      <c r="V70" s="267"/>
      <c r="W70" s="268"/>
      <c r="X70" s="271">
        <f>IFERROR(INDEX(Table394123[],MATCH(R70,Table394123[Film Type],),3),"")</f>
        <v>0</v>
      </c>
      <c r="Y70" s="271"/>
      <c r="Z70" s="78" t="s">
        <v>55</v>
      </c>
      <c r="AA70" s="78" t="s">
        <v>55</v>
      </c>
      <c r="AB70" s="77"/>
      <c r="AC70" s="76"/>
      <c r="AD70" s="75">
        <f t="shared" si="2"/>
        <v>0</v>
      </c>
      <c r="AG70" s="74">
        <f t="shared" si="3"/>
        <v>0</v>
      </c>
      <c r="AK70" s="65">
        <f t="shared" si="4"/>
        <v>0</v>
      </c>
      <c r="AL70" s="65">
        <f t="shared" si="5"/>
        <v>0</v>
      </c>
      <c r="AM70" s="65">
        <f t="shared" si="6"/>
        <v>0</v>
      </c>
      <c r="AN70" s="73">
        <f t="shared" si="7"/>
        <v>0</v>
      </c>
      <c r="AO70" s="65" t="str">
        <f t="shared" si="8"/>
        <v>0.00</v>
      </c>
      <c r="AP70" s="65" t="str">
        <f t="shared" si="9"/>
        <v>0</v>
      </c>
      <c r="AQ70" s="71">
        <f t="shared" si="10"/>
        <v>0</v>
      </c>
      <c r="AR70" s="72">
        <f t="shared" si="11"/>
        <v>0</v>
      </c>
      <c r="AS70" s="71">
        <f t="shared" si="12"/>
        <v>0</v>
      </c>
      <c r="AT70" s="70">
        <f t="shared" si="13"/>
        <v>0</v>
      </c>
      <c r="AU70" s="70">
        <f t="shared" si="14"/>
        <v>0</v>
      </c>
      <c r="AV70" s="2"/>
      <c r="AW70" s="66">
        <f t="shared" si="15"/>
        <v>0</v>
      </c>
      <c r="AX70" s="68">
        <f>_xlfn.IFNA(INDEX(Table394123[I $ p/ft2],MATCH(R70,Table394123[Film Type],0)),1.75)</f>
        <v>1.75</v>
      </c>
      <c r="AY70" s="69">
        <f>VLOOKUP(Z70,Table134931[#All],2,FALSE)</f>
        <v>1</v>
      </c>
      <c r="AZ70" s="68">
        <f t="shared" si="16"/>
        <v>1.75</v>
      </c>
      <c r="BA70" s="65">
        <f t="shared" si="17"/>
        <v>0</v>
      </c>
      <c r="BB70" s="64">
        <f t="shared" si="18"/>
        <v>0</v>
      </c>
      <c r="BC70" s="67">
        <f t="shared" si="19"/>
        <v>0</v>
      </c>
      <c r="BD70" s="66">
        <f t="shared" si="20"/>
        <v>0</v>
      </c>
      <c r="BE70" s="64"/>
      <c r="BF70" s="66">
        <f t="shared" si="21"/>
        <v>0</v>
      </c>
      <c r="BG70" s="66">
        <f t="shared" si="22"/>
        <v>0</v>
      </c>
      <c r="BH70" s="65">
        <f>VLOOKUP(AA70,Table155133[#All],2,FALSE)</f>
        <v>1</v>
      </c>
      <c r="BI70" s="65">
        <f t="shared" si="23"/>
        <v>0</v>
      </c>
      <c r="BJ70" s="64" t="str">
        <f t="shared" si="24"/>
        <v>0</v>
      </c>
      <c r="CK70" s="86" t="s">
        <v>135</v>
      </c>
      <c r="CL70" s="2">
        <v>1.24</v>
      </c>
      <c r="CM70" s="2">
        <f t="shared" si="25"/>
        <v>1.3640000000000001</v>
      </c>
      <c r="CN70" s="10">
        <v>1.5</v>
      </c>
      <c r="CO70" s="84">
        <f t="shared" si="27"/>
        <v>0</v>
      </c>
    </row>
    <row r="71" spans="1:93" ht="11.1" hidden="1" customHeight="1" x14ac:dyDescent="0.5">
      <c r="A71" s="83"/>
      <c r="B71" s="266"/>
      <c r="C71" s="267"/>
      <c r="D71" s="267"/>
      <c r="E71" s="268"/>
      <c r="F71" s="64"/>
      <c r="G71" s="64"/>
      <c r="H71" s="82"/>
      <c r="I71" s="81"/>
      <c r="J71" s="64"/>
      <c r="K71" s="80"/>
      <c r="L71" s="79">
        <f t="shared" ref="L71:L134" si="28">(I71*J71*K71)/144</f>
        <v>0</v>
      </c>
      <c r="M71" s="64"/>
      <c r="N71" s="64"/>
      <c r="O71" s="64"/>
      <c r="P71" s="80"/>
      <c r="Q71" s="79">
        <f t="shared" ref="Q71:Q134" si="29">IF(P71&lt;&gt;"",M71*O71*P71/144,L71*(1+$Q$5))</f>
        <v>0</v>
      </c>
      <c r="R71" s="269" t="s">
        <v>282</v>
      </c>
      <c r="S71" s="270"/>
      <c r="T71" s="266"/>
      <c r="U71" s="267"/>
      <c r="V71" s="267"/>
      <c r="W71" s="268"/>
      <c r="X71" s="271">
        <f>IFERROR(INDEX(Table394123[],MATCH(R71,Table394123[Film Type],),3),"")</f>
        <v>0</v>
      </c>
      <c r="Y71" s="271"/>
      <c r="Z71" s="78" t="s">
        <v>55</v>
      </c>
      <c r="AA71" s="78" t="s">
        <v>55</v>
      </c>
      <c r="AB71" s="77"/>
      <c r="AC71" s="76"/>
      <c r="AD71" s="75">
        <f t="shared" ref="AD71:AD134" si="30">SUM(AT71+AU71)</f>
        <v>0</v>
      </c>
      <c r="AG71" s="74">
        <f t="shared" ref="AG71:AG134" si="31">(((I71*2)+(J71*2))*K71)/12</f>
        <v>0</v>
      </c>
      <c r="AK71" s="65">
        <f t="shared" ref="AK71:AK134" si="32">IFERROR((Q71*X71),0)</f>
        <v>0</v>
      </c>
      <c r="AL71" s="65">
        <f t="shared" ref="AL71:AL134" si="33">IFERROR((AW71/$B$158)*$X$4,0)</f>
        <v>0</v>
      </c>
      <c r="AM71" s="65">
        <f t="shared" ref="AM71:AM134" si="34">BA71+BI71+BC71</f>
        <v>0</v>
      </c>
      <c r="AN71" s="73">
        <f t="shared" ref="AN71:AN134" si="35">IFERROR((AW71/$B$158)*(($AB$4*$AI$7)+($AC$2*$AI$7)),0)</f>
        <v>0</v>
      </c>
      <c r="AO71" s="65" t="str">
        <f t="shared" ref="AO71:AO134" si="36">IF(AND($X$2="Yes", $Z$2="No"), ((AM71+AN71)*0.25),"0.00")</f>
        <v>0.00</v>
      </c>
      <c r="AP71" s="65" t="str">
        <f t="shared" ref="AP71:AP134" si="37">IF($Z$2="No","0", (((AN71/$AI$7)+BD71+BG71)*$AI$13)-(AN71+BA71+BC71+BI71))</f>
        <v>0</v>
      </c>
      <c r="AQ71" s="71">
        <f t="shared" ref="AQ71:AQ134" si="38">(BD71+BG71)*$AI$10</f>
        <v>0</v>
      </c>
      <c r="AR71" s="72">
        <f t="shared" ref="AR71:AR134" si="39">AD71*$AB$163</f>
        <v>0</v>
      </c>
      <c r="AS71" s="71">
        <f t="shared" ref="AS71:AS134" si="40">AD71-AT71-AR71-AQ71</f>
        <v>0</v>
      </c>
      <c r="AT71" s="70">
        <f t="shared" ref="AT71:AT134" si="41">SUM(AK71+AL71+AM71+AN71+AO71+AP71)</f>
        <v>0</v>
      </c>
      <c r="AU71" s="70">
        <f t="shared" ref="AU71:AU134" si="42">AT71*$AB$167</f>
        <v>0</v>
      </c>
      <c r="AV71" s="2"/>
      <c r="AW71" s="66">
        <f t="shared" ref="AW71:AW134" si="43">IF(R71="removal only",0,((I71*J71*K71)/144))</f>
        <v>0</v>
      </c>
      <c r="AX71" s="68">
        <f>_xlfn.IFNA(INDEX(Table394123[I $ p/ft2],MATCH(R71,Table394123[Film Type],0)),1.75)</f>
        <v>1.75</v>
      </c>
      <c r="AY71" s="69">
        <f>VLOOKUP(Z71,Table134931[#All],2,FALSE)</f>
        <v>1</v>
      </c>
      <c r="AZ71" s="68">
        <f t="shared" ref="AZ71:AZ134" si="44">AX71*AY71</f>
        <v>1.75</v>
      </c>
      <c r="BA71" s="65">
        <f t="shared" ref="BA71:BA134" si="45">IF(R71="removal only",0,(AW71*AZ71))</f>
        <v>0</v>
      </c>
      <c r="BB71" s="64">
        <f t="shared" ref="BB71:BB134" si="46">IF(R71="removal only",0,K71)</f>
        <v>0</v>
      </c>
      <c r="BC71" s="67">
        <f t="shared" ref="BC71:BC134" si="47">(AB71/60)*$AI$7</f>
        <v>0</v>
      </c>
      <c r="BD71" s="66">
        <f t="shared" ref="BD71:BD134" si="48">IF(R71="removal only",0,(BA71+BC71)/$AI$7)</f>
        <v>0</v>
      </c>
      <c r="BE71" s="64"/>
      <c r="BF71" s="66">
        <f t="shared" ref="BF71:BF134" si="49">IF(H71="Yes",((I71*J71*K71)/144),0)</f>
        <v>0</v>
      </c>
      <c r="BG71" s="66">
        <f t="shared" ref="BG71:BG134" si="50">IF(BF71="0",0,BI71/$AI$7)</f>
        <v>0</v>
      </c>
      <c r="BH71" s="65">
        <f>VLOOKUP(AA71,Table155133[#All],2,FALSE)</f>
        <v>1</v>
      </c>
      <c r="BI71" s="65">
        <f t="shared" ref="BI71:BI134" si="51">IF(H71="Yes",BF71*BH71,0)</f>
        <v>0</v>
      </c>
      <c r="BJ71" s="64" t="str">
        <f t="shared" ref="BJ71:BJ134" si="52">IF(H71="Yes",K71,"0")</f>
        <v>0</v>
      </c>
      <c r="CK71" s="86" t="s">
        <v>134</v>
      </c>
      <c r="CL71" s="2">
        <v>1.24</v>
      </c>
      <c r="CM71" s="2">
        <f t="shared" ref="CM71:CM134" si="53">CL71*1.1</f>
        <v>1.3640000000000001</v>
      </c>
      <c r="CN71" s="10">
        <v>1.5</v>
      </c>
      <c r="CO71" s="84">
        <f t="shared" ref="CO71:CO102" si="54">(O71*K71)/12</f>
        <v>0</v>
      </c>
    </row>
    <row r="72" spans="1:93" ht="11.1" hidden="1" customHeight="1" x14ac:dyDescent="0.5">
      <c r="A72" s="83"/>
      <c r="B72" s="266"/>
      <c r="C72" s="267"/>
      <c r="D72" s="267"/>
      <c r="E72" s="268"/>
      <c r="F72" s="64"/>
      <c r="G72" s="64"/>
      <c r="H72" s="82"/>
      <c r="I72" s="81"/>
      <c r="J72" s="64"/>
      <c r="K72" s="80"/>
      <c r="L72" s="79">
        <f t="shared" si="28"/>
        <v>0</v>
      </c>
      <c r="M72" s="64"/>
      <c r="N72" s="64"/>
      <c r="O72" s="64"/>
      <c r="P72" s="80"/>
      <c r="Q72" s="79">
        <f t="shared" si="29"/>
        <v>0</v>
      </c>
      <c r="R72" s="269" t="s">
        <v>282</v>
      </c>
      <c r="S72" s="270"/>
      <c r="T72" s="266"/>
      <c r="U72" s="267"/>
      <c r="V72" s="267"/>
      <c r="W72" s="268"/>
      <c r="X72" s="271">
        <f>IFERROR(INDEX(Table394123[],MATCH(R72,Table394123[Film Type],),3),"")</f>
        <v>0</v>
      </c>
      <c r="Y72" s="271"/>
      <c r="Z72" s="78" t="s">
        <v>55</v>
      </c>
      <c r="AA72" s="78" t="s">
        <v>55</v>
      </c>
      <c r="AB72" s="77"/>
      <c r="AC72" s="76"/>
      <c r="AD72" s="75">
        <f t="shared" si="30"/>
        <v>0</v>
      </c>
      <c r="AG72" s="74">
        <f t="shared" si="31"/>
        <v>0</v>
      </c>
      <c r="AK72" s="65">
        <f t="shared" si="32"/>
        <v>0</v>
      </c>
      <c r="AL72" s="65">
        <f t="shared" si="33"/>
        <v>0</v>
      </c>
      <c r="AM72" s="65">
        <f t="shared" si="34"/>
        <v>0</v>
      </c>
      <c r="AN72" s="73">
        <f t="shared" si="35"/>
        <v>0</v>
      </c>
      <c r="AO72" s="65" t="str">
        <f t="shared" si="36"/>
        <v>0.00</v>
      </c>
      <c r="AP72" s="65" t="str">
        <f t="shared" si="37"/>
        <v>0</v>
      </c>
      <c r="AQ72" s="71">
        <f t="shared" si="38"/>
        <v>0</v>
      </c>
      <c r="AR72" s="72">
        <f t="shared" si="39"/>
        <v>0</v>
      </c>
      <c r="AS72" s="71">
        <f t="shared" si="40"/>
        <v>0</v>
      </c>
      <c r="AT72" s="70">
        <f t="shared" si="41"/>
        <v>0</v>
      </c>
      <c r="AU72" s="70">
        <f t="shared" si="42"/>
        <v>0</v>
      </c>
      <c r="AV72" s="2"/>
      <c r="AW72" s="66">
        <f t="shared" si="43"/>
        <v>0</v>
      </c>
      <c r="AX72" s="68">
        <f>_xlfn.IFNA(INDEX(Table394123[I $ p/ft2],MATCH(R72,Table394123[Film Type],0)),1.75)</f>
        <v>1.75</v>
      </c>
      <c r="AY72" s="69">
        <f>VLOOKUP(Z72,Table134931[#All],2,FALSE)</f>
        <v>1</v>
      </c>
      <c r="AZ72" s="68">
        <f t="shared" si="44"/>
        <v>1.75</v>
      </c>
      <c r="BA72" s="65">
        <f t="shared" si="45"/>
        <v>0</v>
      </c>
      <c r="BB72" s="64">
        <f t="shared" si="46"/>
        <v>0</v>
      </c>
      <c r="BC72" s="67">
        <f t="shared" si="47"/>
        <v>0</v>
      </c>
      <c r="BD72" s="66">
        <f t="shared" si="48"/>
        <v>0</v>
      </c>
      <c r="BE72" s="64"/>
      <c r="BF72" s="66">
        <f t="shared" si="49"/>
        <v>0</v>
      </c>
      <c r="BG72" s="66">
        <f t="shared" si="50"/>
        <v>0</v>
      </c>
      <c r="BH72" s="65">
        <f>VLOOKUP(AA72,Table155133[#All],2,FALSE)</f>
        <v>1</v>
      </c>
      <c r="BI72" s="65">
        <f t="shared" si="51"/>
        <v>0</v>
      </c>
      <c r="BJ72" s="64" t="str">
        <f t="shared" si="52"/>
        <v>0</v>
      </c>
      <c r="CK72" s="86" t="s">
        <v>133</v>
      </c>
      <c r="CL72" s="2">
        <v>0.98</v>
      </c>
      <c r="CM72" s="2">
        <f t="shared" si="53"/>
        <v>1.0780000000000001</v>
      </c>
      <c r="CN72" s="10">
        <v>1.5</v>
      </c>
      <c r="CO72" s="84">
        <f t="shared" si="54"/>
        <v>0</v>
      </c>
    </row>
    <row r="73" spans="1:93" ht="11.1" hidden="1" customHeight="1" x14ac:dyDescent="0.5">
      <c r="A73" s="83"/>
      <c r="B73" s="266"/>
      <c r="C73" s="267"/>
      <c r="D73" s="267"/>
      <c r="E73" s="268"/>
      <c r="F73" s="64"/>
      <c r="G73" s="64"/>
      <c r="H73" s="82"/>
      <c r="I73" s="81"/>
      <c r="J73" s="64"/>
      <c r="K73" s="80"/>
      <c r="L73" s="79">
        <f t="shared" si="28"/>
        <v>0</v>
      </c>
      <c r="M73" s="64"/>
      <c r="N73" s="64"/>
      <c r="O73" s="64"/>
      <c r="P73" s="80"/>
      <c r="Q73" s="79">
        <f t="shared" si="29"/>
        <v>0</v>
      </c>
      <c r="R73" s="269" t="s">
        <v>282</v>
      </c>
      <c r="S73" s="270"/>
      <c r="T73" s="266"/>
      <c r="U73" s="267"/>
      <c r="V73" s="267"/>
      <c r="W73" s="268"/>
      <c r="X73" s="271">
        <f>IFERROR(INDEX(Table394123[],MATCH(R73,Table394123[Film Type],),3),"")</f>
        <v>0</v>
      </c>
      <c r="Y73" s="271"/>
      <c r="Z73" s="78" t="s">
        <v>55</v>
      </c>
      <c r="AA73" s="78" t="s">
        <v>55</v>
      </c>
      <c r="AB73" s="77"/>
      <c r="AC73" s="76"/>
      <c r="AD73" s="75">
        <f t="shared" si="30"/>
        <v>0</v>
      </c>
      <c r="AG73" s="74">
        <f t="shared" si="31"/>
        <v>0</v>
      </c>
      <c r="AK73" s="65">
        <f t="shared" si="32"/>
        <v>0</v>
      </c>
      <c r="AL73" s="65">
        <f t="shared" si="33"/>
        <v>0</v>
      </c>
      <c r="AM73" s="65">
        <f t="shared" si="34"/>
        <v>0</v>
      </c>
      <c r="AN73" s="73">
        <f t="shared" si="35"/>
        <v>0</v>
      </c>
      <c r="AO73" s="65" t="str">
        <f t="shared" si="36"/>
        <v>0.00</v>
      </c>
      <c r="AP73" s="65" t="str">
        <f t="shared" si="37"/>
        <v>0</v>
      </c>
      <c r="AQ73" s="71">
        <f t="shared" si="38"/>
        <v>0</v>
      </c>
      <c r="AR73" s="72">
        <f t="shared" si="39"/>
        <v>0</v>
      </c>
      <c r="AS73" s="71">
        <f t="shared" si="40"/>
        <v>0</v>
      </c>
      <c r="AT73" s="70">
        <f t="shared" si="41"/>
        <v>0</v>
      </c>
      <c r="AU73" s="70">
        <f t="shared" si="42"/>
        <v>0</v>
      </c>
      <c r="AV73" s="2"/>
      <c r="AW73" s="66">
        <f t="shared" si="43"/>
        <v>0</v>
      </c>
      <c r="AX73" s="68">
        <f>_xlfn.IFNA(INDEX(Table394123[I $ p/ft2],MATCH(R73,Table394123[Film Type],0)),1.75)</f>
        <v>1.75</v>
      </c>
      <c r="AY73" s="69">
        <f>VLOOKUP(Z73,Table134931[#All],2,FALSE)</f>
        <v>1</v>
      </c>
      <c r="AZ73" s="68">
        <f t="shared" si="44"/>
        <v>1.75</v>
      </c>
      <c r="BA73" s="65">
        <f t="shared" si="45"/>
        <v>0</v>
      </c>
      <c r="BB73" s="64">
        <f t="shared" si="46"/>
        <v>0</v>
      </c>
      <c r="BC73" s="67">
        <f t="shared" si="47"/>
        <v>0</v>
      </c>
      <c r="BD73" s="66">
        <f t="shared" si="48"/>
        <v>0</v>
      </c>
      <c r="BE73" s="64"/>
      <c r="BF73" s="66">
        <f t="shared" si="49"/>
        <v>0</v>
      </c>
      <c r="BG73" s="66">
        <f t="shared" si="50"/>
        <v>0</v>
      </c>
      <c r="BH73" s="65">
        <f>VLOOKUP(AA73,Table155133[#All],2,FALSE)</f>
        <v>1</v>
      </c>
      <c r="BI73" s="65">
        <f t="shared" si="51"/>
        <v>0</v>
      </c>
      <c r="BJ73" s="64" t="str">
        <f t="shared" si="52"/>
        <v>0</v>
      </c>
      <c r="CK73" s="86" t="s">
        <v>132</v>
      </c>
      <c r="CL73" s="2">
        <v>0.98</v>
      </c>
      <c r="CM73" s="2">
        <f t="shared" si="53"/>
        <v>1.0780000000000001</v>
      </c>
      <c r="CN73" s="10">
        <v>1.5</v>
      </c>
      <c r="CO73" s="84">
        <f t="shared" si="54"/>
        <v>0</v>
      </c>
    </row>
    <row r="74" spans="1:93" ht="11.1" hidden="1" customHeight="1" x14ac:dyDescent="0.5">
      <c r="A74" s="83"/>
      <c r="B74" s="266"/>
      <c r="C74" s="267"/>
      <c r="D74" s="267"/>
      <c r="E74" s="268"/>
      <c r="F74" s="64"/>
      <c r="G74" s="64"/>
      <c r="H74" s="82"/>
      <c r="I74" s="81"/>
      <c r="J74" s="64"/>
      <c r="K74" s="80"/>
      <c r="L74" s="79">
        <f t="shared" si="28"/>
        <v>0</v>
      </c>
      <c r="M74" s="64"/>
      <c r="N74" s="64"/>
      <c r="O74" s="64"/>
      <c r="P74" s="80"/>
      <c r="Q74" s="79">
        <f t="shared" si="29"/>
        <v>0</v>
      </c>
      <c r="R74" s="269" t="s">
        <v>282</v>
      </c>
      <c r="S74" s="270"/>
      <c r="T74" s="266"/>
      <c r="U74" s="267"/>
      <c r="V74" s="267"/>
      <c r="W74" s="268"/>
      <c r="X74" s="271">
        <f>IFERROR(INDEX(Table394123[],MATCH(R74,Table394123[Film Type],),3),"")</f>
        <v>0</v>
      </c>
      <c r="Y74" s="271"/>
      <c r="Z74" s="78" t="s">
        <v>55</v>
      </c>
      <c r="AA74" s="78" t="s">
        <v>55</v>
      </c>
      <c r="AB74" s="77"/>
      <c r="AC74" s="76"/>
      <c r="AD74" s="75">
        <f t="shared" si="30"/>
        <v>0</v>
      </c>
      <c r="AG74" s="74">
        <f t="shared" si="31"/>
        <v>0</v>
      </c>
      <c r="AK74" s="65">
        <f t="shared" si="32"/>
        <v>0</v>
      </c>
      <c r="AL74" s="65">
        <f t="shared" si="33"/>
        <v>0</v>
      </c>
      <c r="AM74" s="65">
        <f t="shared" si="34"/>
        <v>0</v>
      </c>
      <c r="AN74" s="73">
        <f t="shared" si="35"/>
        <v>0</v>
      </c>
      <c r="AO74" s="65" t="str">
        <f t="shared" si="36"/>
        <v>0.00</v>
      </c>
      <c r="AP74" s="65" t="str">
        <f t="shared" si="37"/>
        <v>0</v>
      </c>
      <c r="AQ74" s="71">
        <f t="shared" si="38"/>
        <v>0</v>
      </c>
      <c r="AR74" s="72">
        <f t="shared" si="39"/>
        <v>0</v>
      </c>
      <c r="AS74" s="71">
        <f t="shared" si="40"/>
        <v>0</v>
      </c>
      <c r="AT74" s="70">
        <f t="shared" si="41"/>
        <v>0</v>
      </c>
      <c r="AU74" s="70">
        <f t="shared" si="42"/>
        <v>0</v>
      </c>
      <c r="AV74" s="2"/>
      <c r="AW74" s="66">
        <f t="shared" si="43"/>
        <v>0</v>
      </c>
      <c r="AX74" s="68">
        <f>_xlfn.IFNA(INDEX(Table394123[I $ p/ft2],MATCH(R74,Table394123[Film Type],0)),1.75)</f>
        <v>1.75</v>
      </c>
      <c r="AY74" s="69">
        <f>VLOOKUP(Z74,Table134931[#All],2,FALSE)</f>
        <v>1</v>
      </c>
      <c r="AZ74" s="68">
        <f t="shared" si="44"/>
        <v>1.75</v>
      </c>
      <c r="BA74" s="65">
        <f t="shared" si="45"/>
        <v>0</v>
      </c>
      <c r="BB74" s="64">
        <f t="shared" si="46"/>
        <v>0</v>
      </c>
      <c r="BC74" s="67">
        <f t="shared" si="47"/>
        <v>0</v>
      </c>
      <c r="BD74" s="66">
        <f t="shared" si="48"/>
        <v>0</v>
      </c>
      <c r="BE74" s="64"/>
      <c r="BF74" s="66">
        <f t="shared" si="49"/>
        <v>0</v>
      </c>
      <c r="BG74" s="66">
        <f t="shared" si="50"/>
        <v>0</v>
      </c>
      <c r="BH74" s="65">
        <f>VLOOKUP(AA74,Table155133[#All],2,FALSE)</f>
        <v>1</v>
      </c>
      <c r="BI74" s="65">
        <f t="shared" si="51"/>
        <v>0</v>
      </c>
      <c r="BJ74" s="64" t="str">
        <f t="shared" si="52"/>
        <v>0</v>
      </c>
      <c r="CK74" s="86" t="s">
        <v>131</v>
      </c>
      <c r="CL74" s="2">
        <v>1.41</v>
      </c>
      <c r="CM74" s="2">
        <f t="shared" si="53"/>
        <v>1.5509999999999999</v>
      </c>
      <c r="CN74" s="10">
        <v>1.5</v>
      </c>
      <c r="CO74" s="84">
        <f t="shared" si="54"/>
        <v>0</v>
      </c>
    </row>
    <row r="75" spans="1:93" ht="11.1" hidden="1" customHeight="1" x14ac:dyDescent="0.5">
      <c r="A75" s="83"/>
      <c r="B75" s="266"/>
      <c r="C75" s="267"/>
      <c r="D75" s="267"/>
      <c r="E75" s="268"/>
      <c r="F75" s="64"/>
      <c r="G75" s="64"/>
      <c r="H75" s="82"/>
      <c r="I75" s="81"/>
      <c r="J75" s="64"/>
      <c r="K75" s="80"/>
      <c r="L75" s="79">
        <f t="shared" si="28"/>
        <v>0</v>
      </c>
      <c r="M75" s="64"/>
      <c r="N75" s="64"/>
      <c r="O75" s="64"/>
      <c r="P75" s="80"/>
      <c r="Q75" s="79">
        <f t="shared" si="29"/>
        <v>0</v>
      </c>
      <c r="R75" s="269" t="s">
        <v>282</v>
      </c>
      <c r="S75" s="270"/>
      <c r="T75" s="266"/>
      <c r="U75" s="267"/>
      <c r="V75" s="267"/>
      <c r="W75" s="268"/>
      <c r="X75" s="271">
        <f>IFERROR(INDEX(Table394123[],MATCH(R75,Table394123[Film Type],),3),"")</f>
        <v>0</v>
      </c>
      <c r="Y75" s="271"/>
      <c r="Z75" s="78" t="s">
        <v>55</v>
      </c>
      <c r="AA75" s="78" t="s">
        <v>55</v>
      </c>
      <c r="AB75" s="77"/>
      <c r="AC75" s="76"/>
      <c r="AD75" s="75">
        <f t="shared" si="30"/>
        <v>0</v>
      </c>
      <c r="AG75" s="74">
        <f t="shared" si="31"/>
        <v>0</v>
      </c>
      <c r="AK75" s="65">
        <f t="shared" si="32"/>
        <v>0</v>
      </c>
      <c r="AL75" s="65">
        <f t="shared" si="33"/>
        <v>0</v>
      </c>
      <c r="AM75" s="65">
        <f t="shared" si="34"/>
        <v>0</v>
      </c>
      <c r="AN75" s="73">
        <f t="shared" si="35"/>
        <v>0</v>
      </c>
      <c r="AO75" s="65" t="str">
        <f t="shared" si="36"/>
        <v>0.00</v>
      </c>
      <c r="AP75" s="65" t="str">
        <f t="shared" si="37"/>
        <v>0</v>
      </c>
      <c r="AQ75" s="71">
        <f t="shared" si="38"/>
        <v>0</v>
      </c>
      <c r="AR75" s="72">
        <f t="shared" si="39"/>
        <v>0</v>
      </c>
      <c r="AS75" s="71">
        <f t="shared" si="40"/>
        <v>0</v>
      </c>
      <c r="AT75" s="70">
        <f t="shared" si="41"/>
        <v>0</v>
      </c>
      <c r="AU75" s="70">
        <f t="shared" si="42"/>
        <v>0</v>
      </c>
      <c r="AV75" s="2"/>
      <c r="AW75" s="66">
        <f t="shared" si="43"/>
        <v>0</v>
      </c>
      <c r="AX75" s="68">
        <f>_xlfn.IFNA(INDEX(Table394123[I $ p/ft2],MATCH(R75,Table394123[Film Type],0)),1.75)</f>
        <v>1.75</v>
      </c>
      <c r="AY75" s="69">
        <f>VLOOKUP(Z75,Table134931[#All],2,FALSE)</f>
        <v>1</v>
      </c>
      <c r="AZ75" s="68">
        <f t="shared" si="44"/>
        <v>1.75</v>
      </c>
      <c r="BA75" s="65">
        <f t="shared" si="45"/>
        <v>0</v>
      </c>
      <c r="BB75" s="64">
        <f t="shared" si="46"/>
        <v>0</v>
      </c>
      <c r="BC75" s="67">
        <f t="shared" si="47"/>
        <v>0</v>
      </c>
      <c r="BD75" s="66">
        <f t="shared" si="48"/>
        <v>0</v>
      </c>
      <c r="BE75" s="64"/>
      <c r="BF75" s="66">
        <f t="shared" si="49"/>
        <v>0</v>
      </c>
      <c r="BG75" s="66">
        <f t="shared" si="50"/>
        <v>0</v>
      </c>
      <c r="BH75" s="65">
        <f>VLOOKUP(AA75,Table155133[#All],2,FALSE)</f>
        <v>1</v>
      </c>
      <c r="BI75" s="65">
        <f t="shared" si="51"/>
        <v>0</v>
      </c>
      <c r="BJ75" s="64" t="str">
        <f t="shared" si="52"/>
        <v>0</v>
      </c>
      <c r="CK75" s="86" t="s">
        <v>130</v>
      </c>
      <c r="CL75" s="2">
        <v>1.41</v>
      </c>
      <c r="CM75" s="2">
        <f t="shared" si="53"/>
        <v>1.5509999999999999</v>
      </c>
      <c r="CN75" s="10">
        <v>1.5</v>
      </c>
      <c r="CO75" s="84">
        <f t="shared" si="54"/>
        <v>0</v>
      </c>
    </row>
    <row r="76" spans="1:93" ht="11.1" hidden="1" customHeight="1" x14ac:dyDescent="0.5">
      <c r="A76" s="83"/>
      <c r="B76" s="266"/>
      <c r="C76" s="267"/>
      <c r="D76" s="267"/>
      <c r="E76" s="268"/>
      <c r="F76" s="64"/>
      <c r="G76" s="64"/>
      <c r="H76" s="82"/>
      <c r="I76" s="81"/>
      <c r="J76" s="64"/>
      <c r="K76" s="80"/>
      <c r="L76" s="79">
        <f t="shared" si="28"/>
        <v>0</v>
      </c>
      <c r="M76" s="64"/>
      <c r="N76" s="64"/>
      <c r="O76" s="64"/>
      <c r="P76" s="80"/>
      <c r="Q76" s="79">
        <f t="shared" si="29"/>
        <v>0</v>
      </c>
      <c r="R76" s="269" t="s">
        <v>282</v>
      </c>
      <c r="S76" s="270"/>
      <c r="T76" s="266"/>
      <c r="U76" s="267"/>
      <c r="V76" s="267"/>
      <c r="W76" s="268"/>
      <c r="X76" s="271">
        <f>IFERROR(INDEX(Table394123[],MATCH(R76,Table394123[Film Type],),3),"")</f>
        <v>0</v>
      </c>
      <c r="Y76" s="271"/>
      <c r="Z76" s="78" t="s">
        <v>55</v>
      </c>
      <c r="AA76" s="78" t="s">
        <v>55</v>
      </c>
      <c r="AB76" s="77"/>
      <c r="AC76" s="76"/>
      <c r="AD76" s="75">
        <f t="shared" si="30"/>
        <v>0</v>
      </c>
      <c r="AG76" s="74">
        <f t="shared" si="31"/>
        <v>0</v>
      </c>
      <c r="AK76" s="65">
        <f t="shared" si="32"/>
        <v>0</v>
      </c>
      <c r="AL76" s="65">
        <f t="shared" si="33"/>
        <v>0</v>
      </c>
      <c r="AM76" s="65">
        <f t="shared" si="34"/>
        <v>0</v>
      </c>
      <c r="AN76" s="73">
        <f t="shared" si="35"/>
        <v>0</v>
      </c>
      <c r="AO76" s="65" t="str">
        <f t="shared" si="36"/>
        <v>0.00</v>
      </c>
      <c r="AP76" s="65" t="str">
        <f t="shared" si="37"/>
        <v>0</v>
      </c>
      <c r="AQ76" s="71">
        <f t="shared" si="38"/>
        <v>0</v>
      </c>
      <c r="AR76" s="72">
        <f t="shared" si="39"/>
        <v>0</v>
      </c>
      <c r="AS76" s="71">
        <f t="shared" si="40"/>
        <v>0</v>
      </c>
      <c r="AT76" s="70">
        <f t="shared" si="41"/>
        <v>0</v>
      </c>
      <c r="AU76" s="70">
        <f t="shared" si="42"/>
        <v>0</v>
      </c>
      <c r="AV76" s="2"/>
      <c r="AW76" s="66">
        <f t="shared" si="43"/>
        <v>0</v>
      </c>
      <c r="AX76" s="68">
        <f>_xlfn.IFNA(INDEX(Table394123[I $ p/ft2],MATCH(R76,Table394123[Film Type],0)),1.75)</f>
        <v>1.75</v>
      </c>
      <c r="AY76" s="69">
        <f>VLOOKUP(Z76,Table134931[#All],2,FALSE)</f>
        <v>1</v>
      </c>
      <c r="AZ76" s="68">
        <f t="shared" si="44"/>
        <v>1.75</v>
      </c>
      <c r="BA76" s="65">
        <f t="shared" si="45"/>
        <v>0</v>
      </c>
      <c r="BB76" s="64">
        <f t="shared" si="46"/>
        <v>0</v>
      </c>
      <c r="BC76" s="67">
        <f t="shared" si="47"/>
        <v>0</v>
      </c>
      <c r="BD76" s="66">
        <f t="shared" si="48"/>
        <v>0</v>
      </c>
      <c r="BE76" s="64"/>
      <c r="BF76" s="66">
        <f t="shared" si="49"/>
        <v>0</v>
      </c>
      <c r="BG76" s="66">
        <f t="shared" si="50"/>
        <v>0</v>
      </c>
      <c r="BH76" s="65">
        <f>VLOOKUP(AA76,Table155133[#All],2,FALSE)</f>
        <v>1</v>
      </c>
      <c r="BI76" s="65">
        <f t="shared" si="51"/>
        <v>0</v>
      </c>
      <c r="BJ76" s="64" t="str">
        <f t="shared" si="52"/>
        <v>0</v>
      </c>
      <c r="CK76" s="86" t="s">
        <v>129</v>
      </c>
      <c r="CL76" s="2">
        <v>1.41</v>
      </c>
      <c r="CM76" s="2">
        <f t="shared" si="53"/>
        <v>1.5509999999999999</v>
      </c>
      <c r="CN76" s="10">
        <v>1.5</v>
      </c>
      <c r="CO76" s="84">
        <f t="shared" si="54"/>
        <v>0</v>
      </c>
    </row>
    <row r="77" spans="1:93" ht="11.1" hidden="1" customHeight="1" x14ac:dyDescent="0.5">
      <c r="A77" s="83"/>
      <c r="B77" s="266"/>
      <c r="C77" s="267"/>
      <c r="D77" s="267"/>
      <c r="E77" s="268"/>
      <c r="F77" s="64"/>
      <c r="G77" s="64"/>
      <c r="H77" s="82"/>
      <c r="I77" s="81"/>
      <c r="J77" s="64"/>
      <c r="K77" s="80"/>
      <c r="L77" s="79">
        <f t="shared" si="28"/>
        <v>0</v>
      </c>
      <c r="M77" s="64"/>
      <c r="N77" s="64"/>
      <c r="O77" s="64"/>
      <c r="P77" s="80"/>
      <c r="Q77" s="79">
        <f t="shared" si="29"/>
        <v>0</v>
      </c>
      <c r="R77" s="269" t="s">
        <v>282</v>
      </c>
      <c r="S77" s="270"/>
      <c r="T77" s="266"/>
      <c r="U77" s="267"/>
      <c r="V77" s="267"/>
      <c r="W77" s="268"/>
      <c r="X77" s="271">
        <f>IFERROR(INDEX(Table394123[],MATCH(R77,Table394123[Film Type],),3),"")</f>
        <v>0</v>
      </c>
      <c r="Y77" s="271"/>
      <c r="Z77" s="78" t="s">
        <v>55</v>
      </c>
      <c r="AA77" s="78" t="s">
        <v>55</v>
      </c>
      <c r="AB77" s="77"/>
      <c r="AC77" s="76"/>
      <c r="AD77" s="75">
        <f t="shared" si="30"/>
        <v>0</v>
      </c>
      <c r="AG77" s="74">
        <f t="shared" si="31"/>
        <v>0</v>
      </c>
      <c r="AK77" s="65">
        <f t="shared" si="32"/>
        <v>0</v>
      </c>
      <c r="AL77" s="65">
        <f t="shared" si="33"/>
        <v>0</v>
      </c>
      <c r="AM77" s="65">
        <f t="shared" si="34"/>
        <v>0</v>
      </c>
      <c r="AN77" s="73">
        <f t="shared" si="35"/>
        <v>0</v>
      </c>
      <c r="AO77" s="65" t="str">
        <f t="shared" si="36"/>
        <v>0.00</v>
      </c>
      <c r="AP77" s="65" t="str">
        <f t="shared" si="37"/>
        <v>0</v>
      </c>
      <c r="AQ77" s="71">
        <f t="shared" si="38"/>
        <v>0</v>
      </c>
      <c r="AR77" s="72">
        <f t="shared" si="39"/>
        <v>0</v>
      </c>
      <c r="AS77" s="71">
        <f t="shared" si="40"/>
        <v>0</v>
      </c>
      <c r="AT77" s="70">
        <f t="shared" si="41"/>
        <v>0</v>
      </c>
      <c r="AU77" s="70">
        <f t="shared" si="42"/>
        <v>0</v>
      </c>
      <c r="AV77" s="2"/>
      <c r="AW77" s="66">
        <f t="shared" si="43"/>
        <v>0</v>
      </c>
      <c r="AX77" s="68">
        <f>_xlfn.IFNA(INDEX(Table394123[I $ p/ft2],MATCH(R77,Table394123[Film Type],0)),1.75)</f>
        <v>1.75</v>
      </c>
      <c r="AY77" s="69">
        <f>VLOOKUP(Z77,Table134931[#All],2,FALSE)</f>
        <v>1</v>
      </c>
      <c r="AZ77" s="68">
        <f t="shared" si="44"/>
        <v>1.75</v>
      </c>
      <c r="BA77" s="65">
        <f t="shared" si="45"/>
        <v>0</v>
      </c>
      <c r="BB77" s="64">
        <f t="shared" si="46"/>
        <v>0</v>
      </c>
      <c r="BC77" s="67">
        <f t="shared" si="47"/>
        <v>0</v>
      </c>
      <c r="BD77" s="66">
        <f t="shared" si="48"/>
        <v>0</v>
      </c>
      <c r="BE77" s="64"/>
      <c r="BF77" s="66">
        <f t="shared" si="49"/>
        <v>0</v>
      </c>
      <c r="BG77" s="66">
        <f t="shared" si="50"/>
        <v>0</v>
      </c>
      <c r="BH77" s="65">
        <f>VLOOKUP(AA77,Table155133[#All],2,FALSE)</f>
        <v>1</v>
      </c>
      <c r="BI77" s="65">
        <f t="shared" si="51"/>
        <v>0</v>
      </c>
      <c r="BJ77" s="64" t="str">
        <f t="shared" si="52"/>
        <v>0</v>
      </c>
      <c r="CK77" s="86" t="s">
        <v>128</v>
      </c>
      <c r="CL77" s="2">
        <v>3.8</v>
      </c>
      <c r="CM77" s="2">
        <f t="shared" si="53"/>
        <v>4.18</v>
      </c>
      <c r="CN77" s="10">
        <v>1.5</v>
      </c>
      <c r="CO77" s="84">
        <f t="shared" si="54"/>
        <v>0</v>
      </c>
    </row>
    <row r="78" spans="1:93" ht="11.1" hidden="1" customHeight="1" x14ac:dyDescent="0.5">
      <c r="A78" s="83"/>
      <c r="B78" s="266"/>
      <c r="C78" s="267"/>
      <c r="D78" s="267"/>
      <c r="E78" s="268"/>
      <c r="F78" s="64"/>
      <c r="G78" s="64"/>
      <c r="H78" s="82"/>
      <c r="I78" s="81"/>
      <c r="J78" s="64"/>
      <c r="K78" s="80"/>
      <c r="L78" s="79">
        <f t="shared" si="28"/>
        <v>0</v>
      </c>
      <c r="M78" s="64"/>
      <c r="N78" s="64"/>
      <c r="O78" s="64"/>
      <c r="P78" s="80"/>
      <c r="Q78" s="79">
        <f t="shared" si="29"/>
        <v>0</v>
      </c>
      <c r="R78" s="269" t="s">
        <v>282</v>
      </c>
      <c r="S78" s="270"/>
      <c r="T78" s="266"/>
      <c r="U78" s="267"/>
      <c r="V78" s="267"/>
      <c r="W78" s="268"/>
      <c r="X78" s="271">
        <f>IFERROR(INDEX(Table394123[],MATCH(R78,Table394123[Film Type],),3),"")</f>
        <v>0</v>
      </c>
      <c r="Y78" s="271"/>
      <c r="Z78" s="78" t="s">
        <v>55</v>
      </c>
      <c r="AA78" s="78" t="s">
        <v>55</v>
      </c>
      <c r="AB78" s="77"/>
      <c r="AC78" s="76"/>
      <c r="AD78" s="75">
        <f t="shared" si="30"/>
        <v>0</v>
      </c>
      <c r="AG78" s="74">
        <f t="shared" si="31"/>
        <v>0</v>
      </c>
      <c r="AK78" s="65">
        <f t="shared" si="32"/>
        <v>0</v>
      </c>
      <c r="AL78" s="65">
        <f t="shared" si="33"/>
        <v>0</v>
      </c>
      <c r="AM78" s="65">
        <f t="shared" si="34"/>
        <v>0</v>
      </c>
      <c r="AN78" s="73">
        <f t="shared" si="35"/>
        <v>0</v>
      </c>
      <c r="AO78" s="65" t="str">
        <f t="shared" si="36"/>
        <v>0.00</v>
      </c>
      <c r="AP78" s="65" t="str">
        <f t="shared" si="37"/>
        <v>0</v>
      </c>
      <c r="AQ78" s="71">
        <f t="shared" si="38"/>
        <v>0</v>
      </c>
      <c r="AR78" s="72">
        <f t="shared" si="39"/>
        <v>0</v>
      </c>
      <c r="AS78" s="71">
        <f t="shared" si="40"/>
        <v>0</v>
      </c>
      <c r="AT78" s="70">
        <f t="shared" si="41"/>
        <v>0</v>
      </c>
      <c r="AU78" s="70">
        <f t="shared" si="42"/>
        <v>0</v>
      </c>
      <c r="AV78" s="2"/>
      <c r="AW78" s="66">
        <f t="shared" si="43"/>
        <v>0</v>
      </c>
      <c r="AX78" s="68">
        <f>_xlfn.IFNA(INDEX(Table394123[I $ p/ft2],MATCH(R78,Table394123[Film Type],0)),1.75)</f>
        <v>1.75</v>
      </c>
      <c r="AY78" s="69">
        <f>VLOOKUP(Z78,Table134931[#All],2,FALSE)</f>
        <v>1</v>
      </c>
      <c r="AZ78" s="68">
        <f t="shared" si="44"/>
        <v>1.75</v>
      </c>
      <c r="BA78" s="65">
        <f t="shared" si="45"/>
        <v>0</v>
      </c>
      <c r="BB78" s="64">
        <f t="shared" si="46"/>
        <v>0</v>
      </c>
      <c r="BC78" s="67">
        <f t="shared" si="47"/>
        <v>0</v>
      </c>
      <c r="BD78" s="66">
        <f t="shared" si="48"/>
        <v>0</v>
      </c>
      <c r="BE78" s="64"/>
      <c r="BF78" s="66">
        <f t="shared" si="49"/>
        <v>0</v>
      </c>
      <c r="BG78" s="66">
        <f t="shared" si="50"/>
        <v>0</v>
      </c>
      <c r="BH78" s="65">
        <f>VLOOKUP(AA78,Table155133[#All],2,FALSE)</f>
        <v>1</v>
      </c>
      <c r="BI78" s="65">
        <f t="shared" si="51"/>
        <v>0</v>
      </c>
      <c r="BJ78" s="64" t="str">
        <f t="shared" si="52"/>
        <v>0</v>
      </c>
      <c r="CK78" s="86" t="s">
        <v>127</v>
      </c>
      <c r="CL78" s="2">
        <v>3.8</v>
      </c>
      <c r="CM78" s="2">
        <f t="shared" si="53"/>
        <v>4.18</v>
      </c>
      <c r="CN78" s="10">
        <v>1.5</v>
      </c>
      <c r="CO78" s="84">
        <f t="shared" si="54"/>
        <v>0</v>
      </c>
    </row>
    <row r="79" spans="1:93" ht="11.1" hidden="1" customHeight="1" x14ac:dyDescent="0.5">
      <c r="A79" s="83"/>
      <c r="B79" s="266"/>
      <c r="C79" s="267"/>
      <c r="D79" s="267"/>
      <c r="E79" s="268"/>
      <c r="F79" s="64"/>
      <c r="G79" s="64"/>
      <c r="H79" s="82"/>
      <c r="I79" s="81"/>
      <c r="J79" s="64"/>
      <c r="K79" s="80"/>
      <c r="L79" s="79">
        <f t="shared" si="28"/>
        <v>0</v>
      </c>
      <c r="M79" s="64"/>
      <c r="N79" s="64"/>
      <c r="O79" s="64"/>
      <c r="P79" s="80"/>
      <c r="Q79" s="79">
        <f t="shared" si="29"/>
        <v>0</v>
      </c>
      <c r="R79" s="269" t="s">
        <v>282</v>
      </c>
      <c r="S79" s="270"/>
      <c r="T79" s="266"/>
      <c r="U79" s="267"/>
      <c r="V79" s="267"/>
      <c r="W79" s="268"/>
      <c r="X79" s="271">
        <f>IFERROR(INDEX(Table394123[],MATCH(R79,Table394123[Film Type],),3),"")</f>
        <v>0</v>
      </c>
      <c r="Y79" s="271"/>
      <c r="Z79" s="78" t="s">
        <v>55</v>
      </c>
      <c r="AA79" s="78" t="s">
        <v>55</v>
      </c>
      <c r="AB79" s="77"/>
      <c r="AC79" s="76"/>
      <c r="AD79" s="75">
        <f t="shared" si="30"/>
        <v>0</v>
      </c>
      <c r="AG79" s="74">
        <f t="shared" si="31"/>
        <v>0</v>
      </c>
      <c r="AK79" s="65">
        <f t="shared" si="32"/>
        <v>0</v>
      </c>
      <c r="AL79" s="65">
        <f t="shared" si="33"/>
        <v>0</v>
      </c>
      <c r="AM79" s="65">
        <f t="shared" si="34"/>
        <v>0</v>
      </c>
      <c r="AN79" s="73">
        <f t="shared" si="35"/>
        <v>0</v>
      </c>
      <c r="AO79" s="65" t="str">
        <f t="shared" si="36"/>
        <v>0.00</v>
      </c>
      <c r="AP79" s="65" t="str">
        <f t="shared" si="37"/>
        <v>0</v>
      </c>
      <c r="AQ79" s="71">
        <f t="shared" si="38"/>
        <v>0</v>
      </c>
      <c r="AR79" s="72">
        <f t="shared" si="39"/>
        <v>0</v>
      </c>
      <c r="AS79" s="71">
        <f t="shared" si="40"/>
        <v>0</v>
      </c>
      <c r="AT79" s="70">
        <f t="shared" si="41"/>
        <v>0</v>
      </c>
      <c r="AU79" s="70">
        <f t="shared" si="42"/>
        <v>0</v>
      </c>
      <c r="AV79" s="2"/>
      <c r="AW79" s="66">
        <f t="shared" si="43"/>
        <v>0</v>
      </c>
      <c r="AX79" s="68">
        <f>_xlfn.IFNA(INDEX(Table394123[I $ p/ft2],MATCH(R79,Table394123[Film Type],0)),1.75)</f>
        <v>1.75</v>
      </c>
      <c r="AY79" s="69">
        <f>VLOOKUP(Z79,Table134931[#All],2,FALSE)</f>
        <v>1</v>
      </c>
      <c r="AZ79" s="68">
        <f t="shared" si="44"/>
        <v>1.75</v>
      </c>
      <c r="BA79" s="65">
        <f t="shared" si="45"/>
        <v>0</v>
      </c>
      <c r="BB79" s="64">
        <f t="shared" si="46"/>
        <v>0</v>
      </c>
      <c r="BC79" s="67">
        <f t="shared" si="47"/>
        <v>0</v>
      </c>
      <c r="BD79" s="66">
        <f t="shared" si="48"/>
        <v>0</v>
      </c>
      <c r="BE79" s="64"/>
      <c r="BF79" s="66">
        <f t="shared" si="49"/>
        <v>0</v>
      </c>
      <c r="BG79" s="66">
        <f t="shared" si="50"/>
        <v>0</v>
      </c>
      <c r="BH79" s="65">
        <f>VLOOKUP(AA79,Table155133[#All],2,FALSE)</f>
        <v>1</v>
      </c>
      <c r="BI79" s="65">
        <f t="shared" si="51"/>
        <v>0</v>
      </c>
      <c r="BJ79" s="64" t="str">
        <f t="shared" si="52"/>
        <v>0</v>
      </c>
      <c r="CK79" s="86" t="s">
        <v>126</v>
      </c>
      <c r="CL79" s="2">
        <v>1.98</v>
      </c>
      <c r="CM79" s="2">
        <f t="shared" si="53"/>
        <v>2.1779999999999999</v>
      </c>
      <c r="CN79" s="10">
        <v>1.5</v>
      </c>
      <c r="CO79" s="84">
        <f t="shared" si="54"/>
        <v>0</v>
      </c>
    </row>
    <row r="80" spans="1:93" ht="11.1" hidden="1" customHeight="1" x14ac:dyDescent="0.5">
      <c r="A80" s="83"/>
      <c r="B80" s="266"/>
      <c r="C80" s="267"/>
      <c r="D80" s="267"/>
      <c r="E80" s="268"/>
      <c r="F80" s="64"/>
      <c r="G80" s="64"/>
      <c r="H80" s="82"/>
      <c r="I80" s="81"/>
      <c r="J80" s="64"/>
      <c r="K80" s="80"/>
      <c r="L80" s="79">
        <f t="shared" si="28"/>
        <v>0</v>
      </c>
      <c r="M80" s="64"/>
      <c r="N80" s="64"/>
      <c r="O80" s="64"/>
      <c r="P80" s="80"/>
      <c r="Q80" s="79">
        <f t="shared" si="29"/>
        <v>0</v>
      </c>
      <c r="R80" s="269" t="s">
        <v>282</v>
      </c>
      <c r="S80" s="270"/>
      <c r="T80" s="266"/>
      <c r="U80" s="267"/>
      <c r="V80" s="267"/>
      <c r="W80" s="268"/>
      <c r="X80" s="271">
        <f>IFERROR(INDEX(Table394123[],MATCH(R80,Table394123[Film Type],),3),"")</f>
        <v>0</v>
      </c>
      <c r="Y80" s="271"/>
      <c r="Z80" s="78" t="s">
        <v>55</v>
      </c>
      <c r="AA80" s="78" t="s">
        <v>55</v>
      </c>
      <c r="AB80" s="77"/>
      <c r="AC80" s="76"/>
      <c r="AD80" s="75">
        <f t="shared" si="30"/>
        <v>0</v>
      </c>
      <c r="AG80" s="74">
        <f t="shared" si="31"/>
        <v>0</v>
      </c>
      <c r="AK80" s="65">
        <f t="shared" si="32"/>
        <v>0</v>
      </c>
      <c r="AL80" s="65">
        <f t="shared" si="33"/>
        <v>0</v>
      </c>
      <c r="AM80" s="65">
        <f t="shared" si="34"/>
        <v>0</v>
      </c>
      <c r="AN80" s="73">
        <f t="shared" si="35"/>
        <v>0</v>
      </c>
      <c r="AO80" s="65" t="str">
        <f t="shared" si="36"/>
        <v>0.00</v>
      </c>
      <c r="AP80" s="65" t="str">
        <f t="shared" si="37"/>
        <v>0</v>
      </c>
      <c r="AQ80" s="71">
        <f t="shared" si="38"/>
        <v>0</v>
      </c>
      <c r="AR80" s="72">
        <f t="shared" si="39"/>
        <v>0</v>
      </c>
      <c r="AS80" s="71">
        <f t="shared" si="40"/>
        <v>0</v>
      </c>
      <c r="AT80" s="70">
        <f t="shared" si="41"/>
        <v>0</v>
      </c>
      <c r="AU80" s="70">
        <f t="shared" si="42"/>
        <v>0</v>
      </c>
      <c r="AV80" s="2"/>
      <c r="AW80" s="66">
        <f t="shared" si="43"/>
        <v>0</v>
      </c>
      <c r="AX80" s="68">
        <f>_xlfn.IFNA(INDEX(Table394123[I $ p/ft2],MATCH(R80,Table394123[Film Type],0)),1.75)</f>
        <v>1.75</v>
      </c>
      <c r="AY80" s="69">
        <f>VLOOKUP(Z80,Table134931[#All],2,FALSE)</f>
        <v>1</v>
      </c>
      <c r="AZ80" s="68">
        <f t="shared" si="44"/>
        <v>1.75</v>
      </c>
      <c r="BA80" s="65">
        <f t="shared" si="45"/>
        <v>0</v>
      </c>
      <c r="BB80" s="64">
        <f t="shared" si="46"/>
        <v>0</v>
      </c>
      <c r="BC80" s="67">
        <f t="shared" si="47"/>
        <v>0</v>
      </c>
      <c r="BD80" s="66">
        <f t="shared" si="48"/>
        <v>0</v>
      </c>
      <c r="BE80" s="64"/>
      <c r="BF80" s="66">
        <f t="shared" si="49"/>
        <v>0</v>
      </c>
      <c r="BG80" s="66">
        <f t="shared" si="50"/>
        <v>0</v>
      </c>
      <c r="BH80" s="65">
        <f>VLOOKUP(AA80,Table155133[#All],2,FALSE)</f>
        <v>1</v>
      </c>
      <c r="BI80" s="65">
        <f t="shared" si="51"/>
        <v>0</v>
      </c>
      <c r="BJ80" s="64" t="str">
        <f t="shared" si="52"/>
        <v>0</v>
      </c>
      <c r="CK80" s="86" t="s">
        <v>125</v>
      </c>
      <c r="CL80" s="2">
        <v>1.98</v>
      </c>
      <c r="CM80" s="2">
        <f t="shared" si="53"/>
        <v>2.1779999999999999</v>
      </c>
      <c r="CN80" s="10">
        <v>1.5</v>
      </c>
      <c r="CO80" s="84">
        <f t="shared" si="54"/>
        <v>0</v>
      </c>
    </row>
    <row r="81" spans="1:93" ht="11.1" hidden="1" customHeight="1" x14ac:dyDescent="0.5">
      <c r="A81" s="83"/>
      <c r="B81" s="266"/>
      <c r="C81" s="267"/>
      <c r="D81" s="267"/>
      <c r="E81" s="268"/>
      <c r="F81" s="64"/>
      <c r="G81" s="64"/>
      <c r="H81" s="82"/>
      <c r="I81" s="81"/>
      <c r="J81" s="64"/>
      <c r="K81" s="80"/>
      <c r="L81" s="79">
        <f t="shared" si="28"/>
        <v>0</v>
      </c>
      <c r="M81" s="64"/>
      <c r="N81" s="64"/>
      <c r="O81" s="64"/>
      <c r="P81" s="80"/>
      <c r="Q81" s="79">
        <f t="shared" si="29"/>
        <v>0</v>
      </c>
      <c r="R81" s="269" t="s">
        <v>282</v>
      </c>
      <c r="S81" s="270"/>
      <c r="T81" s="266"/>
      <c r="U81" s="267"/>
      <c r="V81" s="267"/>
      <c r="W81" s="268"/>
      <c r="X81" s="271">
        <f>IFERROR(INDEX(Table394123[],MATCH(R81,Table394123[Film Type],),3),"")</f>
        <v>0</v>
      </c>
      <c r="Y81" s="271"/>
      <c r="Z81" s="78" t="s">
        <v>55</v>
      </c>
      <c r="AA81" s="78" t="s">
        <v>55</v>
      </c>
      <c r="AB81" s="77"/>
      <c r="AC81" s="76"/>
      <c r="AD81" s="75">
        <f t="shared" si="30"/>
        <v>0</v>
      </c>
      <c r="AG81" s="74">
        <f t="shared" si="31"/>
        <v>0</v>
      </c>
      <c r="AK81" s="65">
        <f t="shared" si="32"/>
        <v>0</v>
      </c>
      <c r="AL81" s="65">
        <f t="shared" si="33"/>
        <v>0</v>
      </c>
      <c r="AM81" s="65">
        <f t="shared" si="34"/>
        <v>0</v>
      </c>
      <c r="AN81" s="73">
        <f t="shared" si="35"/>
        <v>0</v>
      </c>
      <c r="AO81" s="65" t="str">
        <f t="shared" si="36"/>
        <v>0.00</v>
      </c>
      <c r="AP81" s="65" t="str">
        <f t="shared" si="37"/>
        <v>0</v>
      </c>
      <c r="AQ81" s="71">
        <f t="shared" si="38"/>
        <v>0</v>
      </c>
      <c r="AR81" s="72">
        <f t="shared" si="39"/>
        <v>0</v>
      </c>
      <c r="AS81" s="71">
        <f t="shared" si="40"/>
        <v>0</v>
      </c>
      <c r="AT81" s="70">
        <f t="shared" si="41"/>
        <v>0</v>
      </c>
      <c r="AU81" s="70">
        <f t="shared" si="42"/>
        <v>0</v>
      </c>
      <c r="AV81" s="2"/>
      <c r="AW81" s="66">
        <f t="shared" si="43"/>
        <v>0</v>
      </c>
      <c r="AX81" s="68">
        <f>_xlfn.IFNA(INDEX(Table394123[I $ p/ft2],MATCH(R81,Table394123[Film Type],0)),1.75)</f>
        <v>1.75</v>
      </c>
      <c r="AY81" s="69">
        <f>VLOOKUP(Z81,Table134931[#All],2,FALSE)</f>
        <v>1</v>
      </c>
      <c r="AZ81" s="68">
        <f t="shared" si="44"/>
        <v>1.75</v>
      </c>
      <c r="BA81" s="65">
        <f t="shared" si="45"/>
        <v>0</v>
      </c>
      <c r="BB81" s="64">
        <f t="shared" si="46"/>
        <v>0</v>
      </c>
      <c r="BC81" s="67">
        <f t="shared" si="47"/>
        <v>0</v>
      </c>
      <c r="BD81" s="66">
        <f t="shared" si="48"/>
        <v>0</v>
      </c>
      <c r="BE81" s="64"/>
      <c r="BF81" s="66">
        <f t="shared" si="49"/>
        <v>0</v>
      </c>
      <c r="BG81" s="66">
        <f t="shared" si="50"/>
        <v>0</v>
      </c>
      <c r="BH81" s="65">
        <f>VLOOKUP(AA81,Table155133[#All],2,FALSE)</f>
        <v>1</v>
      </c>
      <c r="BI81" s="65">
        <f t="shared" si="51"/>
        <v>0</v>
      </c>
      <c r="BJ81" s="64" t="str">
        <f t="shared" si="52"/>
        <v>0</v>
      </c>
      <c r="CK81" s="86" t="s">
        <v>124</v>
      </c>
      <c r="CL81" s="2">
        <v>1.98</v>
      </c>
      <c r="CM81" s="2">
        <f t="shared" si="53"/>
        <v>2.1779999999999999</v>
      </c>
      <c r="CN81" s="10">
        <v>1.5</v>
      </c>
      <c r="CO81" s="84">
        <f t="shared" si="54"/>
        <v>0</v>
      </c>
    </row>
    <row r="82" spans="1:93" ht="11.1" hidden="1" customHeight="1" x14ac:dyDescent="0.5">
      <c r="A82" s="83"/>
      <c r="B82" s="266"/>
      <c r="C82" s="267"/>
      <c r="D82" s="267"/>
      <c r="E82" s="268"/>
      <c r="F82" s="64"/>
      <c r="G82" s="64"/>
      <c r="H82" s="82"/>
      <c r="I82" s="81"/>
      <c r="J82" s="64"/>
      <c r="K82" s="80"/>
      <c r="L82" s="79">
        <f t="shared" si="28"/>
        <v>0</v>
      </c>
      <c r="M82" s="64"/>
      <c r="N82" s="64"/>
      <c r="O82" s="64"/>
      <c r="P82" s="80"/>
      <c r="Q82" s="79">
        <f t="shared" si="29"/>
        <v>0</v>
      </c>
      <c r="R82" s="269" t="s">
        <v>282</v>
      </c>
      <c r="S82" s="270"/>
      <c r="T82" s="266"/>
      <c r="U82" s="267"/>
      <c r="V82" s="267"/>
      <c r="W82" s="268"/>
      <c r="X82" s="271">
        <f>IFERROR(INDEX(Table394123[],MATCH(R82,Table394123[Film Type],),3),"")</f>
        <v>0</v>
      </c>
      <c r="Y82" s="271"/>
      <c r="Z82" s="78" t="s">
        <v>55</v>
      </c>
      <c r="AA82" s="78" t="s">
        <v>55</v>
      </c>
      <c r="AB82" s="77"/>
      <c r="AC82" s="76"/>
      <c r="AD82" s="75">
        <f t="shared" si="30"/>
        <v>0</v>
      </c>
      <c r="AG82" s="74">
        <f t="shared" si="31"/>
        <v>0</v>
      </c>
      <c r="AK82" s="65">
        <f t="shared" si="32"/>
        <v>0</v>
      </c>
      <c r="AL82" s="65">
        <f t="shared" si="33"/>
        <v>0</v>
      </c>
      <c r="AM82" s="65">
        <f t="shared" si="34"/>
        <v>0</v>
      </c>
      <c r="AN82" s="73">
        <f t="shared" si="35"/>
        <v>0</v>
      </c>
      <c r="AO82" s="65" t="str">
        <f t="shared" si="36"/>
        <v>0.00</v>
      </c>
      <c r="AP82" s="65" t="str">
        <f t="shared" si="37"/>
        <v>0</v>
      </c>
      <c r="AQ82" s="71">
        <f t="shared" si="38"/>
        <v>0</v>
      </c>
      <c r="AR82" s="72">
        <f t="shared" si="39"/>
        <v>0</v>
      </c>
      <c r="AS82" s="71">
        <f t="shared" si="40"/>
        <v>0</v>
      </c>
      <c r="AT82" s="70">
        <f t="shared" si="41"/>
        <v>0</v>
      </c>
      <c r="AU82" s="70">
        <f t="shared" si="42"/>
        <v>0</v>
      </c>
      <c r="AV82" s="2"/>
      <c r="AW82" s="66">
        <f t="shared" si="43"/>
        <v>0</v>
      </c>
      <c r="AX82" s="68">
        <f>_xlfn.IFNA(INDEX(Table394123[I $ p/ft2],MATCH(R82,Table394123[Film Type],0)),1.75)</f>
        <v>1.75</v>
      </c>
      <c r="AY82" s="69">
        <f>VLOOKUP(Z82,Table134931[#All],2,FALSE)</f>
        <v>1</v>
      </c>
      <c r="AZ82" s="68">
        <f t="shared" si="44"/>
        <v>1.75</v>
      </c>
      <c r="BA82" s="65">
        <f t="shared" si="45"/>
        <v>0</v>
      </c>
      <c r="BB82" s="64">
        <f t="shared" si="46"/>
        <v>0</v>
      </c>
      <c r="BC82" s="67">
        <f t="shared" si="47"/>
        <v>0</v>
      </c>
      <c r="BD82" s="66">
        <f t="shared" si="48"/>
        <v>0</v>
      </c>
      <c r="BE82" s="64"/>
      <c r="BF82" s="66">
        <f t="shared" si="49"/>
        <v>0</v>
      </c>
      <c r="BG82" s="66">
        <f t="shared" si="50"/>
        <v>0</v>
      </c>
      <c r="BH82" s="65">
        <f>VLOOKUP(AA82,Table155133[#All],2,FALSE)</f>
        <v>1</v>
      </c>
      <c r="BI82" s="65">
        <f t="shared" si="51"/>
        <v>0</v>
      </c>
      <c r="BJ82" s="64" t="str">
        <f t="shared" si="52"/>
        <v>0</v>
      </c>
      <c r="CK82" s="86" t="s">
        <v>123</v>
      </c>
      <c r="CL82" s="2">
        <v>2.63</v>
      </c>
      <c r="CM82" s="2">
        <f t="shared" si="53"/>
        <v>2.8930000000000002</v>
      </c>
      <c r="CN82" s="87">
        <v>2</v>
      </c>
      <c r="CO82" s="84">
        <f t="shared" si="54"/>
        <v>0</v>
      </c>
    </row>
    <row r="83" spans="1:93" ht="11.1" hidden="1" customHeight="1" x14ac:dyDescent="0.5">
      <c r="A83" s="83"/>
      <c r="B83" s="266"/>
      <c r="C83" s="267"/>
      <c r="D83" s="267"/>
      <c r="E83" s="268"/>
      <c r="F83" s="64"/>
      <c r="G83" s="64"/>
      <c r="H83" s="82"/>
      <c r="I83" s="81"/>
      <c r="J83" s="64"/>
      <c r="K83" s="80"/>
      <c r="L83" s="79">
        <f t="shared" si="28"/>
        <v>0</v>
      </c>
      <c r="M83" s="64"/>
      <c r="N83" s="64"/>
      <c r="O83" s="64"/>
      <c r="P83" s="80"/>
      <c r="Q83" s="79">
        <f t="shared" si="29"/>
        <v>0</v>
      </c>
      <c r="R83" s="269" t="s">
        <v>282</v>
      </c>
      <c r="S83" s="270"/>
      <c r="T83" s="266"/>
      <c r="U83" s="267"/>
      <c r="V83" s="267"/>
      <c r="W83" s="268"/>
      <c r="X83" s="271">
        <f>IFERROR(INDEX(Table394123[],MATCH(R83,Table394123[Film Type],),3),"")</f>
        <v>0</v>
      </c>
      <c r="Y83" s="271"/>
      <c r="Z83" s="78" t="s">
        <v>55</v>
      </c>
      <c r="AA83" s="78" t="s">
        <v>55</v>
      </c>
      <c r="AB83" s="77"/>
      <c r="AC83" s="76"/>
      <c r="AD83" s="75">
        <f t="shared" si="30"/>
        <v>0</v>
      </c>
      <c r="AG83" s="74">
        <f t="shared" si="31"/>
        <v>0</v>
      </c>
      <c r="AK83" s="65">
        <f t="shared" si="32"/>
        <v>0</v>
      </c>
      <c r="AL83" s="65">
        <f t="shared" si="33"/>
        <v>0</v>
      </c>
      <c r="AM83" s="65">
        <f t="shared" si="34"/>
        <v>0</v>
      </c>
      <c r="AN83" s="73">
        <f t="shared" si="35"/>
        <v>0</v>
      </c>
      <c r="AO83" s="65" t="str">
        <f t="shared" si="36"/>
        <v>0.00</v>
      </c>
      <c r="AP83" s="65" t="str">
        <f t="shared" si="37"/>
        <v>0</v>
      </c>
      <c r="AQ83" s="71">
        <f t="shared" si="38"/>
        <v>0</v>
      </c>
      <c r="AR83" s="72">
        <f t="shared" si="39"/>
        <v>0</v>
      </c>
      <c r="AS83" s="71">
        <f t="shared" si="40"/>
        <v>0</v>
      </c>
      <c r="AT83" s="70">
        <f t="shared" si="41"/>
        <v>0</v>
      </c>
      <c r="AU83" s="70">
        <f t="shared" si="42"/>
        <v>0</v>
      </c>
      <c r="AV83" s="2"/>
      <c r="AW83" s="66">
        <f t="shared" si="43"/>
        <v>0</v>
      </c>
      <c r="AX83" s="68">
        <f>_xlfn.IFNA(INDEX(Table394123[I $ p/ft2],MATCH(R83,Table394123[Film Type],0)),1.75)</f>
        <v>1.75</v>
      </c>
      <c r="AY83" s="69">
        <f>VLOOKUP(Z83,Table134931[#All],2,FALSE)</f>
        <v>1</v>
      </c>
      <c r="AZ83" s="68">
        <f t="shared" si="44"/>
        <v>1.75</v>
      </c>
      <c r="BA83" s="65">
        <f t="shared" si="45"/>
        <v>0</v>
      </c>
      <c r="BB83" s="64">
        <f t="shared" si="46"/>
        <v>0</v>
      </c>
      <c r="BC83" s="67">
        <f t="shared" si="47"/>
        <v>0</v>
      </c>
      <c r="BD83" s="66">
        <f t="shared" si="48"/>
        <v>0</v>
      </c>
      <c r="BE83" s="64"/>
      <c r="BF83" s="66">
        <f t="shared" si="49"/>
        <v>0</v>
      </c>
      <c r="BG83" s="66">
        <f t="shared" si="50"/>
        <v>0</v>
      </c>
      <c r="BH83" s="65">
        <f>VLOOKUP(AA83,Table155133[#All],2,FALSE)</f>
        <v>1</v>
      </c>
      <c r="BI83" s="65">
        <f t="shared" si="51"/>
        <v>0</v>
      </c>
      <c r="BJ83" s="64" t="str">
        <f t="shared" si="52"/>
        <v>0</v>
      </c>
      <c r="CK83" s="86" t="s">
        <v>122</v>
      </c>
      <c r="CL83" s="2">
        <v>0.91</v>
      </c>
      <c r="CM83" s="2">
        <f t="shared" si="53"/>
        <v>1.0010000000000001</v>
      </c>
      <c r="CN83" s="10">
        <v>1.5</v>
      </c>
      <c r="CO83" s="84">
        <f t="shared" si="54"/>
        <v>0</v>
      </c>
    </row>
    <row r="84" spans="1:93" ht="11.1" hidden="1" customHeight="1" x14ac:dyDescent="0.5">
      <c r="A84" s="83"/>
      <c r="B84" s="266"/>
      <c r="C84" s="267"/>
      <c r="D84" s="267"/>
      <c r="E84" s="268"/>
      <c r="F84" s="64"/>
      <c r="G84" s="64"/>
      <c r="H84" s="82"/>
      <c r="I84" s="81"/>
      <c r="J84" s="64"/>
      <c r="K84" s="80"/>
      <c r="L84" s="79">
        <f t="shared" si="28"/>
        <v>0</v>
      </c>
      <c r="M84" s="64"/>
      <c r="N84" s="64"/>
      <c r="O84" s="64"/>
      <c r="P84" s="80"/>
      <c r="Q84" s="79">
        <f t="shared" si="29"/>
        <v>0</v>
      </c>
      <c r="R84" s="269" t="s">
        <v>282</v>
      </c>
      <c r="S84" s="270"/>
      <c r="T84" s="266"/>
      <c r="U84" s="267"/>
      <c r="V84" s="267"/>
      <c r="W84" s="268"/>
      <c r="X84" s="271">
        <f>IFERROR(INDEX(Table394123[],MATCH(R84,Table394123[Film Type],),3),"")</f>
        <v>0</v>
      </c>
      <c r="Y84" s="271"/>
      <c r="Z84" s="78" t="s">
        <v>55</v>
      </c>
      <c r="AA84" s="78" t="s">
        <v>55</v>
      </c>
      <c r="AB84" s="77"/>
      <c r="AC84" s="76"/>
      <c r="AD84" s="75">
        <f t="shared" si="30"/>
        <v>0</v>
      </c>
      <c r="AG84" s="74">
        <f t="shared" si="31"/>
        <v>0</v>
      </c>
      <c r="AK84" s="65">
        <f t="shared" si="32"/>
        <v>0</v>
      </c>
      <c r="AL84" s="65">
        <f t="shared" si="33"/>
        <v>0</v>
      </c>
      <c r="AM84" s="65">
        <f t="shared" si="34"/>
        <v>0</v>
      </c>
      <c r="AN84" s="73">
        <f t="shared" si="35"/>
        <v>0</v>
      </c>
      <c r="AO84" s="65" t="str">
        <f t="shared" si="36"/>
        <v>0.00</v>
      </c>
      <c r="AP84" s="65" t="str">
        <f t="shared" si="37"/>
        <v>0</v>
      </c>
      <c r="AQ84" s="71">
        <f t="shared" si="38"/>
        <v>0</v>
      </c>
      <c r="AR84" s="72">
        <f t="shared" si="39"/>
        <v>0</v>
      </c>
      <c r="AS84" s="71">
        <f t="shared" si="40"/>
        <v>0</v>
      </c>
      <c r="AT84" s="70">
        <f t="shared" si="41"/>
        <v>0</v>
      </c>
      <c r="AU84" s="70">
        <f t="shared" si="42"/>
        <v>0</v>
      </c>
      <c r="AV84" s="2"/>
      <c r="AW84" s="66">
        <f t="shared" si="43"/>
        <v>0</v>
      </c>
      <c r="AX84" s="68">
        <f>_xlfn.IFNA(INDEX(Table394123[I $ p/ft2],MATCH(R84,Table394123[Film Type],0)),1.75)</f>
        <v>1.75</v>
      </c>
      <c r="AY84" s="69">
        <f>VLOOKUP(Z84,Table134931[#All],2,FALSE)</f>
        <v>1</v>
      </c>
      <c r="AZ84" s="68">
        <f t="shared" si="44"/>
        <v>1.75</v>
      </c>
      <c r="BA84" s="65">
        <f t="shared" si="45"/>
        <v>0</v>
      </c>
      <c r="BB84" s="64">
        <f t="shared" si="46"/>
        <v>0</v>
      </c>
      <c r="BC84" s="67">
        <f t="shared" si="47"/>
        <v>0</v>
      </c>
      <c r="BD84" s="66">
        <f t="shared" si="48"/>
        <v>0</v>
      </c>
      <c r="BE84" s="64"/>
      <c r="BF84" s="66">
        <f t="shared" si="49"/>
        <v>0</v>
      </c>
      <c r="BG84" s="66">
        <f t="shared" si="50"/>
        <v>0</v>
      </c>
      <c r="BH84" s="65">
        <f>VLOOKUP(AA84,Table155133[#All],2,FALSE)</f>
        <v>1</v>
      </c>
      <c r="BI84" s="65">
        <f t="shared" si="51"/>
        <v>0</v>
      </c>
      <c r="BJ84" s="64" t="str">
        <f t="shared" si="52"/>
        <v>0</v>
      </c>
      <c r="CK84" s="86" t="s">
        <v>121</v>
      </c>
      <c r="CL84" s="2">
        <v>1.1000000000000001</v>
      </c>
      <c r="CM84" s="2">
        <f t="shared" si="53"/>
        <v>1.2100000000000002</v>
      </c>
      <c r="CN84" s="10">
        <v>1.5</v>
      </c>
      <c r="CO84" s="84">
        <f t="shared" si="54"/>
        <v>0</v>
      </c>
    </row>
    <row r="85" spans="1:93" ht="11.1" hidden="1" customHeight="1" x14ac:dyDescent="0.5">
      <c r="A85" s="83"/>
      <c r="B85" s="266"/>
      <c r="C85" s="267"/>
      <c r="D85" s="267"/>
      <c r="E85" s="268"/>
      <c r="F85" s="64"/>
      <c r="G85" s="64"/>
      <c r="H85" s="82"/>
      <c r="I85" s="81"/>
      <c r="J85" s="64"/>
      <c r="K85" s="80"/>
      <c r="L85" s="79">
        <f t="shared" si="28"/>
        <v>0</v>
      </c>
      <c r="M85" s="64"/>
      <c r="N85" s="64"/>
      <c r="O85" s="64"/>
      <c r="P85" s="80"/>
      <c r="Q85" s="79">
        <f t="shared" si="29"/>
        <v>0</v>
      </c>
      <c r="R85" s="269" t="s">
        <v>282</v>
      </c>
      <c r="S85" s="270"/>
      <c r="T85" s="266"/>
      <c r="U85" s="267"/>
      <c r="V85" s="267"/>
      <c r="W85" s="268"/>
      <c r="X85" s="271">
        <f>IFERROR(INDEX(Table394123[],MATCH(R85,Table394123[Film Type],),3),"")</f>
        <v>0</v>
      </c>
      <c r="Y85" s="271"/>
      <c r="Z85" s="78" t="s">
        <v>55</v>
      </c>
      <c r="AA85" s="78" t="s">
        <v>55</v>
      </c>
      <c r="AB85" s="77"/>
      <c r="AC85" s="76"/>
      <c r="AD85" s="75">
        <f t="shared" si="30"/>
        <v>0</v>
      </c>
      <c r="AG85" s="74">
        <f t="shared" si="31"/>
        <v>0</v>
      </c>
      <c r="AK85" s="65">
        <f t="shared" si="32"/>
        <v>0</v>
      </c>
      <c r="AL85" s="65">
        <f t="shared" si="33"/>
        <v>0</v>
      </c>
      <c r="AM85" s="65">
        <f t="shared" si="34"/>
        <v>0</v>
      </c>
      <c r="AN85" s="73">
        <f t="shared" si="35"/>
        <v>0</v>
      </c>
      <c r="AO85" s="65" t="str">
        <f t="shared" si="36"/>
        <v>0.00</v>
      </c>
      <c r="AP85" s="65" t="str">
        <f t="shared" si="37"/>
        <v>0</v>
      </c>
      <c r="AQ85" s="71">
        <f t="shared" si="38"/>
        <v>0</v>
      </c>
      <c r="AR85" s="72">
        <f t="shared" si="39"/>
        <v>0</v>
      </c>
      <c r="AS85" s="71">
        <f t="shared" si="40"/>
        <v>0</v>
      </c>
      <c r="AT85" s="70">
        <f t="shared" si="41"/>
        <v>0</v>
      </c>
      <c r="AU85" s="70">
        <f t="shared" si="42"/>
        <v>0</v>
      </c>
      <c r="AV85" s="2"/>
      <c r="AW85" s="66">
        <f t="shared" si="43"/>
        <v>0</v>
      </c>
      <c r="AX85" s="68">
        <f>_xlfn.IFNA(INDEX(Table394123[I $ p/ft2],MATCH(R85,Table394123[Film Type],0)),1.75)</f>
        <v>1.75</v>
      </c>
      <c r="AY85" s="69">
        <f>VLOOKUP(Z85,Table134931[#All],2,FALSE)</f>
        <v>1</v>
      </c>
      <c r="AZ85" s="68">
        <f t="shared" si="44"/>
        <v>1.75</v>
      </c>
      <c r="BA85" s="65">
        <f t="shared" si="45"/>
        <v>0</v>
      </c>
      <c r="BB85" s="64">
        <f t="shared" si="46"/>
        <v>0</v>
      </c>
      <c r="BC85" s="67">
        <f t="shared" si="47"/>
        <v>0</v>
      </c>
      <c r="BD85" s="66">
        <f t="shared" si="48"/>
        <v>0</v>
      </c>
      <c r="BE85" s="64"/>
      <c r="BF85" s="66">
        <f t="shared" si="49"/>
        <v>0</v>
      </c>
      <c r="BG85" s="66">
        <f t="shared" si="50"/>
        <v>0</v>
      </c>
      <c r="BH85" s="65">
        <f>VLOOKUP(AA85,Table155133[#All],2,FALSE)</f>
        <v>1</v>
      </c>
      <c r="BI85" s="65">
        <f t="shared" si="51"/>
        <v>0</v>
      </c>
      <c r="BJ85" s="64" t="str">
        <f t="shared" si="52"/>
        <v>0</v>
      </c>
      <c r="CK85" s="86" t="s">
        <v>120</v>
      </c>
      <c r="CL85" s="2">
        <v>0.77</v>
      </c>
      <c r="CM85" s="2">
        <f t="shared" si="53"/>
        <v>0.84700000000000009</v>
      </c>
      <c r="CN85" s="10">
        <v>1.5</v>
      </c>
      <c r="CO85" s="84">
        <f t="shared" si="54"/>
        <v>0</v>
      </c>
    </row>
    <row r="86" spans="1:93" ht="11.1" hidden="1" customHeight="1" x14ac:dyDescent="0.5">
      <c r="A86" s="83"/>
      <c r="B86" s="266"/>
      <c r="C86" s="267"/>
      <c r="D86" s="267"/>
      <c r="E86" s="268"/>
      <c r="F86" s="64"/>
      <c r="G86" s="64"/>
      <c r="H86" s="82"/>
      <c r="I86" s="81"/>
      <c r="J86" s="64"/>
      <c r="K86" s="80"/>
      <c r="L86" s="79">
        <f t="shared" si="28"/>
        <v>0</v>
      </c>
      <c r="M86" s="64"/>
      <c r="N86" s="64"/>
      <c r="O86" s="64"/>
      <c r="P86" s="80"/>
      <c r="Q86" s="79">
        <f t="shared" si="29"/>
        <v>0</v>
      </c>
      <c r="R86" s="269" t="s">
        <v>282</v>
      </c>
      <c r="S86" s="270"/>
      <c r="T86" s="266"/>
      <c r="U86" s="267"/>
      <c r="V86" s="267"/>
      <c r="W86" s="268"/>
      <c r="X86" s="271">
        <f>IFERROR(INDEX(Table394123[],MATCH(R86,Table394123[Film Type],),3),"")</f>
        <v>0</v>
      </c>
      <c r="Y86" s="271"/>
      <c r="Z86" s="78" t="s">
        <v>55</v>
      </c>
      <c r="AA86" s="78" t="s">
        <v>55</v>
      </c>
      <c r="AB86" s="77"/>
      <c r="AC86" s="76"/>
      <c r="AD86" s="75">
        <f t="shared" si="30"/>
        <v>0</v>
      </c>
      <c r="AG86" s="74">
        <f t="shared" si="31"/>
        <v>0</v>
      </c>
      <c r="AK86" s="65">
        <f t="shared" si="32"/>
        <v>0</v>
      </c>
      <c r="AL86" s="65">
        <f t="shared" si="33"/>
        <v>0</v>
      </c>
      <c r="AM86" s="65">
        <f t="shared" si="34"/>
        <v>0</v>
      </c>
      <c r="AN86" s="73">
        <f t="shared" si="35"/>
        <v>0</v>
      </c>
      <c r="AO86" s="65" t="str">
        <f t="shared" si="36"/>
        <v>0.00</v>
      </c>
      <c r="AP86" s="65" t="str">
        <f t="shared" si="37"/>
        <v>0</v>
      </c>
      <c r="AQ86" s="71">
        <f t="shared" si="38"/>
        <v>0</v>
      </c>
      <c r="AR86" s="72">
        <f t="shared" si="39"/>
        <v>0</v>
      </c>
      <c r="AS86" s="71">
        <f t="shared" si="40"/>
        <v>0</v>
      </c>
      <c r="AT86" s="70">
        <f t="shared" si="41"/>
        <v>0</v>
      </c>
      <c r="AU86" s="70">
        <f t="shared" si="42"/>
        <v>0</v>
      </c>
      <c r="AV86" s="2"/>
      <c r="AW86" s="66">
        <f t="shared" si="43"/>
        <v>0</v>
      </c>
      <c r="AX86" s="68">
        <f>_xlfn.IFNA(INDEX(Table394123[I $ p/ft2],MATCH(R86,Table394123[Film Type],0)),1.75)</f>
        <v>1.75</v>
      </c>
      <c r="AY86" s="69">
        <f>VLOOKUP(Z86,Table134931[#All],2,FALSE)</f>
        <v>1</v>
      </c>
      <c r="AZ86" s="68">
        <f t="shared" si="44"/>
        <v>1.75</v>
      </c>
      <c r="BA86" s="65">
        <f t="shared" si="45"/>
        <v>0</v>
      </c>
      <c r="BB86" s="64">
        <f t="shared" si="46"/>
        <v>0</v>
      </c>
      <c r="BC86" s="67">
        <f t="shared" si="47"/>
        <v>0</v>
      </c>
      <c r="BD86" s="66">
        <f t="shared" si="48"/>
        <v>0</v>
      </c>
      <c r="BE86" s="64"/>
      <c r="BF86" s="66">
        <f t="shared" si="49"/>
        <v>0</v>
      </c>
      <c r="BG86" s="66">
        <f t="shared" si="50"/>
        <v>0</v>
      </c>
      <c r="BH86" s="65">
        <f>VLOOKUP(AA86,Table155133[#All],2,FALSE)</f>
        <v>1</v>
      </c>
      <c r="BI86" s="65">
        <f t="shared" si="51"/>
        <v>0</v>
      </c>
      <c r="BJ86" s="64" t="str">
        <f t="shared" si="52"/>
        <v>0</v>
      </c>
      <c r="CK86" s="86" t="s">
        <v>119</v>
      </c>
      <c r="CL86" s="2">
        <v>1.84</v>
      </c>
      <c r="CM86" s="2">
        <f t="shared" si="53"/>
        <v>2.0240000000000005</v>
      </c>
      <c r="CN86" s="87">
        <v>2</v>
      </c>
      <c r="CO86" s="84">
        <f t="shared" si="54"/>
        <v>0</v>
      </c>
    </row>
    <row r="87" spans="1:93" ht="11.1" hidden="1" customHeight="1" x14ac:dyDescent="0.5">
      <c r="A87" s="83"/>
      <c r="B87" s="266"/>
      <c r="C87" s="267"/>
      <c r="D87" s="267"/>
      <c r="E87" s="268"/>
      <c r="F87" s="64"/>
      <c r="G87" s="64"/>
      <c r="H87" s="82"/>
      <c r="I87" s="81"/>
      <c r="J87" s="64"/>
      <c r="K87" s="80"/>
      <c r="L87" s="79">
        <f t="shared" si="28"/>
        <v>0</v>
      </c>
      <c r="M87" s="64"/>
      <c r="N87" s="64"/>
      <c r="O87" s="64"/>
      <c r="P87" s="80"/>
      <c r="Q87" s="79">
        <f t="shared" si="29"/>
        <v>0</v>
      </c>
      <c r="R87" s="269" t="s">
        <v>282</v>
      </c>
      <c r="S87" s="270"/>
      <c r="T87" s="266"/>
      <c r="U87" s="267"/>
      <c r="V87" s="267"/>
      <c r="W87" s="268"/>
      <c r="X87" s="271">
        <f>IFERROR(INDEX(Table394123[],MATCH(R87,Table394123[Film Type],),3),"")</f>
        <v>0</v>
      </c>
      <c r="Y87" s="271"/>
      <c r="Z87" s="78" t="s">
        <v>55</v>
      </c>
      <c r="AA87" s="78" t="s">
        <v>55</v>
      </c>
      <c r="AB87" s="77"/>
      <c r="AC87" s="76"/>
      <c r="AD87" s="75">
        <f t="shared" si="30"/>
        <v>0</v>
      </c>
      <c r="AG87" s="74">
        <f t="shared" si="31"/>
        <v>0</v>
      </c>
      <c r="AK87" s="65">
        <f t="shared" si="32"/>
        <v>0</v>
      </c>
      <c r="AL87" s="65">
        <f t="shared" si="33"/>
        <v>0</v>
      </c>
      <c r="AM87" s="65">
        <f t="shared" si="34"/>
        <v>0</v>
      </c>
      <c r="AN87" s="73">
        <f t="shared" si="35"/>
        <v>0</v>
      </c>
      <c r="AO87" s="65" t="str">
        <f t="shared" si="36"/>
        <v>0.00</v>
      </c>
      <c r="AP87" s="65" t="str">
        <f t="shared" si="37"/>
        <v>0</v>
      </c>
      <c r="AQ87" s="71">
        <f t="shared" si="38"/>
        <v>0</v>
      </c>
      <c r="AR87" s="72">
        <f t="shared" si="39"/>
        <v>0</v>
      </c>
      <c r="AS87" s="71">
        <f t="shared" si="40"/>
        <v>0</v>
      </c>
      <c r="AT87" s="70">
        <f t="shared" si="41"/>
        <v>0</v>
      </c>
      <c r="AU87" s="70">
        <f t="shared" si="42"/>
        <v>0</v>
      </c>
      <c r="AV87" s="2"/>
      <c r="AW87" s="66">
        <f t="shared" si="43"/>
        <v>0</v>
      </c>
      <c r="AX87" s="68">
        <f>_xlfn.IFNA(INDEX(Table394123[I $ p/ft2],MATCH(R87,Table394123[Film Type],0)),1.75)</f>
        <v>1.75</v>
      </c>
      <c r="AY87" s="69">
        <f>VLOOKUP(Z87,Table134931[#All],2,FALSE)</f>
        <v>1</v>
      </c>
      <c r="AZ87" s="68">
        <f t="shared" si="44"/>
        <v>1.75</v>
      </c>
      <c r="BA87" s="65">
        <f t="shared" si="45"/>
        <v>0</v>
      </c>
      <c r="BB87" s="64">
        <f t="shared" si="46"/>
        <v>0</v>
      </c>
      <c r="BC87" s="67">
        <f t="shared" si="47"/>
        <v>0</v>
      </c>
      <c r="BD87" s="66">
        <f t="shared" si="48"/>
        <v>0</v>
      </c>
      <c r="BE87" s="64"/>
      <c r="BF87" s="66">
        <f t="shared" si="49"/>
        <v>0</v>
      </c>
      <c r="BG87" s="66">
        <f t="shared" si="50"/>
        <v>0</v>
      </c>
      <c r="BH87" s="65">
        <f>VLOOKUP(AA87,Table155133[#All],2,FALSE)</f>
        <v>1</v>
      </c>
      <c r="BI87" s="65">
        <f t="shared" si="51"/>
        <v>0</v>
      </c>
      <c r="BJ87" s="64" t="str">
        <f t="shared" si="52"/>
        <v>0</v>
      </c>
      <c r="CK87" s="86" t="s">
        <v>118</v>
      </c>
      <c r="CL87" s="2">
        <v>1.1299999999999999</v>
      </c>
      <c r="CM87" s="2">
        <f t="shared" si="53"/>
        <v>1.2429999999999999</v>
      </c>
      <c r="CN87" s="10">
        <v>1.5</v>
      </c>
      <c r="CO87" s="84">
        <f t="shared" si="54"/>
        <v>0</v>
      </c>
    </row>
    <row r="88" spans="1:93" ht="11.1" hidden="1" customHeight="1" x14ac:dyDescent="0.5">
      <c r="A88" s="83"/>
      <c r="B88" s="266"/>
      <c r="C88" s="267"/>
      <c r="D88" s="267"/>
      <c r="E88" s="268"/>
      <c r="F88" s="64"/>
      <c r="G88" s="64"/>
      <c r="H88" s="82"/>
      <c r="I88" s="81"/>
      <c r="J88" s="64"/>
      <c r="K88" s="80"/>
      <c r="L88" s="79">
        <f t="shared" si="28"/>
        <v>0</v>
      </c>
      <c r="M88" s="64"/>
      <c r="N88" s="64"/>
      <c r="O88" s="64"/>
      <c r="P88" s="80"/>
      <c r="Q88" s="79">
        <f t="shared" si="29"/>
        <v>0</v>
      </c>
      <c r="R88" s="269" t="s">
        <v>282</v>
      </c>
      <c r="S88" s="270"/>
      <c r="T88" s="266"/>
      <c r="U88" s="267"/>
      <c r="V88" s="267"/>
      <c r="W88" s="268"/>
      <c r="X88" s="271">
        <f>IFERROR(INDEX(Table394123[],MATCH(R88,Table394123[Film Type],),3),"")</f>
        <v>0</v>
      </c>
      <c r="Y88" s="271"/>
      <c r="Z88" s="78" t="s">
        <v>55</v>
      </c>
      <c r="AA88" s="78" t="s">
        <v>55</v>
      </c>
      <c r="AB88" s="77"/>
      <c r="AC88" s="76"/>
      <c r="AD88" s="75">
        <f t="shared" si="30"/>
        <v>0</v>
      </c>
      <c r="AG88" s="74">
        <f t="shared" si="31"/>
        <v>0</v>
      </c>
      <c r="AK88" s="65">
        <f t="shared" si="32"/>
        <v>0</v>
      </c>
      <c r="AL88" s="65">
        <f t="shared" si="33"/>
        <v>0</v>
      </c>
      <c r="AM88" s="65">
        <f t="shared" si="34"/>
        <v>0</v>
      </c>
      <c r="AN88" s="73">
        <f t="shared" si="35"/>
        <v>0</v>
      </c>
      <c r="AO88" s="65" t="str">
        <f t="shared" si="36"/>
        <v>0.00</v>
      </c>
      <c r="AP88" s="65" t="str">
        <f t="shared" si="37"/>
        <v>0</v>
      </c>
      <c r="AQ88" s="71">
        <f t="shared" si="38"/>
        <v>0</v>
      </c>
      <c r="AR88" s="72">
        <f t="shared" si="39"/>
        <v>0</v>
      </c>
      <c r="AS88" s="71">
        <f t="shared" si="40"/>
        <v>0</v>
      </c>
      <c r="AT88" s="70">
        <f t="shared" si="41"/>
        <v>0</v>
      </c>
      <c r="AU88" s="70">
        <f t="shared" si="42"/>
        <v>0</v>
      </c>
      <c r="AV88" s="2"/>
      <c r="AW88" s="66">
        <f t="shared" si="43"/>
        <v>0</v>
      </c>
      <c r="AX88" s="68">
        <f>_xlfn.IFNA(INDEX(Table394123[I $ p/ft2],MATCH(R88,Table394123[Film Type],0)),1.75)</f>
        <v>1.75</v>
      </c>
      <c r="AY88" s="69">
        <f>VLOOKUP(Z88,Table134931[#All],2,FALSE)</f>
        <v>1</v>
      </c>
      <c r="AZ88" s="68">
        <f t="shared" si="44"/>
        <v>1.75</v>
      </c>
      <c r="BA88" s="65">
        <f t="shared" si="45"/>
        <v>0</v>
      </c>
      <c r="BB88" s="64">
        <f t="shared" si="46"/>
        <v>0</v>
      </c>
      <c r="BC88" s="67">
        <f t="shared" si="47"/>
        <v>0</v>
      </c>
      <c r="BD88" s="66">
        <f t="shared" si="48"/>
        <v>0</v>
      </c>
      <c r="BE88" s="64"/>
      <c r="BF88" s="66">
        <f t="shared" si="49"/>
        <v>0</v>
      </c>
      <c r="BG88" s="66">
        <f t="shared" si="50"/>
        <v>0</v>
      </c>
      <c r="BH88" s="65">
        <f>VLOOKUP(AA88,Table155133[#All],2,FALSE)</f>
        <v>1</v>
      </c>
      <c r="BI88" s="65">
        <f t="shared" si="51"/>
        <v>0</v>
      </c>
      <c r="BJ88" s="64" t="str">
        <f t="shared" si="52"/>
        <v>0</v>
      </c>
      <c r="CK88" s="86" t="s">
        <v>117</v>
      </c>
      <c r="CL88" s="2">
        <v>1.1499999999999999</v>
      </c>
      <c r="CM88" s="2">
        <f t="shared" si="53"/>
        <v>1.2649999999999999</v>
      </c>
      <c r="CN88" s="10">
        <v>2</v>
      </c>
      <c r="CO88" s="84">
        <f t="shared" si="54"/>
        <v>0</v>
      </c>
    </row>
    <row r="89" spans="1:93" ht="11.1" hidden="1" customHeight="1" x14ac:dyDescent="0.5">
      <c r="A89" s="83"/>
      <c r="B89" s="266"/>
      <c r="C89" s="267"/>
      <c r="D89" s="267"/>
      <c r="E89" s="268"/>
      <c r="F89" s="64"/>
      <c r="G89" s="64"/>
      <c r="H89" s="82"/>
      <c r="I89" s="81"/>
      <c r="J89" s="64"/>
      <c r="K89" s="80"/>
      <c r="L89" s="79">
        <f t="shared" si="28"/>
        <v>0</v>
      </c>
      <c r="M89" s="64"/>
      <c r="N89" s="64"/>
      <c r="O89" s="64"/>
      <c r="P89" s="80"/>
      <c r="Q89" s="79">
        <f t="shared" si="29"/>
        <v>0</v>
      </c>
      <c r="R89" s="269" t="s">
        <v>282</v>
      </c>
      <c r="S89" s="270"/>
      <c r="T89" s="266"/>
      <c r="U89" s="267"/>
      <c r="V89" s="267"/>
      <c r="W89" s="268"/>
      <c r="X89" s="271">
        <f>IFERROR(INDEX(Table394123[],MATCH(R89,Table394123[Film Type],),3),"")</f>
        <v>0</v>
      </c>
      <c r="Y89" s="271"/>
      <c r="Z89" s="78" t="s">
        <v>55</v>
      </c>
      <c r="AA89" s="78" t="s">
        <v>55</v>
      </c>
      <c r="AB89" s="77"/>
      <c r="AC89" s="76"/>
      <c r="AD89" s="75">
        <f t="shared" si="30"/>
        <v>0</v>
      </c>
      <c r="AG89" s="74">
        <f t="shared" si="31"/>
        <v>0</v>
      </c>
      <c r="AK89" s="65">
        <f t="shared" si="32"/>
        <v>0</v>
      </c>
      <c r="AL89" s="65">
        <f t="shared" si="33"/>
        <v>0</v>
      </c>
      <c r="AM89" s="65">
        <f t="shared" si="34"/>
        <v>0</v>
      </c>
      <c r="AN89" s="73">
        <f t="shared" si="35"/>
        <v>0</v>
      </c>
      <c r="AO89" s="65" t="str">
        <f t="shared" si="36"/>
        <v>0.00</v>
      </c>
      <c r="AP89" s="65" t="str">
        <f t="shared" si="37"/>
        <v>0</v>
      </c>
      <c r="AQ89" s="71">
        <f t="shared" si="38"/>
        <v>0</v>
      </c>
      <c r="AR89" s="72">
        <f t="shared" si="39"/>
        <v>0</v>
      </c>
      <c r="AS89" s="71">
        <f t="shared" si="40"/>
        <v>0</v>
      </c>
      <c r="AT89" s="70">
        <f t="shared" si="41"/>
        <v>0</v>
      </c>
      <c r="AU89" s="70">
        <f t="shared" si="42"/>
        <v>0</v>
      </c>
      <c r="AV89" s="2"/>
      <c r="AW89" s="66">
        <f t="shared" si="43"/>
        <v>0</v>
      </c>
      <c r="AX89" s="68">
        <f>_xlfn.IFNA(INDEX(Table394123[I $ p/ft2],MATCH(R89,Table394123[Film Type],0)),1.75)</f>
        <v>1.75</v>
      </c>
      <c r="AY89" s="69">
        <f>VLOOKUP(Z89,Table134931[#All],2,FALSE)</f>
        <v>1</v>
      </c>
      <c r="AZ89" s="68">
        <f t="shared" si="44"/>
        <v>1.75</v>
      </c>
      <c r="BA89" s="65">
        <f t="shared" si="45"/>
        <v>0</v>
      </c>
      <c r="BB89" s="64">
        <f t="shared" si="46"/>
        <v>0</v>
      </c>
      <c r="BC89" s="67">
        <f t="shared" si="47"/>
        <v>0</v>
      </c>
      <c r="BD89" s="66">
        <f t="shared" si="48"/>
        <v>0</v>
      </c>
      <c r="BE89" s="64"/>
      <c r="BF89" s="66">
        <f t="shared" si="49"/>
        <v>0</v>
      </c>
      <c r="BG89" s="66">
        <f t="shared" si="50"/>
        <v>0</v>
      </c>
      <c r="BH89" s="65">
        <f>VLOOKUP(AA89,Table155133[#All],2,FALSE)</f>
        <v>1</v>
      </c>
      <c r="BI89" s="65">
        <f t="shared" si="51"/>
        <v>0</v>
      </c>
      <c r="BJ89" s="64" t="str">
        <f t="shared" si="52"/>
        <v>0</v>
      </c>
      <c r="CK89" s="86" t="s">
        <v>116</v>
      </c>
      <c r="CL89" s="2">
        <v>1.36</v>
      </c>
      <c r="CM89" s="2">
        <f t="shared" si="53"/>
        <v>1.4960000000000002</v>
      </c>
      <c r="CN89" s="10">
        <v>2</v>
      </c>
      <c r="CO89" s="84">
        <f t="shared" si="54"/>
        <v>0</v>
      </c>
    </row>
    <row r="90" spans="1:93" ht="11.1" hidden="1" customHeight="1" x14ac:dyDescent="0.5">
      <c r="A90" s="83"/>
      <c r="B90" s="266"/>
      <c r="C90" s="267"/>
      <c r="D90" s="267"/>
      <c r="E90" s="268"/>
      <c r="F90" s="64"/>
      <c r="G90" s="64"/>
      <c r="H90" s="82"/>
      <c r="I90" s="81"/>
      <c r="J90" s="64"/>
      <c r="K90" s="80"/>
      <c r="L90" s="79">
        <f t="shared" si="28"/>
        <v>0</v>
      </c>
      <c r="M90" s="64"/>
      <c r="N90" s="64"/>
      <c r="O90" s="64"/>
      <c r="P90" s="80"/>
      <c r="Q90" s="79">
        <f t="shared" si="29"/>
        <v>0</v>
      </c>
      <c r="R90" s="269" t="s">
        <v>282</v>
      </c>
      <c r="S90" s="270"/>
      <c r="T90" s="266"/>
      <c r="U90" s="267"/>
      <c r="V90" s="267"/>
      <c r="W90" s="268"/>
      <c r="X90" s="271">
        <f>IFERROR(INDEX(Table394123[],MATCH(R90,Table394123[Film Type],),3),"")</f>
        <v>0</v>
      </c>
      <c r="Y90" s="271"/>
      <c r="Z90" s="78" t="s">
        <v>55</v>
      </c>
      <c r="AA90" s="78" t="s">
        <v>55</v>
      </c>
      <c r="AB90" s="77"/>
      <c r="AC90" s="76"/>
      <c r="AD90" s="75">
        <f t="shared" si="30"/>
        <v>0</v>
      </c>
      <c r="AG90" s="74">
        <f t="shared" si="31"/>
        <v>0</v>
      </c>
      <c r="AK90" s="65">
        <f t="shared" si="32"/>
        <v>0</v>
      </c>
      <c r="AL90" s="65">
        <f t="shared" si="33"/>
        <v>0</v>
      </c>
      <c r="AM90" s="65">
        <f t="shared" si="34"/>
        <v>0</v>
      </c>
      <c r="AN90" s="73">
        <f t="shared" si="35"/>
        <v>0</v>
      </c>
      <c r="AO90" s="65" t="str">
        <f t="shared" si="36"/>
        <v>0.00</v>
      </c>
      <c r="AP90" s="65" t="str">
        <f t="shared" si="37"/>
        <v>0</v>
      </c>
      <c r="AQ90" s="71">
        <f t="shared" si="38"/>
        <v>0</v>
      </c>
      <c r="AR90" s="72">
        <f t="shared" si="39"/>
        <v>0</v>
      </c>
      <c r="AS90" s="71">
        <f t="shared" si="40"/>
        <v>0</v>
      </c>
      <c r="AT90" s="70">
        <f t="shared" si="41"/>
        <v>0</v>
      </c>
      <c r="AU90" s="70">
        <f t="shared" si="42"/>
        <v>0</v>
      </c>
      <c r="AV90" s="2"/>
      <c r="AW90" s="66">
        <f t="shared" si="43"/>
        <v>0</v>
      </c>
      <c r="AX90" s="68">
        <f>_xlfn.IFNA(INDEX(Table394123[I $ p/ft2],MATCH(R90,Table394123[Film Type],0)),1.75)</f>
        <v>1.75</v>
      </c>
      <c r="AY90" s="69">
        <f>VLOOKUP(Z90,Table134931[#All],2,FALSE)</f>
        <v>1</v>
      </c>
      <c r="AZ90" s="68">
        <f t="shared" si="44"/>
        <v>1.75</v>
      </c>
      <c r="BA90" s="65">
        <f t="shared" si="45"/>
        <v>0</v>
      </c>
      <c r="BB90" s="64">
        <f t="shared" si="46"/>
        <v>0</v>
      </c>
      <c r="BC90" s="67">
        <f t="shared" si="47"/>
        <v>0</v>
      </c>
      <c r="BD90" s="66">
        <f t="shared" si="48"/>
        <v>0</v>
      </c>
      <c r="BE90" s="64"/>
      <c r="BF90" s="66">
        <f t="shared" si="49"/>
        <v>0</v>
      </c>
      <c r="BG90" s="66">
        <f t="shared" si="50"/>
        <v>0</v>
      </c>
      <c r="BH90" s="65">
        <f>VLOOKUP(AA90,Table155133[#All],2,FALSE)</f>
        <v>1</v>
      </c>
      <c r="BI90" s="65">
        <f t="shared" si="51"/>
        <v>0</v>
      </c>
      <c r="BJ90" s="64" t="str">
        <f t="shared" si="52"/>
        <v>0</v>
      </c>
      <c r="CK90" s="86" t="s">
        <v>115</v>
      </c>
      <c r="CL90" s="2">
        <v>1.72</v>
      </c>
      <c r="CM90" s="2">
        <f t="shared" si="53"/>
        <v>1.8920000000000001</v>
      </c>
      <c r="CN90" s="10">
        <v>2</v>
      </c>
      <c r="CO90" s="84">
        <f t="shared" si="54"/>
        <v>0</v>
      </c>
    </row>
    <row r="91" spans="1:93" ht="11.1" hidden="1" customHeight="1" x14ac:dyDescent="0.5">
      <c r="A91" s="83"/>
      <c r="B91" s="266"/>
      <c r="C91" s="267"/>
      <c r="D91" s="267"/>
      <c r="E91" s="268"/>
      <c r="F91" s="64"/>
      <c r="G91" s="64"/>
      <c r="H91" s="82"/>
      <c r="I91" s="81"/>
      <c r="J91" s="64"/>
      <c r="K91" s="80"/>
      <c r="L91" s="79">
        <f t="shared" si="28"/>
        <v>0</v>
      </c>
      <c r="M91" s="64"/>
      <c r="N91" s="64"/>
      <c r="O91" s="64"/>
      <c r="P91" s="80"/>
      <c r="Q91" s="79">
        <f t="shared" si="29"/>
        <v>0</v>
      </c>
      <c r="R91" s="269" t="s">
        <v>282</v>
      </c>
      <c r="S91" s="270"/>
      <c r="T91" s="266"/>
      <c r="U91" s="267"/>
      <c r="V91" s="267"/>
      <c r="W91" s="268"/>
      <c r="X91" s="271">
        <f>IFERROR(INDEX(Table394123[],MATCH(R91,Table394123[Film Type],),3),"")</f>
        <v>0</v>
      </c>
      <c r="Y91" s="271"/>
      <c r="Z91" s="78" t="s">
        <v>55</v>
      </c>
      <c r="AA91" s="78" t="s">
        <v>55</v>
      </c>
      <c r="AB91" s="77"/>
      <c r="AC91" s="76"/>
      <c r="AD91" s="75">
        <f t="shared" si="30"/>
        <v>0</v>
      </c>
      <c r="AG91" s="74">
        <f t="shared" si="31"/>
        <v>0</v>
      </c>
      <c r="AK91" s="65">
        <f t="shared" si="32"/>
        <v>0</v>
      </c>
      <c r="AL91" s="65">
        <f t="shared" si="33"/>
        <v>0</v>
      </c>
      <c r="AM91" s="65">
        <f t="shared" si="34"/>
        <v>0</v>
      </c>
      <c r="AN91" s="73">
        <f t="shared" si="35"/>
        <v>0</v>
      </c>
      <c r="AO91" s="65" t="str">
        <f t="shared" si="36"/>
        <v>0.00</v>
      </c>
      <c r="AP91" s="65" t="str">
        <f t="shared" si="37"/>
        <v>0</v>
      </c>
      <c r="AQ91" s="71">
        <f t="shared" si="38"/>
        <v>0</v>
      </c>
      <c r="AR91" s="72">
        <f t="shared" si="39"/>
        <v>0</v>
      </c>
      <c r="AS91" s="71">
        <f t="shared" si="40"/>
        <v>0</v>
      </c>
      <c r="AT91" s="70">
        <f t="shared" si="41"/>
        <v>0</v>
      </c>
      <c r="AU91" s="70">
        <f t="shared" si="42"/>
        <v>0</v>
      </c>
      <c r="AV91" s="2"/>
      <c r="AW91" s="66">
        <f t="shared" si="43"/>
        <v>0</v>
      </c>
      <c r="AX91" s="68">
        <f>_xlfn.IFNA(INDEX(Table394123[I $ p/ft2],MATCH(R91,Table394123[Film Type],0)),1.75)</f>
        <v>1.75</v>
      </c>
      <c r="AY91" s="69">
        <f>VLOOKUP(Z91,Table134931[#All],2,FALSE)</f>
        <v>1</v>
      </c>
      <c r="AZ91" s="68">
        <f t="shared" si="44"/>
        <v>1.75</v>
      </c>
      <c r="BA91" s="65">
        <f t="shared" si="45"/>
        <v>0</v>
      </c>
      <c r="BB91" s="64">
        <f t="shared" si="46"/>
        <v>0</v>
      </c>
      <c r="BC91" s="67">
        <f t="shared" si="47"/>
        <v>0</v>
      </c>
      <c r="BD91" s="66">
        <f t="shared" si="48"/>
        <v>0</v>
      </c>
      <c r="BE91" s="64"/>
      <c r="BF91" s="66">
        <f t="shared" si="49"/>
        <v>0</v>
      </c>
      <c r="BG91" s="66">
        <f t="shared" si="50"/>
        <v>0</v>
      </c>
      <c r="BH91" s="65">
        <f>VLOOKUP(AA91,Table155133[#All],2,FALSE)</f>
        <v>1</v>
      </c>
      <c r="BI91" s="65">
        <f t="shared" si="51"/>
        <v>0</v>
      </c>
      <c r="BJ91" s="64" t="str">
        <f t="shared" si="52"/>
        <v>0</v>
      </c>
      <c r="CK91" s="86" t="s">
        <v>114</v>
      </c>
      <c r="CL91" s="2">
        <v>1.44</v>
      </c>
      <c r="CM91" s="2">
        <f t="shared" si="53"/>
        <v>1.5840000000000001</v>
      </c>
      <c r="CN91" s="10">
        <v>2</v>
      </c>
      <c r="CO91" s="84">
        <f t="shared" si="54"/>
        <v>0</v>
      </c>
    </row>
    <row r="92" spans="1:93" ht="11.1" hidden="1" customHeight="1" x14ac:dyDescent="0.5">
      <c r="A92" s="83"/>
      <c r="B92" s="266"/>
      <c r="C92" s="267"/>
      <c r="D92" s="267"/>
      <c r="E92" s="268"/>
      <c r="F92" s="64"/>
      <c r="G92" s="64"/>
      <c r="H92" s="82"/>
      <c r="I92" s="81"/>
      <c r="J92" s="64"/>
      <c r="K92" s="80"/>
      <c r="L92" s="79">
        <f t="shared" si="28"/>
        <v>0</v>
      </c>
      <c r="M92" s="64"/>
      <c r="N92" s="64"/>
      <c r="O92" s="64"/>
      <c r="P92" s="80"/>
      <c r="Q92" s="79">
        <f t="shared" si="29"/>
        <v>0</v>
      </c>
      <c r="R92" s="269" t="s">
        <v>282</v>
      </c>
      <c r="S92" s="270"/>
      <c r="T92" s="266"/>
      <c r="U92" s="267"/>
      <c r="V92" s="267"/>
      <c r="W92" s="268"/>
      <c r="X92" s="271">
        <f>IFERROR(INDEX(Table394123[],MATCH(R92,Table394123[Film Type],),3),"")</f>
        <v>0</v>
      </c>
      <c r="Y92" s="271"/>
      <c r="Z92" s="78" t="s">
        <v>55</v>
      </c>
      <c r="AA92" s="78" t="s">
        <v>55</v>
      </c>
      <c r="AB92" s="77"/>
      <c r="AC92" s="76"/>
      <c r="AD92" s="75">
        <f t="shared" si="30"/>
        <v>0</v>
      </c>
      <c r="AG92" s="74">
        <f t="shared" si="31"/>
        <v>0</v>
      </c>
      <c r="AK92" s="65">
        <f t="shared" si="32"/>
        <v>0</v>
      </c>
      <c r="AL92" s="65">
        <f t="shared" si="33"/>
        <v>0</v>
      </c>
      <c r="AM92" s="65">
        <f t="shared" si="34"/>
        <v>0</v>
      </c>
      <c r="AN92" s="73">
        <f t="shared" si="35"/>
        <v>0</v>
      </c>
      <c r="AO92" s="65" t="str">
        <f t="shared" si="36"/>
        <v>0.00</v>
      </c>
      <c r="AP92" s="65" t="str">
        <f t="shared" si="37"/>
        <v>0</v>
      </c>
      <c r="AQ92" s="71">
        <f t="shared" si="38"/>
        <v>0</v>
      </c>
      <c r="AR92" s="72">
        <f t="shared" si="39"/>
        <v>0</v>
      </c>
      <c r="AS92" s="71">
        <f t="shared" si="40"/>
        <v>0</v>
      </c>
      <c r="AT92" s="70">
        <f t="shared" si="41"/>
        <v>0</v>
      </c>
      <c r="AU92" s="70">
        <f t="shared" si="42"/>
        <v>0</v>
      </c>
      <c r="AV92" s="2"/>
      <c r="AW92" s="66">
        <f t="shared" si="43"/>
        <v>0</v>
      </c>
      <c r="AX92" s="68">
        <f>_xlfn.IFNA(INDEX(Table394123[I $ p/ft2],MATCH(R92,Table394123[Film Type],0)),1.75)</f>
        <v>1.75</v>
      </c>
      <c r="AY92" s="69">
        <f>VLOOKUP(Z92,Table134931[#All],2,FALSE)</f>
        <v>1</v>
      </c>
      <c r="AZ92" s="68">
        <f t="shared" si="44"/>
        <v>1.75</v>
      </c>
      <c r="BA92" s="65">
        <f t="shared" si="45"/>
        <v>0</v>
      </c>
      <c r="BB92" s="64">
        <f t="shared" si="46"/>
        <v>0</v>
      </c>
      <c r="BC92" s="67">
        <f t="shared" si="47"/>
        <v>0</v>
      </c>
      <c r="BD92" s="66">
        <f t="shared" si="48"/>
        <v>0</v>
      </c>
      <c r="BE92" s="64"/>
      <c r="BF92" s="66">
        <f t="shared" si="49"/>
        <v>0</v>
      </c>
      <c r="BG92" s="66">
        <f t="shared" si="50"/>
        <v>0</v>
      </c>
      <c r="BH92" s="65">
        <f>VLOOKUP(AA92,Table155133[#All],2,FALSE)</f>
        <v>1</v>
      </c>
      <c r="BI92" s="65">
        <f t="shared" si="51"/>
        <v>0</v>
      </c>
      <c r="BJ92" s="64" t="str">
        <f t="shared" si="52"/>
        <v>0</v>
      </c>
      <c r="CK92" s="86"/>
      <c r="CM92" s="2">
        <f t="shared" si="53"/>
        <v>0</v>
      </c>
      <c r="CN92" s="10"/>
      <c r="CO92" s="84">
        <f t="shared" si="54"/>
        <v>0</v>
      </c>
    </row>
    <row r="93" spans="1:93" ht="11.1" hidden="1" customHeight="1" x14ac:dyDescent="0.5">
      <c r="A93" s="83"/>
      <c r="B93" s="266"/>
      <c r="C93" s="267"/>
      <c r="D93" s="267"/>
      <c r="E93" s="268"/>
      <c r="F93" s="64"/>
      <c r="G93" s="64"/>
      <c r="H93" s="82"/>
      <c r="I93" s="81"/>
      <c r="J93" s="64"/>
      <c r="K93" s="80"/>
      <c r="L93" s="79">
        <f t="shared" si="28"/>
        <v>0</v>
      </c>
      <c r="M93" s="64"/>
      <c r="N93" s="64"/>
      <c r="O93" s="64"/>
      <c r="P93" s="80"/>
      <c r="Q93" s="79">
        <f t="shared" si="29"/>
        <v>0</v>
      </c>
      <c r="R93" s="269" t="s">
        <v>282</v>
      </c>
      <c r="S93" s="270"/>
      <c r="T93" s="266"/>
      <c r="U93" s="267"/>
      <c r="V93" s="267"/>
      <c r="W93" s="268"/>
      <c r="X93" s="271">
        <f>IFERROR(INDEX(Table394123[],MATCH(R93,Table394123[Film Type],),3),"")</f>
        <v>0</v>
      </c>
      <c r="Y93" s="271"/>
      <c r="Z93" s="78" t="s">
        <v>55</v>
      </c>
      <c r="AA93" s="78" t="s">
        <v>55</v>
      </c>
      <c r="AB93" s="77"/>
      <c r="AC93" s="76"/>
      <c r="AD93" s="75">
        <f t="shared" si="30"/>
        <v>0</v>
      </c>
      <c r="AG93" s="74">
        <f t="shared" si="31"/>
        <v>0</v>
      </c>
      <c r="AK93" s="65">
        <f t="shared" si="32"/>
        <v>0</v>
      </c>
      <c r="AL93" s="65">
        <f t="shared" si="33"/>
        <v>0</v>
      </c>
      <c r="AM93" s="65">
        <f t="shared" si="34"/>
        <v>0</v>
      </c>
      <c r="AN93" s="73">
        <f t="shared" si="35"/>
        <v>0</v>
      </c>
      <c r="AO93" s="65" t="str">
        <f t="shared" si="36"/>
        <v>0.00</v>
      </c>
      <c r="AP93" s="65" t="str">
        <f t="shared" si="37"/>
        <v>0</v>
      </c>
      <c r="AQ93" s="71">
        <f t="shared" si="38"/>
        <v>0</v>
      </c>
      <c r="AR93" s="72">
        <f t="shared" si="39"/>
        <v>0</v>
      </c>
      <c r="AS93" s="71">
        <f t="shared" si="40"/>
        <v>0</v>
      </c>
      <c r="AT93" s="70">
        <f t="shared" si="41"/>
        <v>0</v>
      </c>
      <c r="AU93" s="70">
        <f t="shared" si="42"/>
        <v>0</v>
      </c>
      <c r="AV93" s="2"/>
      <c r="AW93" s="66">
        <f t="shared" si="43"/>
        <v>0</v>
      </c>
      <c r="AX93" s="68">
        <f>_xlfn.IFNA(INDEX(Table394123[I $ p/ft2],MATCH(R93,Table394123[Film Type],0)),1.75)</f>
        <v>1.75</v>
      </c>
      <c r="AY93" s="69">
        <f>VLOOKUP(Z93,Table134931[#All],2,FALSE)</f>
        <v>1</v>
      </c>
      <c r="AZ93" s="68">
        <f t="shared" si="44"/>
        <v>1.75</v>
      </c>
      <c r="BA93" s="65">
        <f t="shared" si="45"/>
        <v>0</v>
      </c>
      <c r="BB93" s="64">
        <f t="shared" si="46"/>
        <v>0</v>
      </c>
      <c r="BC93" s="67">
        <f t="shared" si="47"/>
        <v>0</v>
      </c>
      <c r="BD93" s="66">
        <f t="shared" si="48"/>
        <v>0</v>
      </c>
      <c r="BE93" s="64"/>
      <c r="BF93" s="66">
        <f t="shared" si="49"/>
        <v>0</v>
      </c>
      <c r="BG93" s="66">
        <f t="shared" si="50"/>
        <v>0</v>
      </c>
      <c r="BH93" s="65">
        <f>VLOOKUP(AA93,Table155133[#All],2,FALSE)</f>
        <v>1</v>
      </c>
      <c r="BI93" s="65">
        <f t="shared" si="51"/>
        <v>0</v>
      </c>
      <c r="BJ93" s="64" t="str">
        <f t="shared" si="52"/>
        <v>0</v>
      </c>
      <c r="CK93" s="86" t="s">
        <v>113</v>
      </c>
      <c r="CL93" s="2">
        <v>1.52</v>
      </c>
      <c r="CM93" s="2">
        <f t="shared" si="53"/>
        <v>1.6720000000000002</v>
      </c>
      <c r="CN93" s="10">
        <v>1.5</v>
      </c>
      <c r="CO93" s="84">
        <f t="shared" si="54"/>
        <v>0</v>
      </c>
    </row>
    <row r="94" spans="1:93" ht="11.1" hidden="1" customHeight="1" x14ac:dyDescent="0.5">
      <c r="A94" s="83"/>
      <c r="B94" s="266"/>
      <c r="C94" s="267"/>
      <c r="D94" s="267"/>
      <c r="E94" s="268"/>
      <c r="F94" s="64"/>
      <c r="G94" s="64"/>
      <c r="H94" s="82"/>
      <c r="I94" s="81"/>
      <c r="J94" s="64"/>
      <c r="K94" s="80"/>
      <c r="L94" s="79">
        <f t="shared" si="28"/>
        <v>0</v>
      </c>
      <c r="M94" s="64"/>
      <c r="N94" s="64"/>
      <c r="O94" s="64"/>
      <c r="P94" s="80"/>
      <c r="Q94" s="79">
        <f t="shared" si="29"/>
        <v>0</v>
      </c>
      <c r="R94" s="269" t="s">
        <v>282</v>
      </c>
      <c r="S94" s="270"/>
      <c r="T94" s="266"/>
      <c r="U94" s="267"/>
      <c r="V94" s="267"/>
      <c r="W94" s="268"/>
      <c r="X94" s="271">
        <f>IFERROR(INDEX(Table394123[],MATCH(R94,Table394123[Film Type],),3),"")</f>
        <v>0</v>
      </c>
      <c r="Y94" s="271"/>
      <c r="Z94" s="78" t="s">
        <v>55</v>
      </c>
      <c r="AA94" s="78" t="s">
        <v>55</v>
      </c>
      <c r="AB94" s="77"/>
      <c r="AC94" s="76"/>
      <c r="AD94" s="75">
        <f t="shared" si="30"/>
        <v>0</v>
      </c>
      <c r="AG94" s="74">
        <f t="shared" si="31"/>
        <v>0</v>
      </c>
      <c r="AK94" s="65">
        <f t="shared" si="32"/>
        <v>0</v>
      </c>
      <c r="AL94" s="65">
        <f t="shared" si="33"/>
        <v>0</v>
      </c>
      <c r="AM94" s="65">
        <f t="shared" si="34"/>
        <v>0</v>
      </c>
      <c r="AN94" s="73">
        <f t="shared" si="35"/>
        <v>0</v>
      </c>
      <c r="AO94" s="65" t="str">
        <f t="shared" si="36"/>
        <v>0.00</v>
      </c>
      <c r="AP94" s="65" t="str">
        <f t="shared" si="37"/>
        <v>0</v>
      </c>
      <c r="AQ94" s="71">
        <f t="shared" si="38"/>
        <v>0</v>
      </c>
      <c r="AR94" s="72">
        <f t="shared" si="39"/>
        <v>0</v>
      </c>
      <c r="AS94" s="71">
        <f t="shared" si="40"/>
        <v>0</v>
      </c>
      <c r="AT94" s="70">
        <f t="shared" si="41"/>
        <v>0</v>
      </c>
      <c r="AU94" s="70">
        <f t="shared" si="42"/>
        <v>0</v>
      </c>
      <c r="AV94" s="2"/>
      <c r="AW94" s="66">
        <f t="shared" si="43"/>
        <v>0</v>
      </c>
      <c r="AX94" s="68">
        <f>_xlfn.IFNA(INDEX(Table394123[I $ p/ft2],MATCH(R94,Table394123[Film Type],0)),1.75)</f>
        <v>1.75</v>
      </c>
      <c r="AY94" s="69">
        <f>VLOOKUP(Z94,Table134931[#All],2,FALSE)</f>
        <v>1</v>
      </c>
      <c r="AZ94" s="68">
        <f t="shared" si="44"/>
        <v>1.75</v>
      </c>
      <c r="BA94" s="65">
        <f t="shared" si="45"/>
        <v>0</v>
      </c>
      <c r="BB94" s="64">
        <f t="shared" si="46"/>
        <v>0</v>
      </c>
      <c r="BC94" s="67">
        <f t="shared" si="47"/>
        <v>0</v>
      </c>
      <c r="BD94" s="66">
        <f t="shared" si="48"/>
        <v>0</v>
      </c>
      <c r="BE94" s="64"/>
      <c r="BF94" s="66">
        <f t="shared" si="49"/>
        <v>0</v>
      </c>
      <c r="BG94" s="66">
        <f t="shared" si="50"/>
        <v>0</v>
      </c>
      <c r="BH94" s="65">
        <f>VLOOKUP(AA94,Table155133[#All],2,FALSE)</f>
        <v>1</v>
      </c>
      <c r="BI94" s="65">
        <f t="shared" si="51"/>
        <v>0</v>
      </c>
      <c r="BJ94" s="64" t="str">
        <f t="shared" si="52"/>
        <v>0</v>
      </c>
      <c r="CK94" s="86" t="s">
        <v>112</v>
      </c>
      <c r="CL94" s="2">
        <v>1.52</v>
      </c>
      <c r="CM94" s="2">
        <f t="shared" si="53"/>
        <v>1.6720000000000002</v>
      </c>
      <c r="CN94" s="10">
        <v>1.5</v>
      </c>
      <c r="CO94" s="84">
        <f t="shared" si="54"/>
        <v>0</v>
      </c>
    </row>
    <row r="95" spans="1:93" ht="11.1" hidden="1" customHeight="1" x14ac:dyDescent="0.5">
      <c r="A95" s="83"/>
      <c r="B95" s="266"/>
      <c r="C95" s="267"/>
      <c r="D95" s="267"/>
      <c r="E95" s="268"/>
      <c r="F95" s="64"/>
      <c r="G95" s="64"/>
      <c r="H95" s="82"/>
      <c r="I95" s="81"/>
      <c r="J95" s="64"/>
      <c r="K95" s="80"/>
      <c r="L95" s="79">
        <f t="shared" si="28"/>
        <v>0</v>
      </c>
      <c r="M95" s="64"/>
      <c r="N95" s="64"/>
      <c r="O95" s="64"/>
      <c r="P95" s="80"/>
      <c r="Q95" s="79">
        <f t="shared" si="29"/>
        <v>0</v>
      </c>
      <c r="R95" s="269" t="s">
        <v>282</v>
      </c>
      <c r="S95" s="270"/>
      <c r="T95" s="266"/>
      <c r="U95" s="267"/>
      <c r="V95" s="267"/>
      <c r="W95" s="268"/>
      <c r="X95" s="271">
        <f>IFERROR(INDEX(Table394123[],MATCH(R95,Table394123[Film Type],),3),"")</f>
        <v>0</v>
      </c>
      <c r="Y95" s="271"/>
      <c r="Z95" s="78" t="s">
        <v>55</v>
      </c>
      <c r="AA95" s="78" t="s">
        <v>55</v>
      </c>
      <c r="AB95" s="77"/>
      <c r="AC95" s="76"/>
      <c r="AD95" s="75">
        <f t="shared" si="30"/>
        <v>0</v>
      </c>
      <c r="AG95" s="74">
        <f t="shared" si="31"/>
        <v>0</v>
      </c>
      <c r="AK95" s="65">
        <f t="shared" si="32"/>
        <v>0</v>
      </c>
      <c r="AL95" s="65">
        <f t="shared" si="33"/>
        <v>0</v>
      </c>
      <c r="AM95" s="65">
        <f t="shared" si="34"/>
        <v>0</v>
      </c>
      <c r="AN95" s="73">
        <f t="shared" si="35"/>
        <v>0</v>
      </c>
      <c r="AO95" s="65" t="str">
        <f t="shared" si="36"/>
        <v>0.00</v>
      </c>
      <c r="AP95" s="65" t="str">
        <f t="shared" si="37"/>
        <v>0</v>
      </c>
      <c r="AQ95" s="71">
        <f t="shared" si="38"/>
        <v>0</v>
      </c>
      <c r="AR95" s="72">
        <f t="shared" si="39"/>
        <v>0</v>
      </c>
      <c r="AS95" s="71">
        <f t="shared" si="40"/>
        <v>0</v>
      </c>
      <c r="AT95" s="70">
        <f t="shared" si="41"/>
        <v>0</v>
      </c>
      <c r="AU95" s="70">
        <f t="shared" si="42"/>
        <v>0</v>
      </c>
      <c r="AV95" s="2"/>
      <c r="AW95" s="66">
        <f t="shared" si="43"/>
        <v>0</v>
      </c>
      <c r="AX95" s="68">
        <f>_xlfn.IFNA(INDEX(Table394123[I $ p/ft2],MATCH(R95,Table394123[Film Type],0)),1.75)</f>
        <v>1.75</v>
      </c>
      <c r="AY95" s="69">
        <f>VLOOKUP(Z95,Table134931[#All],2,FALSE)</f>
        <v>1</v>
      </c>
      <c r="AZ95" s="68">
        <f t="shared" si="44"/>
        <v>1.75</v>
      </c>
      <c r="BA95" s="65">
        <f t="shared" si="45"/>
        <v>0</v>
      </c>
      <c r="BB95" s="64">
        <f t="shared" si="46"/>
        <v>0</v>
      </c>
      <c r="BC95" s="67">
        <f t="shared" si="47"/>
        <v>0</v>
      </c>
      <c r="BD95" s="66">
        <f t="shared" si="48"/>
        <v>0</v>
      </c>
      <c r="BE95" s="64"/>
      <c r="BF95" s="66">
        <f t="shared" si="49"/>
        <v>0</v>
      </c>
      <c r="BG95" s="66">
        <f t="shared" si="50"/>
        <v>0</v>
      </c>
      <c r="BH95" s="65">
        <f>VLOOKUP(AA95,Table155133[#All],2,FALSE)</f>
        <v>1</v>
      </c>
      <c r="BI95" s="65">
        <f t="shared" si="51"/>
        <v>0</v>
      </c>
      <c r="BJ95" s="64" t="str">
        <f t="shared" si="52"/>
        <v>0</v>
      </c>
      <c r="CK95" s="86" t="s">
        <v>111</v>
      </c>
      <c r="CL95" s="2">
        <v>1.76</v>
      </c>
      <c r="CM95" s="2">
        <f t="shared" si="53"/>
        <v>1.9360000000000002</v>
      </c>
      <c r="CN95" s="10">
        <v>1.5</v>
      </c>
      <c r="CO95" s="84">
        <f t="shared" si="54"/>
        <v>0</v>
      </c>
    </row>
    <row r="96" spans="1:93" ht="11.1" hidden="1" customHeight="1" x14ac:dyDescent="0.5">
      <c r="A96" s="83"/>
      <c r="B96" s="266"/>
      <c r="C96" s="267"/>
      <c r="D96" s="267"/>
      <c r="E96" s="268"/>
      <c r="F96" s="64"/>
      <c r="G96" s="64"/>
      <c r="H96" s="82"/>
      <c r="I96" s="81"/>
      <c r="J96" s="64"/>
      <c r="K96" s="80"/>
      <c r="L96" s="79">
        <f t="shared" si="28"/>
        <v>0</v>
      </c>
      <c r="M96" s="64"/>
      <c r="N96" s="64"/>
      <c r="O96" s="64"/>
      <c r="P96" s="80"/>
      <c r="Q96" s="79">
        <f t="shared" si="29"/>
        <v>0</v>
      </c>
      <c r="R96" s="269" t="s">
        <v>282</v>
      </c>
      <c r="S96" s="270"/>
      <c r="T96" s="266"/>
      <c r="U96" s="267"/>
      <c r="V96" s="267"/>
      <c r="W96" s="268"/>
      <c r="X96" s="271">
        <f>IFERROR(INDEX(Table394123[],MATCH(R96,Table394123[Film Type],),3),"")</f>
        <v>0</v>
      </c>
      <c r="Y96" s="271"/>
      <c r="Z96" s="78" t="s">
        <v>55</v>
      </c>
      <c r="AA96" s="78" t="s">
        <v>55</v>
      </c>
      <c r="AB96" s="77"/>
      <c r="AC96" s="76"/>
      <c r="AD96" s="75">
        <f t="shared" si="30"/>
        <v>0</v>
      </c>
      <c r="AG96" s="74">
        <f t="shared" si="31"/>
        <v>0</v>
      </c>
      <c r="AK96" s="65">
        <f t="shared" si="32"/>
        <v>0</v>
      </c>
      <c r="AL96" s="65">
        <f t="shared" si="33"/>
        <v>0</v>
      </c>
      <c r="AM96" s="65">
        <f t="shared" si="34"/>
        <v>0</v>
      </c>
      <c r="AN96" s="73">
        <f t="shared" si="35"/>
        <v>0</v>
      </c>
      <c r="AO96" s="65" t="str">
        <f t="shared" si="36"/>
        <v>0.00</v>
      </c>
      <c r="AP96" s="65" t="str">
        <f t="shared" si="37"/>
        <v>0</v>
      </c>
      <c r="AQ96" s="71">
        <f t="shared" si="38"/>
        <v>0</v>
      </c>
      <c r="AR96" s="72">
        <f t="shared" si="39"/>
        <v>0</v>
      </c>
      <c r="AS96" s="71">
        <f t="shared" si="40"/>
        <v>0</v>
      </c>
      <c r="AT96" s="70">
        <f t="shared" si="41"/>
        <v>0</v>
      </c>
      <c r="AU96" s="70">
        <f t="shared" si="42"/>
        <v>0</v>
      </c>
      <c r="AV96" s="2"/>
      <c r="AW96" s="66">
        <f t="shared" si="43"/>
        <v>0</v>
      </c>
      <c r="AX96" s="68">
        <f>_xlfn.IFNA(INDEX(Table394123[I $ p/ft2],MATCH(R96,Table394123[Film Type],0)),1.75)</f>
        <v>1.75</v>
      </c>
      <c r="AY96" s="69">
        <f>VLOOKUP(Z96,Table134931[#All],2,FALSE)</f>
        <v>1</v>
      </c>
      <c r="AZ96" s="68">
        <f t="shared" si="44"/>
        <v>1.75</v>
      </c>
      <c r="BA96" s="65">
        <f t="shared" si="45"/>
        <v>0</v>
      </c>
      <c r="BB96" s="64">
        <f t="shared" si="46"/>
        <v>0</v>
      </c>
      <c r="BC96" s="67">
        <f t="shared" si="47"/>
        <v>0</v>
      </c>
      <c r="BD96" s="66">
        <f t="shared" si="48"/>
        <v>0</v>
      </c>
      <c r="BE96" s="64"/>
      <c r="BF96" s="66">
        <f t="shared" si="49"/>
        <v>0</v>
      </c>
      <c r="BG96" s="66">
        <f t="shared" si="50"/>
        <v>0</v>
      </c>
      <c r="BH96" s="65">
        <f>VLOOKUP(AA96,Table155133[#All],2,FALSE)</f>
        <v>1</v>
      </c>
      <c r="BI96" s="65">
        <f t="shared" si="51"/>
        <v>0</v>
      </c>
      <c r="BJ96" s="64" t="str">
        <f t="shared" si="52"/>
        <v>0</v>
      </c>
      <c r="CK96" s="86" t="s">
        <v>110</v>
      </c>
      <c r="CL96" s="2">
        <v>1.1299999999999999</v>
      </c>
      <c r="CM96" s="2">
        <f t="shared" si="53"/>
        <v>1.2429999999999999</v>
      </c>
      <c r="CN96" s="10">
        <v>1.5</v>
      </c>
      <c r="CO96" s="84">
        <f t="shared" si="54"/>
        <v>0</v>
      </c>
    </row>
    <row r="97" spans="1:93" ht="11.1" hidden="1" customHeight="1" x14ac:dyDescent="0.5">
      <c r="A97" s="83"/>
      <c r="B97" s="266"/>
      <c r="C97" s="267"/>
      <c r="D97" s="267"/>
      <c r="E97" s="268"/>
      <c r="F97" s="64"/>
      <c r="G97" s="64"/>
      <c r="H97" s="82"/>
      <c r="I97" s="81"/>
      <c r="J97" s="64"/>
      <c r="K97" s="80"/>
      <c r="L97" s="79">
        <f t="shared" si="28"/>
        <v>0</v>
      </c>
      <c r="M97" s="64"/>
      <c r="N97" s="64"/>
      <c r="O97" s="64"/>
      <c r="P97" s="80"/>
      <c r="Q97" s="79">
        <f t="shared" si="29"/>
        <v>0</v>
      </c>
      <c r="R97" s="269" t="s">
        <v>282</v>
      </c>
      <c r="S97" s="270"/>
      <c r="T97" s="266"/>
      <c r="U97" s="267"/>
      <c r="V97" s="267"/>
      <c r="W97" s="268"/>
      <c r="X97" s="271">
        <f>IFERROR(INDEX(Table394123[],MATCH(R97,Table394123[Film Type],),3),"")</f>
        <v>0</v>
      </c>
      <c r="Y97" s="271"/>
      <c r="Z97" s="78" t="s">
        <v>55</v>
      </c>
      <c r="AA97" s="78" t="s">
        <v>55</v>
      </c>
      <c r="AB97" s="77"/>
      <c r="AC97" s="76"/>
      <c r="AD97" s="75">
        <f t="shared" si="30"/>
        <v>0</v>
      </c>
      <c r="AG97" s="74">
        <f t="shared" si="31"/>
        <v>0</v>
      </c>
      <c r="AK97" s="65">
        <f t="shared" si="32"/>
        <v>0</v>
      </c>
      <c r="AL97" s="65">
        <f t="shared" si="33"/>
        <v>0</v>
      </c>
      <c r="AM97" s="65">
        <f t="shared" si="34"/>
        <v>0</v>
      </c>
      <c r="AN97" s="73">
        <f t="shared" si="35"/>
        <v>0</v>
      </c>
      <c r="AO97" s="65" t="str">
        <f t="shared" si="36"/>
        <v>0.00</v>
      </c>
      <c r="AP97" s="65" t="str">
        <f t="shared" si="37"/>
        <v>0</v>
      </c>
      <c r="AQ97" s="71">
        <f t="shared" si="38"/>
        <v>0</v>
      </c>
      <c r="AR97" s="72">
        <f t="shared" si="39"/>
        <v>0</v>
      </c>
      <c r="AS97" s="71">
        <f t="shared" si="40"/>
        <v>0</v>
      </c>
      <c r="AT97" s="70">
        <f t="shared" si="41"/>
        <v>0</v>
      </c>
      <c r="AU97" s="70">
        <f t="shared" si="42"/>
        <v>0</v>
      </c>
      <c r="AV97" s="2"/>
      <c r="AW97" s="66">
        <f t="shared" si="43"/>
        <v>0</v>
      </c>
      <c r="AX97" s="68">
        <f>_xlfn.IFNA(INDEX(Table394123[I $ p/ft2],MATCH(R97,Table394123[Film Type],0)),1.75)</f>
        <v>1.75</v>
      </c>
      <c r="AY97" s="69">
        <f>VLOOKUP(Z97,Table134931[#All],2,FALSE)</f>
        <v>1</v>
      </c>
      <c r="AZ97" s="68">
        <f t="shared" si="44"/>
        <v>1.75</v>
      </c>
      <c r="BA97" s="65">
        <f t="shared" si="45"/>
        <v>0</v>
      </c>
      <c r="BB97" s="64">
        <f t="shared" si="46"/>
        <v>0</v>
      </c>
      <c r="BC97" s="67">
        <f t="shared" si="47"/>
        <v>0</v>
      </c>
      <c r="BD97" s="66">
        <f t="shared" si="48"/>
        <v>0</v>
      </c>
      <c r="BE97" s="64"/>
      <c r="BF97" s="66">
        <f t="shared" si="49"/>
        <v>0</v>
      </c>
      <c r="BG97" s="66">
        <f t="shared" si="50"/>
        <v>0</v>
      </c>
      <c r="BH97" s="65">
        <f>VLOOKUP(AA97,Table155133[#All],2,FALSE)</f>
        <v>1</v>
      </c>
      <c r="BI97" s="65">
        <f t="shared" si="51"/>
        <v>0</v>
      </c>
      <c r="BJ97" s="64" t="str">
        <f t="shared" si="52"/>
        <v>0</v>
      </c>
      <c r="CK97" s="86" t="s">
        <v>109</v>
      </c>
      <c r="CL97" s="2">
        <v>1.1299999999999999</v>
      </c>
      <c r="CM97" s="2">
        <f t="shared" si="53"/>
        <v>1.2429999999999999</v>
      </c>
      <c r="CN97" s="10">
        <v>1.5</v>
      </c>
      <c r="CO97" s="84">
        <f t="shared" si="54"/>
        <v>0</v>
      </c>
    </row>
    <row r="98" spans="1:93" ht="11.1" hidden="1" customHeight="1" x14ac:dyDescent="0.5">
      <c r="A98" s="83"/>
      <c r="B98" s="266"/>
      <c r="C98" s="267"/>
      <c r="D98" s="267"/>
      <c r="E98" s="268"/>
      <c r="F98" s="64"/>
      <c r="G98" s="64"/>
      <c r="H98" s="82"/>
      <c r="I98" s="81"/>
      <c r="J98" s="64"/>
      <c r="K98" s="80"/>
      <c r="L98" s="79">
        <f t="shared" si="28"/>
        <v>0</v>
      </c>
      <c r="M98" s="64"/>
      <c r="N98" s="64"/>
      <c r="O98" s="64"/>
      <c r="P98" s="80"/>
      <c r="Q98" s="79">
        <f t="shared" si="29"/>
        <v>0</v>
      </c>
      <c r="R98" s="269" t="s">
        <v>282</v>
      </c>
      <c r="S98" s="270"/>
      <c r="T98" s="266"/>
      <c r="U98" s="267"/>
      <c r="V98" s="267"/>
      <c r="W98" s="268"/>
      <c r="X98" s="271">
        <f>IFERROR(INDEX(Table394123[],MATCH(R98,Table394123[Film Type],),3),"")</f>
        <v>0</v>
      </c>
      <c r="Y98" s="271"/>
      <c r="Z98" s="78" t="s">
        <v>55</v>
      </c>
      <c r="AA98" s="78" t="s">
        <v>55</v>
      </c>
      <c r="AB98" s="77"/>
      <c r="AC98" s="76"/>
      <c r="AD98" s="75">
        <f t="shared" si="30"/>
        <v>0</v>
      </c>
      <c r="AG98" s="74">
        <f t="shared" si="31"/>
        <v>0</v>
      </c>
      <c r="AK98" s="65">
        <f t="shared" si="32"/>
        <v>0</v>
      </c>
      <c r="AL98" s="65">
        <f t="shared" si="33"/>
        <v>0</v>
      </c>
      <c r="AM98" s="65">
        <f t="shared" si="34"/>
        <v>0</v>
      </c>
      <c r="AN98" s="73">
        <f t="shared" si="35"/>
        <v>0</v>
      </c>
      <c r="AO98" s="65" t="str">
        <f t="shared" si="36"/>
        <v>0.00</v>
      </c>
      <c r="AP98" s="65" t="str">
        <f t="shared" si="37"/>
        <v>0</v>
      </c>
      <c r="AQ98" s="71">
        <f t="shared" si="38"/>
        <v>0</v>
      </c>
      <c r="AR98" s="72">
        <f t="shared" si="39"/>
        <v>0</v>
      </c>
      <c r="AS98" s="71">
        <f t="shared" si="40"/>
        <v>0</v>
      </c>
      <c r="AT98" s="70">
        <f t="shared" si="41"/>
        <v>0</v>
      </c>
      <c r="AU98" s="70">
        <f t="shared" si="42"/>
        <v>0</v>
      </c>
      <c r="AV98" s="2"/>
      <c r="AW98" s="66">
        <f t="shared" si="43"/>
        <v>0</v>
      </c>
      <c r="AX98" s="68">
        <f>_xlfn.IFNA(INDEX(Table394123[I $ p/ft2],MATCH(R98,Table394123[Film Type],0)),1.75)</f>
        <v>1.75</v>
      </c>
      <c r="AY98" s="69">
        <f>VLOOKUP(Z98,Table134931[#All],2,FALSE)</f>
        <v>1</v>
      </c>
      <c r="AZ98" s="68">
        <f t="shared" si="44"/>
        <v>1.75</v>
      </c>
      <c r="BA98" s="65">
        <f t="shared" si="45"/>
        <v>0</v>
      </c>
      <c r="BB98" s="64">
        <f t="shared" si="46"/>
        <v>0</v>
      </c>
      <c r="BC98" s="67">
        <f t="shared" si="47"/>
        <v>0</v>
      </c>
      <c r="BD98" s="66">
        <f t="shared" si="48"/>
        <v>0</v>
      </c>
      <c r="BE98" s="64"/>
      <c r="BF98" s="66">
        <f t="shared" si="49"/>
        <v>0</v>
      </c>
      <c r="BG98" s="66">
        <f t="shared" si="50"/>
        <v>0</v>
      </c>
      <c r="BH98" s="65">
        <f>VLOOKUP(AA98,Table155133[#All],2,FALSE)</f>
        <v>1</v>
      </c>
      <c r="BI98" s="65">
        <f t="shared" si="51"/>
        <v>0</v>
      </c>
      <c r="BJ98" s="64" t="str">
        <f t="shared" si="52"/>
        <v>0</v>
      </c>
      <c r="CK98" s="86" t="s">
        <v>108</v>
      </c>
      <c r="CL98" s="2">
        <v>1.1299999999999999</v>
      </c>
      <c r="CM98" s="2">
        <f t="shared" si="53"/>
        <v>1.2429999999999999</v>
      </c>
      <c r="CN98" s="10">
        <v>1.5</v>
      </c>
      <c r="CO98" s="84">
        <f t="shared" si="54"/>
        <v>0</v>
      </c>
    </row>
    <row r="99" spans="1:93" ht="11.1" hidden="1" customHeight="1" x14ac:dyDescent="0.5">
      <c r="A99" s="83"/>
      <c r="B99" s="266"/>
      <c r="C99" s="267"/>
      <c r="D99" s="267"/>
      <c r="E99" s="268"/>
      <c r="F99" s="64"/>
      <c r="G99" s="64"/>
      <c r="H99" s="82"/>
      <c r="I99" s="81"/>
      <c r="J99" s="64"/>
      <c r="K99" s="80"/>
      <c r="L99" s="79">
        <f t="shared" si="28"/>
        <v>0</v>
      </c>
      <c r="M99" s="64"/>
      <c r="N99" s="64"/>
      <c r="O99" s="64"/>
      <c r="P99" s="80"/>
      <c r="Q99" s="79">
        <f t="shared" si="29"/>
        <v>0</v>
      </c>
      <c r="R99" s="269" t="s">
        <v>282</v>
      </c>
      <c r="S99" s="270"/>
      <c r="T99" s="266"/>
      <c r="U99" s="267"/>
      <c r="V99" s="267"/>
      <c r="W99" s="268"/>
      <c r="X99" s="271">
        <f>IFERROR(INDEX(Table394123[],MATCH(R99,Table394123[Film Type],),3),"")</f>
        <v>0</v>
      </c>
      <c r="Y99" s="271"/>
      <c r="Z99" s="78" t="s">
        <v>55</v>
      </c>
      <c r="AA99" s="78" t="s">
        <v>55</v>
      </c>
      <c r="AB99" s="77"/>
      <c r="AC99" s="76"/>
      <c r="AD99" s="75">
        <f t="shared" si="30"/>
        <v>0</v>
      </c>
      <c r="AG99" s="74">
        <f t="shared" si="31"/>
        <v>0</v>
      </c>
      <c r="AK99" s="65">
        <f t="shared" si="32"/>
        <v>0</v>
      </c>
      <c r="AL99" s="65">
        <f t="shared" si="33"/>
        <v>0</v>
      </c>
      <c r="AM99" s="65">
        <f t="shared" si="34"/>
        <v>0</v>
      </c>
      <c r="AN99" s="73">
        <f t="shared" si="35"/>
        <v>0</v>
      </c>
      <c r="AO99" s="65" t="str">
        <f t="shared" si="36"/>
        <v>0.00</v>
      </c>
      <c r="AP99" s="65" t="str">
        <f t="shared" si="37"/>
        <v>0</v>
      </c>
      <c r="AQ99" s="71">
        <f t="shared" si="38"/>
        <v>0</v>
      </c>
      <c r="AR99" s="72">
        <f t="shared" si="39"/>
        <v>0</v>
      </c>
      <c r="AS99" s="71">
        <f t="shared" si="40"/>
        <v>0</v>
      </c>
      <c r="AT99" s="70">
        <f t="shared" si="41"/>
        <v>0</v>
      </c>
      <c r="AU99" s="70">
        <f t="shared" si="42"/>
        <v>0</v>
      </c>
      <c r="AV99" s="2"/>
      <c r="AW99" s="66">
        <f t="shared" si="43"/>
        <v>0</v>
      </c>
      <c r="AX99" s="68">
        <f>_xlfn.IFNA(INDEX(Table394123[I $ p/ft2],MATCH(R99,Table394123[Film Type],0)),1.75)</f>
        <v>1.75</v>
      </c>
      <c r="AY99" s="69">
        <f>VLOOKUP(Z99,Table134931[#All],2,FALSE)</f>
        <v>1</v>
      </c>
      <c r="AZ99" s="68">
        <f t="shared" si="44"/>
        <v>1.75</v>
      </c>
      <c r="BA99" s="65">
        <f t="shared" si="45"/>
        <v>0</v>
      </c>
      <c r="BB99" s="64">
        <f t="shared" si="46"/>
        <v>0</v>
      </c>
      <c r="BC99" s="67">
        <f t="shared" si="47"/>
        <v>0</v>
      </c>
      <c r="BD99" s="66">
        <f t="shared" si="48"/>
        <v>0</v>
      </c>
      <c r="BE99" s="64"/>
      <c r="BF99" s="66">
        <f t="shared" si="49"/>
        <v>0</v>
      </c>
      <c r="BG99" s="66">
        <f t="shared" si="50"/>
        <v>0</v>
      </c>
      <c r="BH99" s="65">
        <f>VLOOKUP(AA99,Table155133[#All],2,FALSE)</f>
        <v>1</v>
      </c>
      <c r="BI99" s="65">
        <f t="shared" si="51"/>
        <v>0</v>
      </c>
      <c r="BJ99" s="64" t="str">
        <f t="shared" si="52"/>
        <v>0</v>
      </c>
      <c r="CK99" s="86" t="s">
        <v>107</v>
      </c>
      <c r="CL99" s="2">
        <v>1.1599999999999999</v>
      </c>
      <c r="CM99" s="2">
        <f t="shared" si="53"/>
        <v>1.276</v>
      </c>
      <c r="CN99" s="10">
        <v>1.5</v>
      </c>
      <c r="CO99" s="84">
        <f t="shared" si="54"/>
        <v>0</v>
      </c>
    </row>
    <row r="100" spans="1:93" ht="11.1" hidden="1" customHeight="1" x14ac:dyDescent="0.5">
      <c r="A100" s="83"/>
      <c r="B100" s="266"/>
      <c r="C100" s="267"/>
      <c r="D100" s="267"/>
      <c r="E100" s="268"/>
      <c r="F100" s="64"/>
      <c r="G100" s="64"/>
      <c r="H100" s="82"/>
      <c r="I100" s="81"/>
      <c r="J100" s="64"/>
      <c r="K100" s="80"/>
      <c r="L100" s="79">
        <f t="shared" si="28"/>
        <v>0</v>
      </c>
      <c r="M100" s="64"/>
      <c r="N100" s="64"/>
      <c r="O100" s="64"/>
      <c r="P100" s="80"/>
      <c r="Q100" s="79">
        <f t="shared" si="29"/>
        <v>0</v>
      </c>
      <c r="R100" s="269" t="s">
        <v>282</v>
      </c>
      <c r="S100" s="270"/>
      <c r="T100" s="266"/>
      <c r="U100" s="267"/>
      <c r="V100" s="267"/>
      <c r="W100" s="268"/>
      <c r="X100" s="271">
        <f>IFERROR(INDEX(Table394123[],MATCH(R100,Table394123[Film Type],),3),"")</f>
        <v>0</v>
      </c>
      <c r="Y100" s="271"/>
      <c r="Z100" s="78" t="s">
        <v>55</v>
      </c>
      <c r="AA100" s="78" t="s">
        <v>55</v>
      </c>
      <c r="AB100" s="77"/>
      <c r="AC100" s="76"/>
      <c r="AD100" s="75">
        <f t="shared" si="30"/>
        <v>0</v>
      </c>
      <c r="AG100" s="74">
        <f t="shared" si="31"/>
        <v>0</v>
      </c>
      <c r="AK100" s="65">
        <f t="shared" si="32"/>
        <v>0</v>
      </c>
      <c r="AL100" s="65">
        <f t="shared" si="33"/>
        <v>0</v>
      </c>
      <c r="AM100" s="65">
        <f t="shared" si="34"/>
        <v>0</v>
      </c>
      <c r="AN100" s="73">
        <f t="shared" si="35"/>
        <v>0</v>
      </c>
      <c r="AO100" s="65" t="str">
        <f t="shared" si="36"/>
        <v>0.00</v>
      </c>
      <c r="AP100" s="65" t="str">
        <f t="shared" si="37"/>
        <v>0</v>
      </c>
      <c r="AQ100" s="71">
        <f t="shared" si="38"/>
        <v>0</v>
      </c>
      <c r="AR100" s="72">
        <f t="shared" si="39"/>
        <v>0</v>
      </c>
      <c r="AS100" s="71">
        <f t="shared" si="40"/>
        <v>0</v>
      </c>
      <c r="AT100" s="70">
        <f t="shared" si="41"/>
        <v>0</v>
      </c>
      <c r="AU100" s="70">
        <f t="shared" si="42"/>
        <v>0</v>
      </c>
      <c r="AV100" s="2"/>
      <c r="AW100" s="66">
        <f t="shared" si="43"/>
        <v>0</v>
      </c>
      <c r="AX100" s="68">
        <f>_xlfn.IFNA(INDEX(Table394123[I $ p/ft2],MATCH(R100,Table394123[Film Type],0)),1.75)</f>
        <v>1.75</v>
      </c>
      <c r="AY100" s="69">
        <f>VLOOKUP(Z100,Table134931[#All],2,FALSE)</f>
        <v>1</v>
      </c>
      <c r="AZ100" s="68">
        <f t="shared" si="44"/>
        <v>1.75</v>
      </c>
      <c r="BA100" s="65">
        <f t="shared" si="45"/>
        <v>0</v>
      </c>
      <c r="BB100" s="64">
        <f t="shared" si="46"/>
        <v>0</v>
      </c>
      <c r="BC100" s="67">
        <f t="shared" si="47"/>
        <v>0</v>
      </c>
      <c r="BD100" s="66">
        <f t="shared" si="48"/>
        <v>0</v>
      </c>
      <c r="BE100" s="64"/>
      <c r="BF100" s="66">
        <f t="shared" si="49"/>
        <v>0</v>
      </c>
      <c r="BG100" s="66">
        <f t="shared" si="50"/>
        <v>0</v>
      </c>
      <c r="BH100" s="65">
        <f>VLOOKUP(AA100,Table155133[#All],2,FALSE)</f>
        <v>1</v>
      </c>
      <c r="BI100" s="65">
        <f t="shared" si="51"/>
        <v>0</v>
      </c>
      <c r="BJ100" s="64" t="str">
        <f t="shared" si="52"/>
        <v>0</v>
      </c>
      <c r="CK100" s="86" t="s">
        <v>106</v>
      </c>
      <c r="CL100" s="2">
        <v>1.1299999999999999</v>
      </c>
      <c r="CM100" s="2">
        <f t="shared" si="53"/>
        <v>1.2429999999999999</v>
      </c>
      <c r="CN100" s="10">
        <v>1.5</v>
      </c>
      <c r="CO100" s="84">
        <f t="shared" si="54"/>
        <v>0</v>
      </c>
    </row>
    <row r="101" spans="1:93" ht="11.1" hidden="1" customHeight="1" x14ac:dyDescent="0.5">
      <c r="A101" s="83"/>
      <c r="B101" s="266"/>
      <c r="C101" s="267"/>
      <c r="D101" s="267"/>
      <c r="E101" s="268"/>
      <c r="F101" s="64"/>
      <c r="G101" s="64"/>
      <c r="H101" s="82"/>
      <c r="I101" s="81"/>
      <c r="J101" s="64"/>
      <c r="K101" s="80"/>
      <c r="L101" s="79">
        <f t="shared" si="28"/>
        <v>0</v>
      </c>
      <c r="M101" s="64"/>
      <c r="N101" s="64"/>
      <c r="O101" s="64"/>
      <c r="P101" s="80"/>
      <c r="Q101" s="79">
        <f t="shared" si="29"/>
        <v>0</v>
      </c>
      <c r="R101" s="269" t="s">
        <v>282</v>
      </c>
      <c r="S101" s="270"/>
      <c r="T101" s="266"/>
      <c r="U101" s="267"/>
      <c r="V101" s="267"/>
      <c r="W101" s="268"/>
      <c r="X101" s="271">
        <f>IFERROR(INDEX(Table394123[],MATCH(R101,Table394123[Film Type],),3),"")</f>
        <v>0</v>
      </c>
      <c r="Y101" s="271"/>
      <c r="Z101" s="78" t="s">
        <v>55</v>
      </c>
      <c r="AA101" s="78" t="s">
        <v>55</v>
      </c>
      <c r="AB101" s="77"/>
      <c r="AC101" s="76"/>
      <c r="AD101" s="75">
        <f t="shared" si="30"/>
        <v>0</v>
      </c>
      <c r="AG101" s="74">
        <f t="shared" si="31"/>
        <v>0</v>
      </c>
      <c r="AK101" s="65">
        <f t="shared" si="32"/>
        <v>0</v>
      </c>
      <c r="AL101" s="65">
        <f t="shared" si="33"/>
        <v>0</v>
      </c>
      <c r="AM101" s="65">
        <f t="shared" si="34"/>
        <v>0</v>
      </c>
      <c r="AN101" s="73">
        <f t="shared" si="35"/>
        <v>0</v>
      </c>
      <c r="AO101" s="65" t="str">
        <f t="shared" si="36"/>
        <v>0.00</v>
      </c>
      <c r="AP101" s="65" t="str">
        <f t="shared" si="37"/>
        <v>0</v>
      </c>
      <c r="AQ101" s="71">
        <f t="shared" si="38"/>
        <v>0</v>
      </c>
      <c r="AR101" s="72">
        <f t="shared" si="39"/>
        <v>0</v>
      </c>
      <c r="AS101" s="71">
        <f t="shared" si="40"/>
        <v>0</v>
      </c>
      <c r="AT101" s="70">
        <f t="shared" si="41"/>
        <v>0</v>
      </c>
      <c r="AU101" s="70">
        <f t="shared" si="42"/>
        <v>0</v>
      </c>
      <c r="AV101" s="2"/>
      <c r="AW101" s="66">
        <f t="shared" si="43"/>
        <v>0</v>
      </c>
      <c r="AX101" s="68">
        <f>_xlfn.IFNA(INDEX(Table394123[I $ p/ft2],MATCH(R101,Table394123[Film Type],0)),1.75)</f>
        <v>1.75</v>
      </c>
      <c r="AY101" s="69">
        <f>VLOOKUP(Z101,Table134931[#All],2,FALSE)</f>
        <v>1</v>
      </c>
      <c r="AZ101" s="68">
        <f t="shared" si="44"/>
        <v>1.75</v>
      </c>
      <c r="BA101" s="65">
        <f t="shared" si="45"/>
        <v>0</v>
      </c>
      <c r="BB101" s="64">
        <f t="shared" si="46"/>
        <v>0</v>
      </c>
      <c r="BC101" s="67">
        <f t="shared" si="47"/>
        <v>0</v>
      </c>
      <c r="BD101" s="66">
        <f t="shared" si="48"/>
        <v>0</v>
      </c>
      <c r="BE101" s="64"/>
      <c r="BF101" s="66">
        <f t="shared" si="49"/>
        <v>0</v>
      </c>
      <c r="BG101" s="66">
        <f t="shared" si="50"/>
        <v>0</v>
      </c>
      <c r="BH101" s="65">
        <f>VLOOKUP(AA101,Table155133[#All],2,FALSE)</f>
        <v>1</v>
      </c>
      <c r="BI101" s="65">
        <f t="shared" si="51"/>
        <v>0</v>
      </c>
      <c r="BJ101" s="64" t="str">
        <f t="shared" si="52"/>
        <v>0</v>
      </c>
      <c r="CK101" s="86" t="s">
        <v>105</v>
      </c>
      <c r="CL101" s="2">
        <v>1.1299999999999999</v>
      </c>
      <c r="CM101" s="2">
        <f t="shared" si="53"/>
        <v>1.2429999999999999</v>
      </c>
      <c r="CN101" s="10">
        <v>1.5</v>
      </c>
      <c r="CO101" s="84">
        <f t="shared" si="54"/>
        <v>0</v>
      </c>
    </row>
    <row r="102" spans="1:93" ht="11.1" hidden="1" customHeight="1" x14ac:dyDescent="0.5">
      <c r="A102" s="83"/>
      <c r="B102" s="266"/>
      <c r="C102" s="267"/>
      <c r="D102" s="267"/>
      <c r="E102" s="268"/>
      <c r="F102" s="64"/>
      <c r="G102" s="64"/>
      <c r="H102" s="82"/>
      <c r="I102" s="81"/>
      <c r="J102" s="64"/>
      <c r="K102" s="80"/>
      <c r="L102" s="79">
        <f t="shared" si="28"/>
        <v>0</v>
      </c>
      <c r="M102" s="64"/>
      <c r="N102" s="64"/>
      <c r="O102" s="64"/>
      <c r="P102" s="80"/>
      <c r="Q102" s="79">
        <f t="shared" si="29"/>
        <v>0</v>
      </c>
      <c r="R102" s="269" t="s">
        <v>282</v>
      </c>
      <c r="S102" s="270"/>
      <c r="T102" s="266"/>
      <c r="U102" s="267"/>
      <c r="V102" s="267"/>
      <c r="W102" s="268"/>
      <c r="X102" s="271">
        <f>IFERROR(INDEX(Table394123[],MATCH(R102,Table394123[Film Type],),3),"")</f>
        <v>0</v>
      </c>
      <c r="Y102" s="271"/>
      <c r="Z102" s="78" t="s">
        <v>55</v>
      </c>
      <c r="AA102" s="78" t="s">
        <v>55</v>
      </c>
      <c r="AB102" s="77"/>
      <c r="AC102" s="76"/>
      <c r="AD102" s="75">
        <f t="shared" si="30"/>
        <v>0</v>
      </c>
      <c r="AG102" s="74">
        <f t="shared" si="31"/>
        <v>0</v>
      </c>
      <c r="AK102" s="65">
        <f t="shared" si="32"/>
        <v>0</v>
      </c>
      <c r="AL102" s="65">
        <f t="shared" si="33"/>
        <v>0</v>
      </c>
      <c r="AM102" s="65">
        <f t="shared" si="34"/>
        <v>0</v>
      </c>
      <c r="AN102" s="73">
        <f t="shared" si="35"/>
        <v>0</v>
      </c>
      <c r="AO102" s="65" t="str">
        <f t="shared" si="36"/>
        <v>0.00</v>
      </c>
      <c r="AP102" s="65" t="str">
        <f t="shared" si="37"/>
        <v>0</v>
      </c>
      <c r="AQ102" s="71">
        <f t="shared" si="38"/>
        <v>0</v>
      </c>
      <c r="AR102" s="72">
        <f t="shared" si="39"/>
        <v>0</v>
      </c>
      <c r="AS102" s="71">
        <f t="shared" si="40"/>
        <v>0</v>
      </c>
      <c r="AT102" s="70">
        <f t="shared" si="41"/>
        <v>0</v>
      </c>
      <c r="AU102" s="70">
        <f t="shared" si="42"/>
        <v>0</v>
      </c>
      <c r="AV102" s="2"/>
      <c r="AW102" s="66">
        <f t="shared" si="43"/>
        <v>0</v>
      </c>
      <c r="AX102" s="68">
        <f>_xlfn.IFNA(INDEX(Table394123[I $ p/ft2],MATCH(R102,Table394123[Film Type],0)),1.75)</f>
        <v>1.75</v>
      </c>
      <c r="AY102" s="69">
        <f>VLOOKUP(Z102,Table134931[#All],2,FALSE)</f>
        <v>1</v>
      </c>
      <c r="AZ102" s="68">
        <f t="shared" si="44"/>
        <v>1.75</v>
      </c>
      <c r="BA102" s="65">
        <f t="shared" si="45"/>
        <v>0</v>
      </c>
      <c r="BB102" s="64">
        <f t="shared" si="46"/>
        <v>0</v>
      </c>
      <c r="BC102" s="67">
        <f t="shared" si="47"/>
        <v>0</v>
      </c>
      <c r="BD102" s="66">
        <f t="shared" si="48"/>
        <v>0</v>
      </c>
      <c r="BE102" s="64"/>
      <c r="BF102" s="66">
        <f t="shared" si="49"/>
        <v>0</v>
      </c>
      <c r="BG102" s="66">
        <f t="shared" si="50"/>
        <v>0</v>
      </c>
      <c r="BH102" s="65">
        <f>VLOOKUP(AA102,Table155133[#All],2,FALSE)</f>
        <v>1</v>
      </c>
      <c r="BI102" s="65">
        <f t="shared" si="51"/>
        <v>0</v>
      </c>
      <c r="BJ102" s="64" t="str">
        <f t="shared" si="52"/>
        <v>0</v>
      </c>
      <c r="CK102" s="86" t="s">
        <v>104</v>
      </c>
      <c r="CL102" s="2">
        <v>1.1599999999999999</v>
      </c>
      <c r="CM102" s="2">
        <f t="shared" si="53"/>
        <v>1.276</v>
      </c>
      <c r="CN102" s="10">
        <v>1.5</v>
      </c>
      <c r="CO102" s="84">
        <f t="shared" si="54"/>
        <v>0</v>
      </c>
    </row>
    <row r="103" spans="1:93" ht="11.1" hidden="1" customHeight="1" x14ac:dyDescent="0.5">
      <c r="A103" s="83"/>
      <c r="B103" s="266"/>
      <c r="C103" s="267"/>
      <c r="D103" s="267"/>
      <c r="E103" s="268"/>
      <c r="F103" s="64"/>
      <c r="G103" s="64"/>
      <c r="H103" s="82"/>
      <c r="I103" s="81"/>
      <c r="J103" s="64"/>
      <c r="K103" s="80"/>
      <c r="L103" s="79">
        <f t="shared" si="28"/>
        <v>0</v>
      </c>
      <c r="M103" s="64"/>
      <c r="N103" s="64"/>
      <c r="O103" s="64"/>
      <c r="P103" s="80"/>
      <c r="Q103" s="79">
        <f t="shared" si="29"/>
        <v>0</v>
      </c>
      <c r="R103" s="269" t="s">
        <v>282</v>
      </c>
      <c r="S103" s="270"/>
      <c r="T103" s="266"/>
      <c r="U103" s="267"/>
      <c r="V103" s="267"/>
      <c r="W103" s="268"/>
      <c r="X103" s="271">
        <f>IFERROR(INDEX(Table394123[],MATCH(R103,Table394123[Film Type],),3),"")</f>
        <v>0</v>
      </c>
      <c r="Y103" s="271"/>
      <c r="Z103" s="78" t="s">
        <v>55</v>
      </c>
      <c r="AA103" s="78" t="s">
        <v>55</v>
      </c>
      <c r="AB103" s="77"/>
      <c r="AC103" s="76"/>
      <c r="AD103" s="75">
        <f t="shared" si="30"/>
        <v>0</v>
      </c>
      <c r="AG103" s="74">
        <f t="shared" si="31"/>
        <v>0</v>
      </c>
      <c r="AK103" s="65">
        <f t="shared" si="32"/>
        <v>0</v>
      </c>
      <c r="AL103" s="65">
        <f t="shared" si="33"/>
        <v>0</v>
      </c>
      <c r="AM103" s="65">
        <f t="shared" si="34"/>
        <v>0</v>
      </c>
      <c r="AN103" s="73">
        <f t="shared" si="35"/>
        <v>0</v>
      </c>
      <c r="AO103" s="65" t="str">
        <f t="shared" si="36"/>
        <v>0.00</v>
      </c>
      <c r="AP103" s="65" t="str">
        <f t="shared" si="37"/>
        <v>0</v>
      </c>
      <c r="AQ103" s="71">
        <f t="shared" si="38"/>
        <v>0</v>
      </c>
      <c r="AR103" s="72">
        <f t="shared" si="39"/>
        <v>0</v>
      </c>
      <c r="AS103" s="71">
        <f t="shared" si="40"/>
        <v>0</v>
      </c>
      <c r="AT103" s="70">
        <f t="shared" si="41"/>
        <v>0</v>
      </c>
      <c r="AU103" s="70">
        <f t="shared" si="42"/>
        <v>0</v>
      </c>
      <c r="AV103" s="2"/>
      <c r="AW103" s="66">
        <f t="shared" si="43"/>
        <v>0</v>
      </c>
      <c r="AX103" s="68">
        <f>_xlfn.IFNA(INDEX(Table394123[I $ p/ft2],MATCH(R103,Table394123[Film Type],0)),1.75)</f>
        <v>1.75</v>
      </c>
      <c r="AY103" s="69">
        <f>VLOOKUP(Z103,Table134931[#All],2,FALSE)</f>
        <v>1</v>
      </c>
      <c r="AZ103" s="68">
        <f t="shared" si="44"/>
        <v>1.75</v>
      </c>
      <c r="BA103" s="65">
        <f t="shared" si="45"/>
        <v>0</v>
      </c>
      <c r="BB103" s="64">
        <f t="shared" si="46"/>
        <v>0</v>
      </c>
      <c r="BC103" s="67">
        <f t="shared" si="47"/>
        <v>0</v>
      </c>
      <c r="BD103" s="66">
        <f t="shared" si="48"/>
        <v>0</v>
      </c>
      <c r="BE103" s="64"/>
      <c r="BF103" s="66">
        <f t="shared" si="49"/>
        <v>0</v>
      </c>
      <c r="BG103" s="66">
        <f t="shared" si="50"/>
        <v>0</v>
      </c>
      <c r="BH103" s="65">
        <f>VLOOKUP(AA103,Table155133[#All],2,FALSE)</f>
        <v>1</v>
      </c>
      <c r="BI103" s="65">
        <f t="shared" si="51"/>
        <v>0</v>
      </c>
      <c r="BJ103" s="64" t="str">
        <f t="shared" si="52"/>
        <v>0</v>
      </c>
      <c r="CK103" s="86" t="s">
        <v>103</v>
      </c>
      <c r="CL103" s="2">
        <v>0.8</v>
      </c>
      <c r="CM103" s="2">
        <f t="shared" si="53"/>
        <v>0.88000000000000012</v>
      </c>
      <c r="CN103" s="10">
        <v>1.5</v>
      </c>
      <c r="CO103" s="84">
        <f t="shared" ref="CO103:CO134" si="55">(O103*K103)/12</f>
        <v>0</v>
      </c>
    </row>
    <row r="104" spans="1:93" ht="11.1" hidden="1" customHeight="1" x14ac:dyDescent="0.5">
      <c r="A104" s="83"/>
      <c r="B104" s="266"/>
      <c r="C104" s="267"/>
      <c r="D104" s="267"/>
      <c r="E104" s="268"/>
      <c r="F104" s="64"/>
      <c r="G104" s="64"/>
      <c r="H104" s="82"/>
      <c r="I104" s="81"/>
      <c r="J104" s="64"/>
      <c r="K104" s="80"/>
      <c r="L104" s="79">
        <f t="shared" si="28"/>
        <v>0</v>
      </c>
      <c r="M104" s="64"/>
      <c r="N104" s="64"/>
      <c r="O104" s="64"/>
      <c r="P104" s="80"/>
      <c r="Q104" s="79">
        <f t="shared" si="29"/>
        <v>0</v>
      </c>
      <c r="R104" s="269" t="s">
        <v>282</v>
      </c>
      <c r="S104" s="270"/>
      <c r="T104" s="266"/>
      <c r="U104" s="267"/>
      <c r="V104" s="267"/>
      <c r="W104" s="268"/>
      <c r="X104" s="271">
        <f>IFERROR(INDEX(Table394123[],MATCH(R104,Table394123[Film Type],),3),"")</f>
        <v>0</v>
      </c>
      <c r="Y104" s="271"/>
      <c r="Z104" s="78" t="s">
        <v>55</v>
      </c>
      <c r="AA104" s="78" t="s">
        <v>55</v>
      </c>
      <c r="AB104" s="77"/>
      <c r="AC104" s="76"/>
      <c r="AD104" s="75">
        <f t="shared" si="30"/>
        <v>0</v>
      </c>
      <c r="AG104" s="74">
        <f t="shared" si="31"/>
        <v>0</v>
      </c>
      <c r="AK104" s="65">
        <f t="shared" si="32"/>
        <v>0</v>
      </c>
      <c r="AL104" s="65">
        <f t="shared" si="33"/>
        <v>0</v>
      </c>
      <c r="AM104" s="65">
        <f t="shared" si="34"/>
        <v>0</v>
      </c>
      <c r="AN104" s="73">
        <f t="shared" si="35"/>
        <v>0</v>
      </c>
      <c r="AO104" s="65" t="str">
        <f t="shared" si="36"/>
        <v>0.00</v>
      </c>
      <c r="AP104" s="65" t="str">
        <f t="shared" si="37"/>
        <v>0</v>
      </c>
      <c r="AQ104" s="71">
        <f t="shared" si="38"/>
        <v>0</v>
      </c>
      <c r="AR104" s="72">
        <f t="shared" si="39"/>
        <v>0</v>
      </c>
      <c r="AS104" s="71">
        <f t="shared" si="40"/>
        <v>0</v>
      </c>
      <c r="AT104" s="70">
        <f t="shared" si="41"/>
        <v>0</v>
      </c>
      <c r="AU104" s="70">
        <f t="shared" si="42"/>
        <v>0</v>
      </c>
      <c r="AV104" s="2"/>
      <c r="AW104" s="66">
        <f t="shared" si="43"/>
        <v>0</v>
      </c>
      <c r="AX104" s="68">
        <f>_xlfn.IFNA(INDEX(Table394123[I $ p/ft2],MATCH(R104,Table394123[Film Type],0)),1.75)</f>
        <v>1.75</v>
      </c>
      <c r="AY104" s="69">
        <f>VLOOKUP(Z104,Table134931[#All],2,FALSE)</f>
        <v>1</v>
      </c>
      <c r="AZ104" s="68">
        <f t="shared" si="44"/>
        <v>1.75</v>
      </c>
      <c r="BA104" s="65">
        <f t="shared" si="45"/>
        <v>0</v>
      </c>
      <c r="BB104" s="64">
        <f t="shared" si="46"/>
        <v>0</v>
      </c>
      <c r="BC104" s="67">
        <f t="shared" si="47"/>
        <v>0</v>
      </c>
      <c r="BD104" s="66">
        <f t="shared" si="48"/>
        <v>0</v>
      </c>
      <c r="BE104" s="64"/>
      <c r="BF104" s="66">
        <f t="shared" si="49"/>
        <v>0</v>
      </c>
      <c r="BG104" s="66">
        <f t="shared" si="50"/>
        <v>0</v>
      </c>
      <c r="BH104" s="65">
        <f>VLOOKUP(AA104,Table155133[#All],2,FALSE)</f>
        <v>1</v>
      </c>
      <c r="BI104" s="65">
        <f t="shared" si="51"/>
        <v>0</v>
      </c>
      <c r="BJ104" s="64" t="str">
        <f t="shared" si="52"/>
        <v>0</v>
      </c>
      <c r="CK104" s="86" t="s">
        <v>102</v>
      </c>
      <c r="CL104" s="2">
        <v>0.8</v>
      </c>
      <c r="CM104" s="2">
        <f t="shared" si="53"/>
        <v>0.88000000000000012</v>
      </c>
      <c r="CN104" s="10">
        <v>1.5</v>
      </c>
      <c r="CO104" s="84">
        <f t="shared" si="55"/>
        <v>0</v>
      </c>
    </row>
    <row r="105" spans="1:93" ht="11.1" hidden="1" customHeight="1" x14ac:dyDescent="0.5">
      <c r="A105" s="83"/>
      <c r="B105" s="266"/>
      <c r="C105" s="267"/>
      <c r="D105" s="267"/>
      <c r="E105" s="268"/>
      <c r="F105" s="64"/>
      <c r="G105" s="64"/>
      <c r="H105" s="82"/>
      <c r="I105" s="81"/>
      <c r="J105" s="64"/>
      <c r="K105" s="80"/>
      <c r="L105" s="79">
        <f t="shared" si="28"/>
        <v>0</v>
      </c>
      <c r="M105" s="64"/>
      <c r="N105" s="64"/>
      <c r="O105" s="64"/>
      <c r="P105" s="80"/>
      <c r="Q105" s="79">
        <f t="shared" si="29"/>
        <v>0</v>
      </c>
      <c r="R105" s="269" t="s">
        <v>282</v>
      </c>
      <c r="S105" s="270"/>
      <c r="T105" s="266"/>
      <c r="U105" s="267"/>
      <c r="V105" s="267"/>
      <c r="W105" s="268"/>
      <c r="X105" s="271">
        <f>IFERROR(INDEX(Table394123[],MATCH(R105,Table394123[Film Type],),3),"")</f>
        <v>0</v>
      </c>
      <c r="Y105" s="271"/>
      <c r="Z105" s="78" t="s">
        <v>55</v>
      </c>
      <c r="AA105" s="78" t="s">
        <v>55</v>
      </c>
      <c r="AB105" s="77"/>
      <c r="AC105" s="76"/>
      <c r="AD105" s="75">
        <f t="shared" si="30"/>
        <v>0</v>
      </c>
      <c r="AG105" s="74">
        <f t="shared" si="31"/>
        <v>0</v>
      </c>
      <c r="AK105" s="65">
        <f t="shared" si="32"/>
        <v>0</v>
      </c>
      <c r="AL105" s="65">
        <f t="shared" si="33"/>
        <v>0</v>
      </c>
      <c r="AM105" s="65">
        <f t="shared" si="34"/>
        <v>0</v>
      </c>
      <c r="AN105" s="73">
        <f t="shared" si="35"/>
        <v>0</v>
      </c>
      <c r="AO105" s="65" t="str">
        <f t="shared" si="36"/>
        <v>0.00</v>
      </c>
      <c r="AP105" s="65" t="str">
        <f t="shared" si="37"/>
        <v>0</v>
      </c>
      <c r="AQ105" s="71">
        <f t="shared" si="38"/>
        <v>0</v>
      </c>
      <c r="AR105" s="72">
        <f t="shared" si="39"/>
        <v>0</v>
      </c>
      <c r="AS105" s="71">
        <f t="shared" si="40"/>
        <v>0</v>
      </c>
      <c r="AT105" s="70">
        <f t="shared" si="41"/>
        <v>0</v>
      </c>
      <c r="AU105" s="70">
        <f t="shared" si="42"/>
        <v>0</v>
      </c>
      <c r="AV105" s="2"/>
      <c r="AW105" s="66">
        <f t="shared" si="43"/>
        <v>0</v>
      </c>
      <c r="AX105" s="68">
        <f>_xlfn.IFNA(INDEX(Table394123[I $ p/ft2],MATCH(R105,Table394123[Film Type],0)),1.75)</f>
        <v>1.75</v>
      </c>
      <c r="AY105" s="69">
        <f>VLOOKUP(Z105,Table134931[#All],2,FALSE)</f>
        <v>1</v>
      </c>
      <c r="AZ105" s="68">
        <f t="shared" si="44"/>
        <v>1.75</v>
      </c>
      <c r="BA105" s="65">
        <f t="shared" si="45"/>
        <v>0</v>
      </c>
      <c r="BB105" s="64">
        <f t="shared" si="46"/>
        <v>0</v>
      </c>
      <c r="BC105" s="67">
        <f t="shared" si="47"/>
        <v>0</v>
      </c>
      <c r="BD105" s="66">
        <f t="shared" si="48"/>
        <v>0</v>
      </c>
      <c r="BE105" s="64"/>
      <c r="BF105" s="66">
        <f t="shared" si="49"/>
        <v>0</v>
      </c>
      <c r="BG105" s="66">
        <f t="shared" si="50"/>
        <v>0</v>
      </c>
      <c r="BH105" s="65">
        <f>VLOOKUP(AA105,Table155133[#All],2,FALSE)</f>
        <v>1</v>
      </c>
      <c r="BI105" s="65">
        <f t="shared" si="51"/>
        <v>0</v>
      </c>
      <c r="BJ105" s="64" t="str">
        <f t="shared" si="52"/>
        <v>0</v>
      </c>
      <c r="CK105" s="86" t="s">
        <v>101</v>
      </c>
      <c r="CL105" s="2">
        <v>0.94</v>
      </c>
      <c r="CM105" s="2">
        <f t="shared" si="53"/>
        <v>1.034</v>
      </c>
      <c r="CN105" s="10">
        <v>1.5</v>
      </c>
      <c r="CO105" s="84">
        <f t="shared" si="55"/>
        <v>0</v>
      </c>
    </row>
    <row r="106" spans="1:93" ht="11.1" hidden="1" customHeight="1" x14ac:dyDescent="0.5">
      <c r="A106" s="83"/>
      <c r="B106" s="266"/>
      <c r="C106" s="267"/>
      <c r="D106" s="267"/>
      <c r="E106" s="268"/>
      <c r="F106" s="64"/>
      <c r="G106" s="64"/>
      <c r="H106" s="82"/>
      <c r="I106" s="81"/>
      <c r="J106" s="64"/>
      <c r="K106" s="80"/>
      <c r="L106" s="79">
        <f t="shared" si="28"/>
        <v>0</v>
      </c>
      <c r="M106" s="64"/>
      <c r="N106" s="64"/>
      <c r="O106" s="64"/>
      <c r="P106" s="80"/>
      <c r="Q106" s="79">
        <f t="shared" si="29"/>
        <v>0</v>
      </c>
      <c r="R106" s="269" t="s">
        <v>282</v>
      </c>
      <c r="S106" s="270"/>
      <c r="T106" s="266"/>
      <c r="U106" s="267"/>
      <c r="V106" s="267"/>
      <c r="W106" s="268"/>
      <c r="X106" s="271">
        <f>IFERROR(INDEX(Table394123[],MATCH(R106,Table394123[Film Type],),3),"")</f>
        <v>0</v>
      </c>
      <c r="Y106" s="271"/>
      <c r="Z106" s="78" t="s">
        <v>55</v>
      </c>
      <c r="AA106" s="78" t="s">
        <v>55</v>
      </c>
      <c r="AB106" s="77"/>
      <c r="AC106" s="76"/>
      <c r="AD106" s="75">
        <f t="shared" si="30"/>
        <v>0</v>
      </c>
      <c r="AG106" s="74">
        <f t="shared" si="31"/>
        <v>0</v>
      </c>
      <c r="AK106" s="65">
        <f t="shared" si="32"/>
        <v>0</v>
      </c>
      <c r="AL106" s="65">
        <f t="shared" si="33"/>
        <v>0</v>
      </c>
      <c r="AM106" s="65">
        <f t="shared" si="34"/>
        <v>0</v>
      </c>
      <c r="AN106" s="73">
        <f t="shared" si="35"/>
        <v>0</v>
      </c>
      <c r="AO106" s="65" t="str">
        <f t="shared" si="36"/>
        <v>0.00</v>
      </c>
      <c r="AP106" s="65" t="str">
        <f t="shared" si="37"/>
        <v>0</v>
      </c>
      <c r="AQ106" s="71">
        <f t="shared" si="38"/>
        <v>0</v>
      </c>
      <c r="AR106" s="72">
        <f t="shared" si="39"/>
        <v>0</v>
      </c>
      <c r="AS106" s="71">
        <f t="shared" si="40"/>
        <v>0</v>
      </c>
      <c r="AT106" s="70">
        <f t="shared" si="41"/>
        <v>0</v>
      </c>
      <c r="AU106" s="70">
        <f t="shared" si="42"/>
        <v>0</v>
      </c>
      <c r="AV106" s="2"/>
      <c r="AW106" s="66">
        <f t="shared" si="43"/>
        <v>0</v>
      </c>
      <c r="AX106" s="68">
        <f>_xlfn.IFNA(INDEX(Table394123[I $ p/ft2],MATCH(R106,Table394123[Film Type],0)),1.75)</f>
        <v>1.75</v>
      </c>
      <c r="AY106" s="69">
        <f>VLOOKUP(Z106,Table134931[#All],2,FALSE)</f>
        <v>1</v>
      </c>
      <c r="AZ106" s="68">
        <f t="shared" si="44"/>
        <v>1.75</v>
      </c>
      <c r="BA106" s="65">
        <f t="shared" si="45"/>
        <v>0</v>
      </c>
      <c r="BB106" s="64">
        <f t="shared" si="46"/>
        <v>0</v>
      </c>
      <c r="BC106" s="67">
        <f t="shared" si="47"/>
        <v>0</v>
      </c>
      <c r="BD106" s="66">
        <f t="shared" si="48"/>
        <v>0</v>
      </c>
      <c r="BE106" s="64"/>
      <c r="BF106" s="66">
        <f t="shared" si="49"/>
        <v>0</v>
      </c>
      <c r="BG106" s="66">
        <f t="shared" si="50"/>
        <v>0</v>
      </c>
      <c r="BH106" s="65">
        <f>VLOOKUP(AA106,Table155133[#All],2,FALSE)</f>
        <v>1</v>
      </c>
      <c r="BI106" s="65">
        <f t="shared" si="51"/>
        <v>0</v>
      </c>
      <c r="BJ106" s="64" t="str">
        <f t="shared" si="52"/>
        <v>0</v>
      </c>
      <c r="CK106" s="86" t="s">
        <v>100</v>
      </c>
      <c r="CL106" s="2">
        <v>1.01</v>
      </c>
      <c r="CM106" s="2">
        <f t="shared" si="53"/>
        <v>1.1110000000000002</v>
      </c>
      <c r="CN106" s="10">
        <v>1.5</v>
      </c>
      <c r="CO106" s="84">
        <f t="shared" si="55"/>
        <v>0</v>
      </c>
    </row>
    <row r="107" spans="1:93" ht="11.1" hidden="1" customHeight="1" x14ac:dyDescent="0.5">
      <c r="A107" s="83"/>
      <c r="B107" s="266"/>
      <c r="C107" s="267"/>
      <c r="D107" s="267"/>
      <c r="E107" s="268"/>
      <c r="F107" s="64"/>
      <c r="G107" s="64"/>
      <c r="H107" s="82"/>
      <c r="I107" s="81"/>
      <c r="J107" s="64"/>
      <c r="K107" s="80"/>
      <c r="L107" s="79">
        <f t="shared" si="28"/>
        <v>0</v>
      </c>
      <c r="M107" s="64"/>
      <c r="N107" s="64"/>
      <c r="O107" s="64"/>
      <c r="P107" s="80"/>
      <c r="Q107" s="79">
        <f t="shared" si="29"/>
        <v>0</v>
      </c>
      <c r="R107" s="269" t="s">
        <v>282</v>
      </c>
      <c r="S107" s="270"/>
      <c r="T107" s="266"/>
      <c r="U107" s="267"/>
      <c r="V107" s="267"/>
      <c r="W107" s="268"/>
      <c r="X107" s="271">
        <f>IFERROR(INDEX(Table394123[],MATCH(R107,Table394123[Film Type],),3),"")</f>
        <v>0</v>
      </c>
      <c r="Y107" s="271"/>
      <c r="Z107" s="78" t="s">
        <v>55</v>
      </c>
      <c r="AA107" s="78" t="s">
        <v>55</v>
      </c>
      <c r="AB107" s="77"/>
      <c r="AC107" s="76"/>
      <c r="AD107" s="75">
        <f t="shared" si="30"/>
        <v>0</v>
      </c>
      <c r="AG107" s="74">
        <f t="shared" si="31"/>
        <v>0</v>
      </c>
      <c r="AK107" s="65">
        <f t="shared" si="32"/>
        <v>0</v>
      </c>
      <c r="AL107" s="65">
        <f t="shared" si="33"/>
        <v>0</v>
      </c>
      <c r="AM107" s="65">
        <f t="shared" si="34"/>
        <v>0</v>
      </c>
      <c r="AN107" s="73">
        <f t="shared" si="35"/>
        <v>0</v>
      </c>
      <c r="AO107" s="65" t="str">
        <f t="shared" si="36"/>
        <v>0.00</v>
      </c>
      <c r="AP107" s="65" t="str">
        <f t="shared" si="37"/>
        <v>0</v>
      </c>
      <c r="AQ107" s="71">
        <f t="shared" si="38"/>
        <v>0</v>
      </c>
      <c r="AR107" s="72">
        <f t="shared" si="39"/>
        <v>0</v>
      </c>
      <c r="AS107" s="71">
        <f t="shared" si="40"/>
        <v>0</v>
      </c>
      <c r="AT107" s="70">
        <f t="shared" si="41"/>
        <v>0</v>
      </c>
      <c r="AU107" s="70">
        <f t="shared" si="42"/>
        <v>0</v>
      </c>
      <c r="AV107" s="2"/>
      <c r="AW107" s="66">
        <f t="shared" si="43"/>
        <v>0</v>
      </c>
      <c r="AX107" s="68">
        <f>_xlfn.IFNA(INDEX(Table394123[I $ p/ft2],MATCH(R107,Table394123[Film Type],0)),1.75)</f>
        <v>1.75</v>
      </c>
      <c r="AY107" s="69">
        <f>VLOOKUP(Z107,Table134931[#All],2,FALSE)</f>
        <v>1</v>
      </c>
      <c r="AZ107" s="68">
        <f t="shared" si="44"/>
        <v>1.75</v>
      </c>
      <c r="BA107" s="65">
        <f t="shared" si="45"/>
        <v>0</v>
      </c>
      <c r="BB107" s="64">
        <f t="shared" si="46"/>
        <v>0</v>
      </c>
      <c r="BC107" s="67">
        <f t="shared" si="47"/>
        <v>0</v>
      </c>
      <c r="BD107" s="66">
        <f t="shared" si="48"/>
        <v>0</v>
      </c>
      <c r="BE107" s="64"/>
      <c r="BF107" s="66">
        <f t="shared" si="49"/>
        <v>0</v>
      </c>
      <c r="BG107" s="66">
        <f t="shared" si="50"/>
        <v>0</v>
      </c>
      <c r="BH107" s="65">
        <f>VLOOKUP(AA107,Table155133[#All],2,FALSE)</f>
        <v>1</v>
      </c>
      <c r="BI107" s="65">
        <f t="shared" si="51"/>
        <v>0</v>
      </c>
      <c r="BJ107" s="64" t="str">
        <f t="shared" si="52"/>
        <v>0</v>
      </c>
      <c r="CK107" s="86" t="s">
        <v>99</v>
      </c>
      <c r="CL107" s="2">
        <v>0.81</v>
      </c>
      <c r="CM107" s="2">
        <f t="shared" si="53"/>
        <v>0.89100000000000013</v>
      </c>
      <c r="CN107" s="10">
        <v>1.5</v>
      </c>
      <c r="CO107" s="84">
        <f t="shared" si="55"/>
        <v>0</v>
      </c>
    </row>
    <row r="108" spans="1:93" ht="11.1" hidden="1" customHeight="1" x14ac:dyDescent="0.5">
      <c r="A108" s="83"/>
      <c r="B108" s="266"/>
      <c r="C108" s="267"/>
      <c r="D108" s="267"/>
      <c r="E108" s="268"/>
      <c r="F108" s="64"/>
      <c r="G108" s="64"/>
      <c r="H108" s="82"/>
      <c r="I108" s="81"/>
      <c r="J108" s="64"/>
      <c r="K108" s="80"/>
      <c r="L108" s="79">
        <f t="shared" si="28"/>
        <v>0</v>
      </c>
      <c r="M108" s="64"/>
      <c r="N108" s="64"/>
      <c r="O108" s="64"/>
      <c r="P108" s="80"/>
      <c r="Q108" s="79">
        <f t="shared" si="29"/>
        <v>0</v>
      </c>
      <c r="R108" s="269" t="s">
        <v>282</v>
      </c>
      <c r="S108" s="270"/>
      <c r="T108" s="266"/>
      <c r="U108" s="267"/>
      <c r="V108" s="267"/>
      <c r="W108" s="268"/>
      <c r="X108" s="271">
        <f>IFERROR(INDEX(Table394123[],MATCH(R108,Table394123[Film Type],),3),"")</f>
        <v>0</v>
      </c>
      <c r="Y108" s="271"/>
      <c r="Z108" s="78" t="s">
        <v>55</v>
      </c>
      <c r="AA108" s="78" t="s">
        <v>55</v>
      </c>
      <c r="AB108" s="77"/>
      <c r="AC108" s="76"/>
      <c r="AD108" s="75">
        <f t="shared" si="30"/>
        <v>0</v>
      </c>
      <c r="AG108" s="74">
        <f t="shared" si="31"/>
        <v>0</v>
      </c>
      <c r="AK108" s="65">
        <f t="shared" si="32"/>
        <v>0</v>
      </c>
      <c r="AL108" s="65">
        <f t="shared" si="33"/>
        <v>0</v>
      </c>
      <c r="AM108" s="65">
        <f t="shared" si="34"/>
        <v>0</v>
      </c>
      <c r="AN108" s="73">
        <f t="shared" si="35"/>
        <v>0</v>
      </c>
      <c r="AO108" s="65" t="str">
        <f t="shared" si="36"/>
        <v>0.00</v>
      </c>
      <c r="AP108" s="65" t="str">
        <f t="shared" si="37"/>
        <v>0</v>
      </c>
      <c r="AQ108" s="71">
        <f t="shared" si="38"/>
        <v>0</v>
      </c>
      <c r="AR108" s="72">
        <f t="shared" si="39"/>
        <v>0</v>
      </c>
      <c r="AS108" s="71">
        <f t="shared" si="40"/>
        <v>0</v>
      </c>
      <c r="AT108" s="70">
        <f t="shared" si="41"/>
        <v>0</v>
      </c>
      <c r="AU108" s="70">
        <f t="shared" si="42"/>
        <v>0</v>
      </c>
      <c r="AV108" s="2"/>
      <c r="AW108" s="66">
        <f t="shared" si="43"/>
        <v>0</v>
      </c>
      <c r="AX108" s="68">
        <f>_xlfn.IFNA(INDEX(Table394123[I $ p/ft2],MATCH(R108,Table394123[Film Type],0)),1.75)</f>
        <v>1.75</v>
      </c>
      <c r="AY108" s="69">
        <f>VLOOKUP(Z108,Table134931[#All],2,FALSE)</f>
        <v>1</v>
      </c>
      <c r="AZ108" s="68">
        <f t="shared" si="44"/>
        <v>1.75</v>
      </c>
      <c r="BA108" s="65">
        <f t="shared" si="45"/>
        <v>0</v>
      </c>
      <c r="BB108" s="64">
        <f t="shared" si="46"/>
        <v>0</v>
      </c>
      <c r="BC108" s="67">
        <f t="shared" si="47"/>
        <v>0</v>
      </c>
      <c r="BD108" s="66">
        <f t="shared" si="48"/>
        <v>0</v>
      </c>
      <c r="BE108" s="64"/>
      <c r="BF108" s="66">
        <f t="shared" si="49"/>
        <v>0</v>
      </c>
      <c r="BG108" s="66">
        <f t="shared" si="50"/>
        <v>0</v>
      </c>
      <c r="BH108" s="65">
        <f>VLOOKUP(AA108,Table155133[#All],2,FALSE)</f>
        <v>1</v>
      </c>
      <c r="BI108" s="65">
        <f t="shared" si="51"/>
        <v>0</v>
      </c>
      <c r="BJ108" s="64" t="str">
        <f t="shared" si="52"/>
        <v>0</v>
      </c>
      <c r="CK108" s="86" t="s">
        <v>98</v>
      </c>
      <c r="CL108" s="2">
        <v>1.21</v>
      </c>
      <c r="CM108" s="2">
        <f t="shared" si="53"/>
        <v>1.331</v>
      </c>
      <c r="CN108" s="10">
        <v>2</v>
      </c>
      <c r="CO108" s="84">
        <f t="shared" si="55"/>
        <v>0</v>
      </c>
    </row>
    <row r="109" spans="1:93" ht="11.1" hidden="1" customHeight="1" x14ac:dyDescent="0.5">
      <c r="A109" s="83"/>
      <c r="B109" s="266"/>
      <c r="C109" s="267"/>
      <c r="D109" s="267"/>
      <c r="E109" s="268"/>
      <c r="F109" s="64"/>
      <c r="G109" s="64"/>
      <c r="H109" s="82"/>
      <c r="I109" s="81"/>
      <c r="J109" s="64"/>
      <c r="K109" s="80"/>
      <c r="L109" s="79">
        <f t="shared" si="28"/>
        <v>0</v>
      </c>
      <c r="M109" s="64"/>
      <c r="N109" s="64"/>
      <c r="O109" s="64"/>
      <c r="P109" s="80"/>
      <c r="Q109" s="79">
        <f t="shared" si="29"/>
        <v>0</v>
      </c>
      <c r="R109" s="269" t="s">
        <v>282</v>
      </c>
      <c r="S109" s="270"/>
      <c r="T109" s="266"/>
      <c r="U109" s="267"/>
      <c r="V109" s="267"/>
      <c r="W109" s="268"/>
      <c r="X109" s="271">
        <f>IFERROR(INDEX(Table394123[],MATCH(R109,Table394123[Film Type],),3),"")</f>
        <v>0</v>
      </c>
      <c r="Y109" s="271"/>
      <c r="Z109" s="78" t="s">
        <v>55</v>
      </c>
      <c r="AA109" s="78" t="s">
        <v>55</v>
      </c>
      <c r="AB109" s="77"/>
      <c r="AC109" s="76"/>
      <c r="AD109" s="75">
        <f t="shared" si="30"/>
        <v>0</v>
      </c>
      <c r="AG109" s="74">
        <f t="shared" si="31"/>
        <v>0</v>
      </c>
      <c r="AK109" s="65">
        <f t="shared" si="32"/>
        <v>0</v>
      </c>
      <c r="AL109" s="65">
        <f t="shared" si="33"/>
        <v>0</v>
      </c>
      <c r="AM109" s="65">
        <f t="shared" si="34"/>
        <v>0</v>
      </c>
      <c r="AN109" s="73">
        <f t="shared" si="35"/>
        <v>0</v>
      </c>
      <c r="AO109" s="65" t="str">
        <f t="shared" si="36"/>
        <v>0.00</v>
      </c>
      <c r="AP109" s="65" t="str">
        <f t="shared" si="37"/>
        <v>0</v>
      </c>
      <c r="AQ109" s="71">
        <f t="shared" si="38"/>
        <v>0</v>
      </c>
      <c r="AR109" s="72">
        <f t="shared" si="39"/>
        <v>0</v>
      </c>
      <c r="AS109" s="71">
        <f t="shared" si="40"/>
        <v>0</v>
      </c>
      <c r="AT109" s="70">
        <f t="shared" si="41"/>
        <v>0</v>
      </c>
      <c r="AU109" s="70">
        <f t="shared" si="42"/>
        <v>0</v>
      </c>
      <c r="AV109" s="2"/>
      <c r="AW109" s="66">
        <f t="shared" si="43"/>
        <v>0</v>
      </c>
      <c r="AX109" s="68">
        <f>_xlfn.IFNA(INDEX(Table394123[I $ p/ft2],MATCH(R109,Table394123[Film Type],0)),1.75)</f>
        <v>1.75</v>
      </c>
      <c r="AY109" s="69">
        <f>VLOOKUP(Z109,Table134931[#All],2,FALSE)</f>
        <v>1</v>
      </c>
      <c r="AZ109" s="68">
        <f t="shared" si="44"/>
        <v>1.75</v>
      </c>
      <c r="BA109" s="65">
        <f t="shared" si="45"/>
        <v>0</v>
      </c>
      <c r="BB109" s="64">
        <f t="shared" si="46"/>
        <v>0</v>
      </c>
      <c r="BC109" s="67">
        <f t="shared" si="47"/>
        <v>0</v>
      </c>
      <c r="BD109" s="66">
        <f t="shared" si="48"/>
        <v>0</v>
      </c>
      <c r="BE109" s="64"/>
      <c r="BF109" s="66">
        <f t="shared" si="49"/>
        <v>0</v>
      </c>
      <c r="BG109" s="66">
        <f t="shared" si="50"/>
        <v>0</v>
      </c>
      <c r="BH109" s="65">
        <f>VLOOKUP(AA109,Table155133[#All],2,FALSE)</f>
        <v>1</v>
      </c>
      <c r="BI109" s="65">
        <f t="shared" si="51"/>
        <v>0</v>
      </c>
      <c r="BJ109" s="64" t="str">
        <f t="shared" si="52"/>
        <v>0</v>
      </c>
      <c r="CK109" s="86" t="s">
        <v>97</v>
      </c>
      <c r="CL109" s="2">
        <v>1.24</v>
      </c>
      <c r="CM109" s="2">
        <f t="shared" si="53"/>
        <v>1.3640000000000001</v>
      </c>
      <c r="CN109" s="10">
        <v>2</v>
      </c>
      <c r="CO109" s="84">
        <f t="shared" si="55"/>
        <v>0</v>
      </c>
    </row>
    <row r="110" spans="1:93" ht="11.1" hidden="1" customHeight="1" x14ac:dyDescent="0.5">
      <c r="A110" s="83"/>
      <c r="B110" s="266"/>
      <c r="C110" s="267"/>
      <c r="D110" s="267"/>
      <c r="E110" s="268"/>
      <c r="F110" s="64"/>
      <c r="G110" s="64"/>
      <c r="H110" s="82"/>
      <c r="I110" s="81"/>
      <c r="J110" s="64"/>
      <c r="K110" s="80"/>
      <c r="L110" s="79">
        <f t="shared" si="28"/>
        <v>0</v>
      </c>
      <c r="M110" s="64"/>
      <c r="N110" s="64"/>
      <c r="O110" s="64"/>
      <c r="P110" s="80"/>
      <c r="Q110" s="79">
        <f t="shared" si="29"/>
        <v>0</v>
      </c>
      <c r="R110" s="269" t="s">
        <v>282</v>
      </c>
      <c r="S110" s="270"/>
      <c r="T110" s="266"/>
      <c r="U110" s="267"/>
      <c r="V110" s="267"/>
      <c r="W110" s="268"/>
      <c r="X110" s="271">
        <f>IFERROR(INDEX(Table394123[],MATCH(R110,Table394123[Film Type],),3),"")</f>
        <v>0</v>
      </c>
      <c r="Y110" s="271"/>
      <c r="Z110" s="78" t="s">
        <v>55</v>
      </c>
      <c r="AA110" s="78" t="s">
        <v>55</v>
      </c>
      <c r="AB110" s="77"/>
      <c r="AC110" s="76"/>
      <c r="AD110" s="75">
        <f t="shared" si="30"/>
        <v>0</v>
      </c>
      <c r="AG110" s="74">
        <f t="shared" si="31"/>
        <v>0</v>
      </c>
      <c r="AK110" s="65">
        <f t="shared" si="32"/>
        <v>0</v>
      </c>
      <c r="AL110" s="65">
        <f t="shared" si="33"/>
        <v>0</v>
      </c>
      <c r="AM110" s="65">
        <f t="shared" si="34"/>
        <v>0</v>
      </c>
      <c r="AN110" s="73">
        <f t="shared" si="35"/>
        <v>0</v>
      </c>
      <c r="AO110" s="65" t="str">
        <f t="shared" si="36"/>
        <v>0.00</v>
      </c>
      <c r="AP110" s="65" t="str">
        <f t="shared" si="37"/>
        <v>0</v>
      </c>
      <c r="AQ110" s="71">
        <f t="shared" si="38"/>
        <v>0</v>
      </c>
      <c r="AR110" s="72">
        <f t="shared" si="39"/>
        <v>0</v>
      </c>
      <c r="AS110" s="71">
        <f t="shared" si="40"/>
        <v>0</v>
      </c>
      <c r="AT110" s="70">
        <f t="shared" si="41"/>
        <v>0</v>
      </c>
      <c r="AU110" s="70">
        <f t="shared" si="42"/>
        <v>0</v>
      </c>
      <c r="AV110" s="2"/>
      <c r="AW110" s="66">
        <f t="shared" si="43"/>
        <v>0</v>
      </c>
      <c r="AX110" s="68">
        <f>_xlfn.IFNA(INDEX(Table394123[I $ p/ft2],MATCH(R110,Table394123[Film Type],0)),1.75)</f>
        <v>1.75</v>
      </c>
      <c r="AY110" s="69">
        <f>VLOOKUP(Z110,Table134931[#All],2,FALSE)</f>
        <v>1</v>
      </c>
      <c r="AZ110" s="68">
        <f t="shared" si="44"/>
        <v>1.75</v>
      </c>
      <c r="BA110" s="65">
        <f t="shared" si="45"/>
        <v>0</v>
      </c>
      <c r="BB110" s="64">
        <f t="shared" si="46"/>
        <v>0</v>
      </c>
      <c r="BC110" s="67">
        <f t="shared" si="47"/>
        <v>0</v>
      </c>
      <c r="BD110" s="66">
        <f t="shared" si="48"/>
        <v>0</v>
      </c>
      <c r="BE110" s="64"/>
      <c r="BF110" s="66">
        <f t="shared" si="49"/>
        <v>0</v>
      </c>
      <c r="BG110" s="66">
        <f t="shared" si="50"/>
        <v>0</v>
      </c>
      <c r="BH110" s="65">
        <f>VLOOKUP(AA110,Table155133[#All],2,FALSE)</f>
        <v>1</v>
      </c>
      <c r="BI110" s="65">
        <f t="shared" si="51"/>
        <v>0</v>
      </c>
      <c r="BJ110" s="64" t="str">
        <f t="shared" si="52"/>
        <v>0</v>
      </c>
      <c r="CK110" s="86" t="s">
        <v>96</v>
      </c>
      <c r="CL110" s="2">
        <v>1.05</v>
      </c>
      <c r="CM110" s="2">
        <f t="shared" si="53"/>
        <v>1.1550000000000002</v>
      </c>
      <c r="CN110" s="10">
        <v>2</v>
      </c>
      <c r="CO110" s="84">
        <f t="shared" si="55"/>
        <v>0</v>
      </c>
    </row>
    <row r="111" spans="1:93" ht="11.1" hidden="1" customHeight="1" x14ac:dyDescent="0.5">
      <c r="A111" s="83"/>
      <c r="B111" s="266"/>
      <c r="C111" s="267"/>
      <c r="D111" s="267"/>
      <c r="E111" s="268"/>
      <c r="F111" s="64"/>
      <c r="G111" s="64"/>
      <c r="H111" s="82"/>
      <c r="I111" s="81"/>
      <c r="J111" s="64"/>
      <c r="K111" s="80"/>
      <c r="L111" s="79">
        <f t="shared" si="28"/>
        <v>0</v>
      </c>
      <c r="M111" s="64"/>
      <c r="N111" s="64"/>
      <c r="O111" s="64"/>
      <c r="P111" s="80"/>
      <c r="Q111" s="79">
        <f t="shared" si="29"/>
        <v>0</v>
      </c>
      <c r="R111" s="269" t="s">
        <v>282</v>
      </c>
      <c r="S111" s="270"/>
      <c r="T111" s="266"/>
      <c r="U111" s="267"/>
      <c r="V111" s="267"/>
      <c r="W111" s="268"/>
      <c r="X111" s="271">
        <f>IFERROR(INDEX(Table394123[],MATCH(R111,Table394123[Film Type],),3),"")</f>
        <v>0</v>
      </c>
      <c r="Y111" s="271"/>
      <c r="Z111" s="78" t="s">
        <v>55</v>
      </c>
      <c r="AA111" s="78" t="s">
        <v>55</v>
      </c>
      <c r="AB111" s="77"/>
      <c r="AC111" s="76"/>
      <c r="AD111" s="75">
        <f t="shared" si="30"/>
        <v>0</v>
      </c>
      <c r="AG111" s="74">
        <f t="shared" si="31"/>
        <v>0</v>
      </c>
      <c r="AK111" s="65">
        <f t="shared" si="32"/>
        <v>0</v>
      </c>
      <c r="AL111" s="65">
        <f t="shared" si="33"/>
        <v>0</v>
      </c>
      <c r="AM111" s="65">
        <f t="shared" si="34"/>
        <v>0</v>
      </c>
      <c r="AN111" s="73">
        <f t="shared" si="35"/>
        <v>0</v>
      </c>
      <c r="AO111" s="65" t="str">
        <f t="shared" si="36"/>
        <v>0.00</v>
      </c>
      <c r="AP111" s="65" t="str">
        <f t="shared" si="37"/>
        <v>0</v>
      </c>
      <c r="AQ111" s="71">
        <f t="shared" si="38"/>
        <v>0</v>
      </c>
      <c r="AR111" s="72">
        <f t="shared" si="39"/>
        <v>0</v>
      </c>
      <c r="AS111" s="71">
        <f t="shared" si="40"/>
        <v>0</v>
      </c>
      <c r="AT111" s="70">
        <f t="shared" si="41"/>
        <v>0</v>
      </c>
      <c r="AU111" s="70">
        <f t="shared" si="42"/>
        <v>0</v>
      </c>
      <c r="AV111" s="2"/>
      <c r="AW111" s="66">
        <f t="shared" si="43"/>
        <v>0</v>
      </c>
      <c r="AX111" s="68">
        <f>_xlfn.IFNA(INDEX(Table394123[I $ p/ft2],MATCH(R111,Table394123[Film Type],0)),1.75)</f>
        <v>1.75</v>
      </c>
      <c r="AY111" s="69">
        <f>VLOOKUP(Z111,Table134931[#All],2,FALSE)</f>
        <v>1</v>
      </c>
      <c r="AZ111" s="68">
        <f t="shared" si="44"/>
        <v>1.75</v>
      </c>
      <c r="BA111" s="65">
        <f t="shared" si="45"/>
        <v>0</v>
      </c>
      <c r="BB111" s="64">
        <f t="shared" si="46"/>
        <v>0</v>
      </c>
      <c r="BC111" s="67">
        <f t="shared" si="47"/>
        <v>0</v>
      </c>
      <c r="BD111" s="66">
        <f t="shared" si="48"/>
        <v>0</v>
      </c>
      <c r="BE111" s="64"/>
      <c r="BF111" s="66">
        <f t="shared" si="49"/>
        <v>0</v>
      </c>
      <c r="BG111" s="66">
        <f t="shared" si="50"/>
        <v>0</v>
      </c>
      <c r="BH111" s="65">
        <f>VLOOKUP(AA111,Table155133[#All],2,FALSE)</f>
        <v>1</v>
      </c>
      <c r="BI111" s="65">
        <f t="shared" si="51"/>
        <v>0</v>
      </c>
      <c r="BJ111" s="64" t="str">
        <f t="shared" si="52"/>
        <v>0</v>
      </c>
      <c r="CK111" s="86"/>
      <c r="CM111" s="2">
        <f t="shared" si="53"/>
        <v>0</v>
      </c>
      <c r="CN111" s="10"/>
      <c r="CO111" s="84">
        <f t="shared" si="55"/>
        <v>0</v>
      </c>
    </row>
    <row r="112" spans="1:93" ht="11.1" hidden="1" customHeight="1" x14ac:dyDescent="0.5">
      <c r="A112" s="83"/>
      <c r="B112" s="266"/>
      <c r="C112" s="267"/>
      <c r="D112" s="267"/>
      <c r="E112" s="268"/>
      <c r="F112" s="64"/>
      <c r="G112" s="64"/>
      <c r="H112" s="82"/>
      <c r="I112" s="81"/>
      <c r="J112" s="64"/>
      <c r="K112" s="80"/>
      <c r="L112" s="79">
        <f t="shared" si="28"/>
        <v>0</v>
      </c>
      <c r="M112" s="64"/>
      <c r="N112" s="64"/>
      <c r="O112" s="64"/>
      <c r="P112" s="80"/>
      <c r="Q112" s="79">
        <f t="shared" si="29"/>
        <v>0</v>
      </c>
      <c r="R112" s="269" t="s">
        <v>282</v>
      </c>
      <c r="S112" s="270"/>
      <c r="T112" s="266"/>
      <c r="U112" s="267"/>
      <c r="V112" s="267"/>
      <c r="W112" s="268"/>
      <c r="X112" s="271">
        <f>IFERROR(INDEX(Table394123[],MATCH(R112,Table394123[Film Type],),3),"")</f>
        <v>0</v>
      </c>
      <c r="Y112" s="271"/>
      <c r="Z112" s="78" t="s">
        <v>55</v>
      </c>
      <c r="AA112" s="78" t="s">
        <v>55</v>
      </c>
      <c r="AB112" s="77"/>
      <c r="AC112" s="76"/>
      <c r="AD112" s="75">
        <f t="shared" si="30"/>
        <v>0</v>
      </c>
      <c r="AG112" s="74">
        <f t="shared" si="31"/>
        <v>0</v>
      </c>
      <c r="AK112" s="65">
        <f t="shared" si="32"/>
        <v>0</v>
      </c>
      <c r="AL112" s="65">
        <f t="shared" si="33"/>
        <v>0</v>
      </c>
      <c r="AM112" s="65">
        <f t="shared" si="34"/>
        <v>0</v>
      </c>
      <c r="AN112" s="73">
        <f t="shared" si="35"/>
        <v>0</v>
      </c>
      <c r="AO112" s="65" t="str">
        <f t="shared" si="36"/>
        <v>0.00</v>
      </c>
      <c r="AP112" s="65" t="str">
        <f t="shared" si="37"/>
        <v>0</v>
      </c>
      <c r="AQ112" s="71">
        <f t="shared" si="38"/>
        <v>0</v>
      </c>
      <c r="AR112" s="72">
        <f t="shared" si="39"/>
        <v>0</v>
      </c>
      <c r="AS112" s="71">
        <f t="shared" si="40"/>
        <v>0</v>
      </c>
      <c r="AT112" s="70">
        <f t="shared" si="41"/>
        <v>0</v>
      </c>
      <c r="AU112" s="70">
        <f t="shared" si="42"/>
        <v>0</v>
      </c>
      <c r="AV112" s="2"/>
      <c r="AW112" s="66">
        <f t="shared" si="43"/>
        <v>0</v>
      </c>
      <c r="AX112" s="68">
        <f>_xlfn.IFNA(INDEX(Table394123[I $ p/ft2],MATCH(R112,Table394123[Film Type],0)),1.75)</f>
        <v>1.75</v>
      </c>
      <c r="AY112" s="69">
        <f>VLOOKUP(Z112,Table134931[#All],2,FALSE)</f>
        <v>1</v>
      </c>
      <c r="AZ112" s="68">
        <f t="shared" si="44"/>
        <v>1.75</v>
      </c>
      <c r="BA112" s="65">
        <f t="shared" si="45"/>
        <v>0</v>
      </c>
      <c r="BB112" s="64">
        <f t="shared" si="46"/>
        <v>0</v>
      </c>
      <c r="BC112" s="67">
        <f t="shared" si="47"/>
        <v>0</v>
      </c>
      <c r="BD112" s="66">
        <f t="shared" si="48"/>
        <v>0</v>
      </c>
      <c r="BE112" s="64"/>
      <c r="BF112" s="66">
        <f t="shared" si="49"/>
        <v>0</v>
      </c>
      <c r="BG112" s="66">
        <f t="shared" si="50"/>
        <v>0</v>
      </c>
      <c r="BH112" s="65">
        <f>VLOOKUP(AA112,Table155133[#All],2,FALSE)</f>
        <v>1</v>
      </c>
      <c r="BI112" s="65">
        <f t="shared" si="51"/>
        <v>0</v>
      </c>
      <c r="BJ112" s="64" t="str">
        <f t="shared" si="52"/>
        <v>0</v>
      </c>
      <c r="CK112" s="86" t="s">
        <v>95</v>
      </c>
      <c r="CL112" s="2">
        <v>0.97</v>
      </c>
      <c r="CM112" s="2">
        <f t="shared" si="53"/>
        <v>1.0669999999999999</v>
      </c>
      <c r="CN112" s="10">
        <v>1.5</v>
      </c>
      <c r="CO112" s="84">
        <f t="shared" si="55"/>
        <v>0</v>
      </c>
    </row>
    <row r="113" spans="1:93" ht="11.1" hidden="1" customHeight="1" x14ac:dyDescent="0.5">
      <c r="A113" s="83"/>
      <c r="B113" s="266"/>
      <c r="C113" s="267"/>
      <c r="D113" s="267"/>
      <c r="E113" s="268"/>
      <c r="F113" s="64"/>
      <c r="G113" s="64"/>
      <c r="H113" s="82"/>
      <c r="I113" s="81"/>
      <c r="J113" s="64"/>
      <c r="K113" s="80"/>
      <c r="L113" s="79">
        <f t="shared" si="28"/>
        <v>0</v>
      </c>
      <c r="M113" s="64"/>
      <c r="N113" s="64"/>
      <c r="O113" s="64"/>
      <c r="P113" s="80"/>
      <c r="Q113" s="79">
        <f t="shared" si="29"/>
        <v>0</v>
      </c>
      <c r="R113" s="269" t="s">
        <v>282</v>
      </c>
      <c r="S113" s="270"/>
      <c r="T113" s="266"/>
      <c r="U113" s="267"/>
      <c r="V113" s="267"/>
      <c r="W113" s="268"/>
      <c r="X113" s="271">
        <f>IFERROR(INDEX(Table394123[],MATCH(R113,Table394123[Film Type],),3),"")</f>
        <v>0</v>
      </c>
      <c r="Y113" s="271"/>
      <c r="Z113" s="78" t="s">
        <v>55</v>
      </c>
      <c r="AA113" s="78" t="s">
        <v>55</v>
      </c>
      <c r="AB113" s="77"/>
      <c r="AC113" s="76"/>
      <c r="AD113" s="75">
        <f t="shared" si="30"/>
        <v>0</v>
      </c>
      <c r="AG113" s="74">
        <f t="shared" si="31"/>
        <v>0</v>
      </c>
      <c r="AK113" s="65">
        <f t="shared" si="32"/>
        <v>0</v>
      </c>
      <c r="AL113" s="65">
        <f t="shared" si="33"/>
        <v>0</v>
      </c>
      <c r="AM113" s="65">
        <f t="shared" si="34"/>
        <v>0</v>
      </c>
      <c r="AN113" s="73">
        <f t="shared" si="35"/>
        <v>0</v>
      </c>
      <c r="AO113" s="65" t="str">
        <f t="shared" si="36"/>
        <v>0.00</v>
      </c>
      <c r="AP113" s="65" t="str">
        <f t="shared" si="37"/>
        <v>0</v>
      </c>
      <c r="AQ113" s="71">
        <f t="shared" si="38"/>
        <v>0</v>
      </c>
      <c r="AR113" s="72">
        <f t="shared" si="39"/>
        <v>0</v>
      </c>
      <c r="AS113" s="71">
        <f t="shared" si="40"/>
        <v>0</v>
      </c>
      <c r="AT113" s="70">
        <f t="shared" si="41"/>
        <v>0</v>
      </c>
      <c r="AU113" s="70">
        <f t="shared" si="42"/>
        <v>0</v>
      </c>
      <c r="AV113" s="2"/>
      <c r="AW113" s="66">
        <f t="shared" si="43"/>
        <v>0</v>
      </c>
      <c r="AX113" s="68">
        <f>_xlfn.IFNA(INDEX(Table394123[I $ p/ft2],MATCH(R113,Table394123[Film Type],0)),1.75)</f>
        <v>1.75</v>
      </c>
      <c r="AY113" s="69">
        <f>VLOOKUP(Z113,Table134931[#All],2,FALSE)</f>
        <v>1</v>
      </c>
      <c r="AZ113" s="68">
        <f t="shared" si="44"/>
        <v>1.75</v>
      </c>
      <c r="BA113" s="65">
        <f t="shared" si="45"/>
        <v>0</v>
      </c>
      <c r="BB113" s="64">
        <f t="shared" si="46"/>
        <v>0</v>
      </c>
      <c r="BC113" s="67">
        <f t="shared" si="47"/>
        <v>0</v>
      </c>
      <c r="BD113" s="66">
        <f t="shared" si="48"/>
        <v>0</v>
      </c>
      <c r="BE113" s="64"/>
      <c r="BF113" s="66">
        <f t="shared" si="49"/>
        <v>0</v>
      </c>
      <c r="BG113" s="66">
        <f t="shared" si="50"/>
        <v>0</v>
      </c>
      <c r="BH113" s="65">
        <f>VLOOKUP(AA113,Table155133[#All],2,FALSE)</f>
        <v>1</v>
      </c>
      <c r="BI113" s="65">
        <f t="shared" si="51"/>
        <v>0</v>
      </c>
      <c r="BJ113" s="64" t="str">
        <f t="shared" si="52"/>
        <v>0</v>
      </c>
      <c r="CK113" s="86" t="s">
        <v>94</v>
      </c>
      <c r="CL113" s="2">
        <v>0.87</v>
      </c>
      <c r="CM113" s="2">
        <f t="shared" si="53"/>
        <v>0.95700000000000007</v>
      </c>
      <c r="CN113" s="10">
        <v>1.5</v>
      </c>
      <c r="CO113" s="84">
        <f t="shared" si="55"/>
        <v>0</v>
      </c>
    </row>
    <row r="114" spans="1:93" ht="11.1" hidden="1" customHeight="1" x14ac:dyDescent="0.5">
      <c r="A114" s="83"/>
      <c r="B114" s="266"/>
      <c r="C114" s="267"/>
      <c r="D114" s="267"/>
      <c r="E114" s="268"/>
      <c r="F114" s="64"/>
      <c r="G114" s="64"/>
      <c r="H114" s="82"/>
      <c r="I114" s="81"/>
      <c r="J114" s="64"/>
      <c r="K114" s="80"/>
      <c r="L114" s="79">
        <f t="shared" si="28"/>
        <v>0</v>
      </c>
      <c r="M114" s="64"/>
      <c r="N114" s="64"/>
      <c r="O114" s="64"/>
      <c r="P114" s="80"/>
      <c r="Q114" s="79">
        <f t="shared" si="29"/>
        <v>0</v>
      </c>
      <c r="R114" s="269" t="s">
        <v>282</v>
      </c>
      <c r="S114" s="270"/>
      <c r="T114" s="266"/>
      <c r="U114" s="267"/>
      <c r="V114" s="267"/>
      <c r="W114" s="268"/>
      <c r="X114" s="271">
        <f>IFERROR(INDEX(Table394123[],MATCH(R114,Table394123[Film Type],),3),"")</f>
        <v>0</v>
      </c>
      <c r="Y114" s="271"/>
      <c r="Z114" s="78" t="s">
        <v>55</v>
      </c>
      <c r="AA114" s="78" t="s">
        <v>55</v>
      </c>
      <c r="AB114" s="77"/>
      <c r="AC114" s="76"/>
      <c r="AD114" s="75">
        <f t="shared" si="30"/>
        <v>0</v>
      </c>
      <c r="AG114" s="74">
        <f t="shared" si="31"/>
        <v>0</v>
      </c>
      <c r="AK114" s="65">
        <f t="shared" si="32"/>
        <v>0</v>
      </c>
      <c r="AL114" s="65">
        <f t="shared" si="33"/>
        <v>0</v>
      </c>
      <c r="AM114" s="65">
        <f t="shared" si="34"/>
        <v>0</v>
      </c>
      <c r="AN114" s="73">
        <f t="shared" si="35"/>
        <v>0</v>
      </c>
      <c r="AO114" s="65" t="str">
        <f t="shared" si="36"/>
        <v>0.00</v>
      </c>
      <c r="AP114" s="65" t="str">
        <f t="shared" si="37"/>
        <v>0</v>
      </c>
      <c r="AQ114" s="71">
        <f t="shared" si="38"/>
        <v>0</v>
      </c>
      <c r="AR114" s="72">
        <f t="shared" si="39"/>
        <v>0</v>
      </c>
      <c r="AS114" s="71">
        <f t="shared" si="40"/>
        <v>0</v>
      </c>
      <c r="AT114" s="70">
        <f t="shared" si="41"/>
        <v>0</v>
      </c>
      <c r="AU114" s="70">
        <f t="shared" si="42"/>
        <v>0</v>
      </c>
      <c r="AV114" s="2"/>
      <c r="AW114" s="66">
        <f t="shared" si="43"/>
        <v>0</v>
      </c>
      <c r="AX114" s="68">
        <f>_xlfn.IFNA(INDEX(Table394123[I $ p/ft2],MATCH(R114,Table394123[Film Type],0)),1.75)</f>
        <v>1.75</v>
      </c>
      <c r="AY114" s="69">
        <f>VLOOKUP(Z114,Table134931[#All],2,FALSE)</f>
        <v>1</v>
      </c>
      <c r="AZ114" s="68">
        <f t="shared" si="44"/>
        <v>1.75</v>
      </c>
      <c r="BA114" s="65">
        <f t="shared" si="45"/>
        <v>0</v>
      </c>
      <c r="BB114" s="64">
        <f t="shared" si="46"/>
        <v>0</v>
      </c>
      <c r="BC114" s="67">
        <f t="shared" si="47"/>
        <v>0</v>
      </c>
      <c r="BD114" s="66">
        <f t="shared" si="48"/>
        <v>0</v>
      </c>
      <c r="BE114" s="64"/>
      <c r="BF114" s="66">
        <f t="shared" si="49"/>
        <v>0</v>
      </c>
      <c r="BG114" s="66">
        <f t="shared" si="50"/>
        <v>0</v>
      </c>
      <c r="BH114" s="65">
        <f>VLOOKUP(AA114,Table155133[#All],2,FALSE)</f>
        <v>1</v>
      </c>
      <c r="BI114" s="65">
        <f t="shared" si="51"/>
        <v>0</v>
      </c>
      <c r="BJ114" s="64" t="str">
        <f t="shared" si="52"/>
        <v>0</v>
      </c>
      <c r="CK114" s="86" t="s">
        <v>93</v>
      </c>
      <c r="CL114" s="2">
        <v>0.87</v>
      </c>
      <c r="CM114" s="2">
        <f t="shared" si="53"/>
        <v>0.95700000000000007</v>
      </c>
      <c r="CN114" s="10">
        <v>1.5</v>
      </c>
      <c r="CO114" s="84">
        <f t="shared" si="55"/>
        <v>0</v>
      </c>
    </row>
    <row r="115" spans="1:93" ht="11.1" hidden="1" customHeight="1" x14ac:dyDescent="0.5">
      <c r="A115" s="83"/>
      <c r="B115" s="266"/>
      <c r="C115" s="267"/>
      <c r="D115" s="267"/>
      <c r="E115" s="268"/>
      <c r="F115" s="64"/>
      <c r="G115" s="64"/>
      <c r="H115" s="82"/>
      <c r="I115" s="81"/>
      <c r="J115" s="64"/>
      <c r="K115" s="80"/>
      <c r="L115" s="79">
        <f t="shared" si="28"/>
        <v>0</v>
      </c>
      <c r="M115" s="64"/>
      <c r="N115" s="64"/>
      <c r="O115" s="64"/>
      <c r="P115" s="80"/>
      <c r="Q115" s="79">
        <f t="shared" si="29"/>
        <v>0</v>
      </c>
      <c r="R115" s="269" t="s">
        <v>282</v>
      </c>
      <c r="S115" s="270"/>
      <c r="T115" s="266"/>
      <c r="U115" s="267"/>
      <c r="V115" s="267"/>
      <c r="W115" s="268"/>
      <c r="X115" s="271">
        <f>IFERROR(INDEX(Table394123[],MATCH(R115,Table394123[Film Type],),3),"")</f>
        <v>0</v>
      </c>
      <c r="Y115" s="271"/>
      <c r="Z115" s="78" t="s">
        <v>55</v>
      </c>
      <c r="AA115" s="78" t="s">
        <v>55</v>
      </c>
      <c r="AB115" s="77"/>
      <c r="AC115" s="76"/>
      <c r="AD115" s="75">
        <f t="shared" si="30"/>
        <v>0</v>
      </c>
      <c r="AG115" s="74">
        <f t="shared" si="31"/>
        <v>0</v>
      </c>
      <c r="AK115" s="65">
        <f t="shared" si="32"/>
        <v>0</v>
      </c>
      <c r="AL115" s="65">
        <f t="shared" si="33"/>
        <v>0</v>
      </c>
      <c r="AM115" s="65">
        <f t="shared" si="34"/>
        <v>0</v>
      </c>
      <c r="AN115" s="73">
        <f t="shared" si="35"/>
        <v>0</v>
      </c>
      <c r="AO115" s="65" t="str">
        <f t="shared" si="36"/>
        <v>0.00</v>
      </c>
      <c r="AP115" s="65" t="str">
        <f t="shared" si="37"/>
        <v>0</v>
      </c>
      <c r="AQ115" s="71">
        <f t="shared" si="38"/>
        <v>0</v>
      </c>
      <c r="AR115" s="72">
        <f t="shared" si="39"/>
        <v>0</v>
      </c>
      <c r="AS115" s="71">
        <f t="shared" si="40"/>
        <v>0</v>
      </c>
      <c r="AT115" s="70">
        <f t="shared" si="41"/>
        <v>0</v>
      </c>
      <c r="AU115" s="70">
        <f t="shared" si="42"/>
        <v>0</v>
      </c>
      <c r="AV115" s="2"/>
      <c r="AW115" s="66">
        <f t="shared" si="43"/>
        <v>0</v>
      </c>
      <c r="AX115" s="68">
        <f>_xlfn.IFNA(INDEX(Table394123[I $ p/ft2],MATCH(R115,Table394123[Film Type],0)),1.75)</f>
        <v>1.75</v>
      </c>
      <c r="AY115" s="69">
        <f>VLOOKUP(Z115,Table134931[#All],2,FALSE)</f>
        <v>1</v>
      </c>
      <c r="AZ115" s="68">
        <f t="shared" si="44"/>
        <v>1.75</v>
      </c>
      <c r="BA115" s="65">
        <f t="shared" si="45"/>
        <v>0</v>
      </c>
      <c r="BB115" s="64">
        <f t="shared" si="46"/>
        <v>0</v>
      </c>
      <c r="BC115" s="67">
        <f t="shared" si="47"/>
        <v>0</v>
      </c>
      <c r="BD115" s="66">
        <f t="shared" si="48"/>
        <v>0</v>
      </c>
      <c r="BE115" s="64"/>
      <c r="BF115" s="66">
        <f t="shared" si="49"/>
        <v>0</v>
      </c>
      <c r="BG115" s="66">
        <f t="shared" si="50"/>
        <v>0</v>
      </c>
      <c r="BH115" s="65">
        <f>VLOOKUP(AA115,Table155133[#All],2,FALSE)</f>
        <v>1</v>
      </c>
      <c r="BI115" s="65">
        <f t="shared" si="51"/>
        <v>0</v>
      </c>
      <c r="BJ115" s="64" t="str">
        <f t="shared" si="52"/>
        <v>0</v>
      </c>
      <c r="CK115" s="86" t="s">
        <v>92</v>
      </c>
      <c r="CL115" s="2">
        <v>1.55</v>
      </c>
      <c r="CM115" s="2">
        <f t="shared" si="53"/>
        <v>1.7050000000000003</v>
      </c>
      <c r="CN115" s="10">
        <v>1.5</v>
      </c>
      <c r="CO115" s="84">
        <f t="shared" si="55"/>
        <v>0</v>
      </c>
    </row>
    <row r="116" spans="1:93" ht="11.1" hidden="1" customHeight="1" x14ac:dyDescent="0.5">
      <c r="A116" s="83"/>
      <c r="B116" s="266"/>
      <c r="C116" s="267"/>
      <c r="D116" s="267"/>
      <c r="E116" s="268"/>
      <c r="F116" s="64"/>
      <c r="G116" s="64"/>
      <c r="H116" s="82"/>
      <c r="I116" s="81"/>
      <c r="J116" s="64"/>
      <c r="K116" s="80"/>
      <c r="L116" s="79">
        <f t="shared" si="28"/>
        <v>0</v>
      </c>
      <c r="M116" s="64"/>
      <c r="N116" s="64"/>
      <c r="O116" s="64"/>
      <c r="P116" s="80"/>
      <c r="Q116" s="79">
        <f t="shared" si="29"/>
        <v>0</v>
      </c>
      <c r="R116" s="269" t="s">
        <v>282</v>
      </c>
      <c r="S116" s="270"/>
      <c r="T116" s="266"/>
      <c r="U116" s="267"/>
      <c r="V116" s="267"/>
      <c r="W116" s="268"/>
      <c r="X116" s="271">
        <f>IFERROR(INDEX(Table394123[],MATCH(R116,Table394123[Film Type],),3),"")</f>
        <v>0</v>
      </c>
      <c r="Y116" s="271"/>
      <c r="Z116" s="78" t="s">
        <v>55</v>
      </c>
      <c r="AA116" s="78" t="s">
        <v>55</v>
      </c>
      <c r="AB116" s="77"/>
      <c r="AC116" s="76"/>
      <c r="AD116" s="75">
        <f t="shared" si="30"/>
        <v>0</v>
      </c>
      <c r="AG116" s="74">
        <f t="shared" si="31"/>
        <v>0</v>
      </c>
      <c r="AK116" s="65">
        <f t="shared" si="32"/>
        <v>0</v>
      </c>
      <c r="AL116" s="65">
        <f t="shared" si="33"/>
        <v>0</v>
      </c>
      <c r="AM116" s="65">
        <f t="shared" si="34"/>
        <v>0</v>
      </c>
      <c r="AN116" s="73">
        <f t="shared" si="35"/>
        <v>0</v>
      </c>
      <c r="AO116" s="65" t="str">
        <f t="shared" si="36"/>
        <v>0.00</v>
      </c>
      <c r="AP116" s="65" t="str">
        <f t="shared" si="37"/>
        <v>0</v>
      </c>
      <c r="AQ116" s="71">
        <f t="shared" si="38"/>
        <v>0</v>
      </c>
      <c r="AR116" s="72">
        <f t="shared" si="39"/>
        <v>0</v>
      </c>
      <c r="AS116" s="71">
        <f t="shared" si="40"/>
        <v>0</v>
      </c>
      <c r="AT116" s="70">
        <f t="shared" si="41"/>
        <v>0</v>
      </c>
      <c r="AU116" s="70">
        <f t="shared" si="42"/>
        <v>0</v>
      </c>
      <c r="AV116" s="2"/>
      <c r="AW116" s="66">
        <f t="shared" si="43"/>
        <v>0</v>
      </c>
      <c r="AX116" s="68">
        <f>_xlfn.IFNA(INDEX(Table394123[I $ p/ft2],MATCH(R116,Table394123[Film Type],0)),1.75)</f>
        <v>1.75</v>
      </c>
      <c r="AY116" s="69">
        <f>VLOOKUP(Z116,Table134931[#All],2,FALSE)</f>
        <v>1</v>
      </c>
      <c r="AZ116" s="68">
        <f t="shared" si="44"/>
        <v>1.75</v>
      </c>
      <c r="BA116" s="65">
        <f t="shared" si="45"/>
        <v>0</v>
      </c>
      <c r="BB116" s="64">
        <f t="shared" si="46"/>
        <v>0</v>
      </c>
      <c r="BC116" s="67">
        <f t="shared" si="47"/>
        <v>0</v>
      </c>
      <c r="BD116" s="66">
        <f t="shared" si="48"/>
        <v>0</v>
      </c>
      <c r="BE116" s="64"/>
      <c r="BF116" s="66">
        <f t="shared" si="49"/>
        <v>0</v>
      </c>
      <c r="BG116" s="66">
        <f t="shared" si="50"/>
        <v>0</v>
      </c>
      <c r="BH116" s="65">
        <f>VLOOKUP(AA116,Table155133[#All],2,FALSE)</f>
        <v>1</v>
      </c>
      <c r="BI116" s="65">
        <f t="shared" si="51"/>
        <v>0</v>
      </c>
      <c r="BJ116" s="64" t="str">
        <f t="shared" si="52"/>
        <v>0</v>
      </c>
      <c r="CK116" s="86" t="s">
        <v>91</v>
      </c>
      <c r="CL116" s="2">
        <v>1.55</v>
      </c>
      <c r="CM116" s="2">
        <f t="shared" si="53"/>
        <v>1.7050000000000003</v>
      </c>
      <c r="CN116" s="10">
        <v>1.5</v>
      </c>
      <c r="CO116" s="84">
        <f t="shared" si="55"/>
        <v>0</v>
      </c>
    </row>
    <row r="117" spans="1:93" ht="11.1" hidden="1" customHeight="1" x14ac:dyDescent="0.5">
      <c r="A117" s="83"/>
      <c r="B117" s="266"/>
      <c r="C117" s="267"/>
      <c r="D117" s="267"/>
      <c r="E117" s="268"/>
      <c r="F117" s="64"/>
      <c r="G117" s="64"/>
      <c r="H117" s="82"/>
      <c r="I117" s="81"/>
      <c r="J117" s="64"/>
      <c r="K117" s="80"/>
      <c r="L117" s="79">
        <f t="shared" si="28"/>
        <v>0</v>
      </c>
      <c r="M117" s="64"/>
      <c r="N117" s="64"/>
      <c r="O117" s="64"/>
      <c r="P117" s="80"/>
      <c r="Q117" s="79">
        <f t="shared" si="29"/>
        <v>0</v>
      </c>
      <c r="R117" s="269" t="s">
        <v>282</v>
      </c>
      <c r="S117" s="270"/>
      <c r="T117" s="266"/>
      <c r="U117" s="267"/>
      <c r="V117" s="267"/>
      <c r="W117" s="268"/>
      <c r="X117" s="271">
        <f>IFERROR(INDEX(Table394123[],MATCH(R117,Table394123[Film Type],),3),"")</f>
        <v>0</v>
      </c>
      <c r="Y117" s="271"/>
      <c r="Z117" s="78" t="s">
        <v>55</v>
      </c>
      <c r="AA117" s="78" t="s">
        <v>55</v>
      </c>
      <c r="AB117" s="77"/>
      <c r="AC117" s="76"/>
      <c r="AD117" s="75">
        <f t="shared" si="30"/>
        <v>0</v>
      </c>
      <c r="AG117" s="74">
        <f t="shared" si="31"/>
        <v>0</v>
      </c>
      <c r="AK117" s="65">
        <f t="shared" si="32"/>
        <v>0</v>
      </c>
      <c r="AL117" s="65">
        <f t="shared" si="33"/>
        <v>0</v>
      </c>
      <c r="AM117" s="65">
        <f t="shared" si="34"/>
        <v>0</v>
      </c>
      <c r="AN117" s="73">
        <f t="shared" si="35"/>
        <v>0</v>
      </c>
      <c r="AO117" s="65" t="str">
        <f t="shared" si="36"/>
        <v>0.00</v>
      </c>
      <c r="AP117" s="65" t="str">
        <f t="shared" si="37"/>
        <v>0</v>
      </c>
      <c r="AQ117" s="71">
        <f t="shared" si="38"/>
        <v>0</v>
      </c>
      <c r="AR117" s="72">
        <f t="shared" si="39"/>
        <v>0</v>
      </c>
      <c r="AS117" s="71">
        <f t="shared" si="40"/>
        <v>0</v>
      </c>
      <c r="AT117" s="70">
        <f t="shared" si="41"/>
        <v>0</v>
      </c>
      <c r="AU117" s="70">
        <f t="shared" si="42"/>
        <v>0</v>
      </c>
      <c r="AV117" s="2"/>
      <c r="AW117" s="66">
        <f t="shared" si="43"/>
        <v>0</v>
      </c>
      <c r="AX117" s="68">
        <f>_xlfn.IFNA(INDEX(Table394123[I $ p/ft2],MATCH(R117,Table394123[Film Type],0)),1.75)</f>
        <v>1.75</v>
      </c>
      <c r="AY117" s="69">
        <f>VLOOKUP(Z117,Table134931[#All],2,FALSE)</f>
        <v>1</v>
      </c>
      <c r="AZ117" s="68">
        <f t="shared" si="44"/>
        <v>1.75</v>
      </c>
      <c r="BA117" s="65">
        <f t="shared" si="45"/>
        <v>0</v>
      </c>
      <c r="BB117" s="64">
        <f t="shared" si="46"/>
        <v>0</v>
      </c>
      <c r="BC117" s="67">
        <f t="shared" si="47"/>
        <v>0</v>
      </c>
      <c r="BD117" s="66">
        <f t="shared" si="48"/>
        <v>0</v>
      </c>
      <c r="BE117" s="64"/>
      <c r="BF117" s="66">
        <f t="shared" si="49"/>
        <v>0</v>
      </c>
      <c r="BG117" s="66">
        <f t="shared" si="50"/>
        <v>0</v>
      </c>
      <c r="BH117" s="65">
        <f>VLOOKUP(AA117,Table155133[#All],2,FALSE)</f>
        <v>1</v>
      </c>
      <c r="BI117" s="65">
        <f t="shared" si="51"/>
        <v>0</v>
      </c>
      <c r="BJ117" s="64" t="str">
        <f t="shared" si="52"/>
        <v>0</v>
      </c>
      <c r="CK117" s="86" t="s">
        <v>90</v>
      </c>
      <c r="CL117" s="2">
        <v>1.55</v>
      </c>
      <c r="CM117" s="2">
        <f t="shared" si="53"/>
        <v>1.7050000000000003</v>
      </c>
      <c r="CN117" s="10">
        <v>1.5</v>
      </c>
      <c r="CO117" s="84">
        <f t="shared" si="55"/>
        <v>0</v>
      </c>
    </row>
    <row r="118" spans="1:93" ht="11.1" hidden="1" customHeight="1" x14ac:dyDescent="0.5">
      <c r="A118" s="83"/>
      <c r="B118" s="266"/>
      <c r="C118" s="267"/>
      <c r="D118" s="267"/>
      <c r="E118" s="268"/>
      <c r="F118" s="64"/>
      <c r="G118" s="64"/>
      <c r="H118" s="82"/>
      <c r="I118" s="81"/>
      <c r="J118" s="64"/>
      <c r="K118" s="80"/>
      <c r="L118" s="79">
        <f t="shared" si="28"/>
        <v>0</v>
      </c>
      <c r="M118" s="64"/>
      <c r="N118" s="64"/>
      <c r="O118" s="64"/>
      <c r="P118" s="80"/>
      <c r="Q118" s="79">
        <f t="shared" si="29"/>
        <v>0</v>
      </c>
      <c r="R118" s="269" t="s">
        <v>282</v>
      </c>
      <c r="S118" s="270"/>
      <c r="T118" s="266"/>
      <c r="U118" s="267"/>
      <c r="V118" s="267"/>
      <c r="W118" s="268"/>
      <c r="X118" s="271">
        <f>IFERROR(INDEX(Table394123[],MATCH(R118,Table394123[Film Type],),3),"")</f>
        <v>0</v>
      </c>
      <c r="Y118" s="271"/>
      <c r="Z118" s="78" t="s">
        <v>55</v>
      </c>
      <c r="AA118" s="78" t="s">
        <v>55</v>
      </c>
      <c r="AB118" s="77"/>
      <c r="AC118" s="76"/>
      <c r="AD118" s="75">
        <f t="shared" si="30"/>
        <v>0</v>
      </c>
      <c r="AG118" s="74">
        <f t="shared" si="31"/>
        <v>0</v>
      </c>
      <c r="AK118" s="65">
        <f t="shared" si="32"/>
        <v>0</v>
      </c>
      <c r="AL118" s="65">
        <f t="shared" si="33"/>
        <v>0</v>
      </c>
      <c r="AM118" s="65">
        <f t="shared" si="34"/>
        <v>0</v>
      </c>
      <c r="AN118" s="73">
        <f t="shared" si="35"/>
        <v>0</v>
      </c>
      <c r="AO118" s="65" t="str">
        <f t="shared" si="36"/>
        <v>0.00</v>
      </c>
      <c r="AP118" s="65" t="str">
        <f t="shared" si="37"/>
        <v>0</v>
      </c>
      <c r="AQ118" s="71">
        <f t="shared" si="38"/>
        <v>0</v>
      </c>
      <c r="AR118" s="72">
        <f t="shared" si="39"/>
        <v>0</v>
      </c>
      <c r="AS118" s="71">
        <f t="shared" si="40"/>
        <v>0</v>
      </c>
      <c r="AT118" s="70">
        <f t="shared" si="41"/>
        <v>0</v>
      </c>
      <c r="AU118" s="70">
        <f t="shared" si="42"/>
        <v>0</v>
      </c>
      <c r="AV118" s="2"/>
      <c r="AW118" s="66">
        <f t="shared" si="43"/>
        <v>0</v>
      </c>
      <c r="AX118" s="68">
        <f>_xlfn.IFNA(INDEX(Table394123[I $ p/ft2],MATCH(R118,Table394123[Film Type],0)),1.75)</f>
        <v>1.75</v>
      </c>
      <c r="AY118" s="69">
        <f>VLOOKUP(Z118,Table134931[#All],2,FALSE)</f>
        <v>1</v>
      </c>
      <c r="AZ118" s="68">
        <f t="shared" si="44"/>
        <v>1.75</v>
      </c>
      <c r="BA118" s="65">
        <f t="shared" si="45"/>
        <v>0</v>
      </c>
      <c r="BB118" s="64">
        <f t="shared" si="46"/>
        <v>0</v>
      </c>
      <c r="BC118" s="67">
        <f t="shared" si="47"/>
        <v>0</v>
      </c>
      <c r="BD118" s="66">
        <f t="shared" si="48"/>
        <v>0</v>
      </c>
      <c r="BE118" s="64"/>
      <c r="BF118" s="66">
        <f t="shared" si="49"/>
        <v>0</v>
      </c>
      <c r="BG118" s="66">
        <f t="shared" si="50"/>
        <v>0</v>
      </c>
      <c r="BH118" s="65">
        <f>VLOOKUP(AA118,Table155133[#All],2,FALSE)</f>
        <v>1</v>
      </c>
      <c r="BI118" s="65">
        <f t="shared" si="51"/>
        <v>0</v>
      </c>
      <c r="BJ118" s="64" t="str">
        <f t="shared" si="52"/>
        <v>0</v>
      </c>
      <c r="CK118" s="86" t="s">
        <v>89</v>
      </c>
      <c r="CL118" s="2">
        <v>1.55</v>
      </c>
      <c r="CM118" s="2">
        <f t="shared" si="53"/>
        <v>1.7050000000000003</v>
      </c>
      <c r="CN118" s="10">
        <v>1.5</v>
      </c>
      <c r="CO118" s="84">
        <f t="shared" si="55"/>
        <v>0</v>
      </c>
    </row>
    <row r="119" spans="1:93" ht="11.1" hidden="1" customHeight="1" x14ac:dyDescent="0.5">
      <c r="A119" s="83"/>
      <c r="B119" s="266"/>
      <c r="C119" s="267"/>
      <c r="D119" s="267"/>
      <c r="E119" s="268"/>
      <c r="F119" s="64"/>
      <c r="G119" s="64"/>
      <c r="H119" s="82"/>
      <c r="I119" s="81"/>
      <c r="J119" s="64"/>
      <c r="K119" s="80"/>
      <c r="L119" s="79">
        <f t="shared" si="28"/>
        <v>0</v>
      </c>
      <c r="M119" s="64"/>
      <c r="N119" s="64"/>
      <c r="O119" s="64"/>
      <c r="P119" s="80"/>
      <c r="Q119" s="79">
        <f t="shared" si="29"/>
        <v>0</v>
      </c>
      <c r="R119" s="269" t="s">
        <v>282</v>
      </c>
      <c r="S119" s="270"/>
      <c r="T119" s="266"/>
      <c r="U119" s="267"/>
      <c r="V119" s="267"/>
      <c r="W119" s="268"/>
      <c r="X119" s="271">
        <f>IFERROR(INDEX(Table394123[],MATCH(R119,Table394123[Film Type],),3),"")</f>
        <v>0</v>
      </c>
      <c r="Y119" s="271"/>
      <c r="Z119" s="78" t="s">
        <v>55</v>
      </c>
      <c r="AA119" s="78" t="s">
        <v>55</v>
      </c>
      <c r="AB119" s="77"/>
      <c r="AC119" s="76"/>
      <c r="AD119" s="75">
        <f t="shared" si="30"/>
        <v>0</v>
      </c>
      <c r="AG119" s="74">
        <f t="shared" si="31"/>
        <v>0</v>
      </c>
      <c r="AK119" s="65">
        <f t="shared" si="32"/>
        <v>0</v>
      </c>
      <c r="AL119" s="65">
        <f t="shared" si="33"/>
        <v>0</v>
      </c>
      <c r="AM119" s="65">
        <f t="shared" si="34"/>
        <v>0</v>
      </c>
      <c r="AN119" s="73">
        <f t="shared" si="35"/>
        <v>0</v>
      </c>
      <c r="AO119" s="65" t="str">
        <f t="shared" si="36"/>
        <v>0.00</v>
      </c>
      <c r="AP119" s="65" t="str">
        <f t="shared" si="37"/>
        <v>0</v>
      </c>
      <c r="AQ119" s="71">
        <f t="shared" si="38"/>
        <v>0</v>
      </c>
      <c r="AR119" s="72">
        <f t="shared" si="39"/>
        <v>0</v>
      </c>
      <c r="AS119" s="71">
        <f t="shared" si="40"/>
        <v>0</v>
      </c>
      <c r="AT119" s="70">
        <f t="shared" si="41"/>
        <v>0</v>
      </c>
      <c r="AU119" s="70">
        <f t="shared" si="42"/>
        <v>0</v>
      </c>
      <c r="AV119" s="2"/>
      <c r="AW119" s="66">
        <f t="shared" si="43"/>
        <v>0</v>
      </c>
      <c r="AX119" s="68">
        <f>_xlfn.IFNA(INDEX(Table394123[I $ p/ft2],MATCH(R119,Table394123[Film Type],0)),1.75)</f>
        <v>1.75</v>
      </c>
      <c r="AY119" s="69">
        <f>VLOOKUP(Z119,Table134931[#All],2,FALSE)</f>
        <v>1</v>
      </c>
      <c r="AZ119" s="68">
        <f t="shared" si="44"/>
        <v>1.75</v>
      </c>
      <c r="BA119" s="65">
        <f t="shared" si="45"/>
        <v>0</v>
      </c>
      <c r="BB119" s="64">
        <f t="shared" si="46"/>
        <v>0</v>
      </c>
      <c r="BC119" s="67">
        <f t="shared" si="47"/>
        <v>0</v>
      </c>
      <c r="BD119" s="66">
        <f t="shared" si="48"/>
        <v>0</v>
      </c>
      <c r="BE119" s="64"/>
      <c r="BF119" s="66">
        <f t="shared" si="49"/>
        <v>0</v>
      </c>
      <c r="BG119" s="66">
        <f t="shared" si="50"/>
        <v>0</v>
      </c>
      <c r="BH119" s="65">
        <f>VLOOKUP(AA119,Table155133[#All],2,FALSE)</f>
        <v>1</v>
      </c>
      <c r="BI119" s="65">
        <f t="shared" si="51"/>
        <v>0</v>
      </c>
      <c r="BJ119" s="64" t="str">
        <f t="shared" si="52"/>
        <v>0</v>
      </c>
      <c r="CK119" s="86" t="s">
        <v>88</v>
      </c>
      <c r="CL119" s="2">
        <v>1.32</v>
      </c>
      <c r="CM119" s="2">
        <f t="shared" si="53"/>
        <v>1.4520000000000002</v>
      </c>
      <c r="CN119" s="10">
        <v>1.5</v>
      </c>
      <c r="CO119" s="84">
        <f t="shared" si="55"/>
        <v>0</v>
      </c>
    </row>
    <row r="120" spans="1:93" ht="11.1" hidden="1" customHeight="1" x14ac:dyDescent="0.5">
      <c r="A120" s="83"/>
      <c r="B120" s="266"/>
      <c r="C120" s="267"/>
      <c r="D120" s="267"/>
      <c r="E120" s="268"/>
      <c r="F120" s="64"/>
      <c r="G120" s="64"/>
      <c r="H120" s="82"/>
      <c r="I120" s="81"/>
      <c r="J120" s="64"/>
      <c r="K120" s="80"/>
      <c r="L120" s="79">
        <f t="shared" si="28"/>
        <v>0</v>
      </c>
      <c r="M120" s="64"/>
      <c r="N120" s="64"/>
      <c r="O120" s="64"/>
      <c r="P120" s="80"/>
      <c r="Q120" s="79">
        <f t="shared" si="29"/>
        <v>0</v>
      </c>
      <c r="R120" s="269" t="s">
        <v>282</v>
      </c>
      <c r="S120" s="270"/>
      <c r="T120" s="266"/>
      <c r="U120" s="267"/>
      <c r="V120" s="267"/>
      <c r="W120" s="268"/>
      <c r="X120" s="271">
        <f>IFERROR(INDEX(Table394123[],MATCH(R120,Table394123[Film Type],),3),"")</f>
        <v>0</v>
      </c>
      <c r="Y120" s="271"/>
      <c r="Z120" s="78" t="s">
        <v>55</v>
      </c>
      <c r="AA120" s="78" t="s">
        <v>55</v>
      </c>
      <c r="AB120" s="77"/>
      <c r="AC120" s="76"/>
      <c r="AD120" s="75">
        <f t="shared" si="30"/>
        <v>0</v>
      </c>
      <c r="AG120" s="74">
        <f t="shared" si="31"/>
        <v>0</v>
      </c>
      <c r="AK120" s="65">
        <f t="shared" si="32"/>
        <v>0</v>
      </c>
      <c r="AL120" s="65">
        <f t="shared" si="33"/>
        <v>0</v>
      </c>
      <c r="AM120" s="65">
        <f t="shared" si="34"/>
        <v>0</v>
      </c>
      <c r="AN120" s="73">
        <f t="shared" si="35"/>
        <v>0</v>
      </c>
      <c r="AO120" s="65" t="str">
        <f t="shared" si="36"/>
        <v>0.00</v>
      </c>
      <c r="AP120" s="65" t="str">
        <f t="shared" si="37"/>
        <v>0</v>
      </c>
      <c r="AQ120" s="71">
        <f t="shared" si="38"/>
        <v>0</v>
      </c>
      <c r="AR120" s="72">
        <f t="shared" si="39"/>
        <v>0</v>
      </c>
      <c r="AS120" s="71">
        <f t="shared" si="40"/>
        <v>0</v>
      </c>
      <c r="AT120" s="70">
        <f t="shared" si="41"/>
        <v>0</v>
      </c>
      <c r="AU120" s="70">
        <f t="shared" si="42"/>
        <v>0</v>
      </c>
      <c r="AV120" s="2"/>
      <c r="AW120" s="66">
        <f t="shared" si="43"/>
        <v>0</v>
      </c>
      <c r="AX120" s="68">
        <f>_xlfn.IFNA(INDEX(Table394123[I $ p/ft2],MATCH(R120,Table394123[Film Type],0)),1.75)</f>
        <v>1.75</v>
      </c>
      <c r="AY120" s="69">
        <f>VLOOKUP(Z120,Table134931[#All],2,FALSE)</f>
        <v>1</v>
      </c>
      <c r="AZ120" s="68">
        <f t="shared" si="44"/>
        <v>1.75</v>
      </c>
      <c r="BA120" s="65">
        <f t="shared" si="45"/>
        <v>0</v>
      </c>
      <c r="BB120" s="64">
        <f t="shared" si="46"/>
        <v>0</v>
      </c>
      <c r="BC120" s="67">
        <f t="shared" si="47"/>
        <v>0</v>
      </c>
      <c r="BD120" s="66">
        <f t="shared" si="48"/>
        <v>0</v>
      </c>
      <c r="BE120" s="64"/>
      <c r="BF120" s="66">
        <f t="shared" si="49"/>
        <v>0</v>
      </c>
      <c r="BG120" s="66">
        <f t="shared" si="50"/>
        <v>0</v>
      </c>
      <c r="BH120" s="65">
        <f>VLOOKUP(AA120,Table155133[#All],2,FALSE)</f>
        <v>1</v>
      </c>
      <c r="BI120" s="65">
        <f t="shared" si="51"/>
        <v>0</v>
      </c>
      <c r="BJ120" s="64" t="str">
        <f t="shared" si="52"/>
        <v>0</v>
      </c>
      <c r="CK120" s="86" t="s">
        <v>87</v>
      </c>
      <c r="CL120" s="2">
        <v>1.32</v>
      </c>
      <c r="CM120" s="2">
        <f t="shared" si="53"/>
        <v>1.4520000000000002</v>
      </c>
      <c r="CN120" s="10">
        <v>1.5</v>
      </c>
      <c r="CO120" s="84">
        <f t="shared" si="55"/>
        <v>0</v>
      </c>
    </row>
    <row r="121" spans="1:93" ht="11.1" hidden="1" customHeight="1" x14ac:dyDescent="0.5">
      <c r="A121" s="83"/>
      <c r="B121" s="266"/>
      <c r="C121" s="267"/>
      <c r="D121" s="267"/>
      <c r="E121" s="268"/>
      <c r="F121" s="64"/>
      <c r="G121" s="64"/>
      <c r="H121" s="82"/>
      <c r="I121" s="81"/>
      <c r="J121" s="64"/>
      <c r="K121" s="80"/>
      <c r="L121" s="79">
        <f t="shared" si="28"/>
        <v>0</v>
      </c>
      <c r="M121" s="64"/>
      <c r="N121" s="64"/>
      <c r="O121" s="64"/>
      <c r="P121" s="80"/>
      <c r="Q121" s="79">
        <f t="shared" si="29"/>
        <v>0</v>
      </c>
      <c r="R121" s="269" t="s">
        <v>282</v>
      </c>
      <c r="S121" s="270"/>
      <c r="T121" s="266"/>
      <c r="U121" s="267"/>
      <c r="V121" s="267"/>
      <c r="W121" s="268"/>
      <c r="X121" s="271">
        <f>IFERROR(INDEX(Table394123[],MATCH(R121,Table394123[Film Type],),3),"")</f>
        <v>0</v>
      </c>
      <c r="Y121" s="271"/>
      <c r="Z121" s="78" t="s">
        <v>55</v>
      </c>
      <c r="AA121" s="78" t="s">
        <v>55</v>
      </c>
      <c r="AB121" s="77"/>
      <c r="AC121" s="76"/>
      <c r="AD121" s="75">
        <f t="shared" si="30"/>
        <v>0</v>
      </c>
      <c r="AG121" s="74">
        <f t="shared" si="31"/>
        <v>0</v>
      </c>
      <c r="AK121" s="65">
        <f t="shared" si="32"/>
        <v>0</v>
      </c>
      <c r="AL121" s="65">
        <f t="shared" si="33"/>
        <v>0</v>
      </c>
      <c r="AM121" s="65">
        <f t="shared" si="34"/>
        <v>0</v>
      </c>
      <c r="AN121" s="73">
        <f t="shared" si="35"/>
        <v>0</v>
      </c>
      <c r="AO121" s="65" t="str">
        <f t="shared" si="36"/>
        <v>0.00</v>
      </c>
      <c r="AP121" s="65" t="str">
        <f t="shared" si="37"/>
        <v>0</v>
      </c>
      <c r="AQ121" s="71">
        <f t="shared" si="38"/>
        <v>0</v>
      </c>
      <c r="AR121" s="72">
        <f t="shared" si="39"/>
        <v>0</v>
      </c>
      <c r="AS121" s="71">
        <f t="shared" si="40"/>
        <v>0</v>
      </c>
      <c r="AT121" s="70">
        <f t="shared" si="41"/>
        <v>0</v>
      </c>
      <c r="AU121" s="70">
        <f t="shared" si="42"/>
        <v>0</v>
      </c>
      <c r="AV121" s="2"/>
      <c r="AW121" s="66">
        <f t="shared" si="43"/>
        <v>0</v>
      </c>
      <c r="AX121" s="68">
        <f>_xlfn.IFNA(INDEX(Table394123[I $ p/ft2],MATCH(R121,Table394123[Film Type],0)),1.75)</f>
        <v>1.75</v>
      </c>
      <c r="AY121" s="69">
        <f>VLOOKUP(Z121,Table134931[#All],2,FALSE)</f>
        <v>1</v>
      </c>
      <c r="AZ121" s="68">
        <f t="shared" si="44"/>
        <v>1.75</v>
      </c>
      <c r="BA121" s="65">
        <f t="shared" si="45"/>
        <v>0</v>
      </c>
      <c r="BB121" s="64">
        <f t="shared" si="46"/>
        <v>0</v>
      </c>
      <c r="BC121" s="67">
        <f t="shared" si="47"/>
        <v>0</v>
      </c>
      <c r="BD121" s="66">
        <f t="shared" si="48"/>
        <v>0</v>
      </c>
      <c r="BE121" s="64"/>
      <c r="BF121" s="66">
        <f t="shared" si="49"/>
        <v>0</v>
      </c>
      <c r="BG121" s="66">
        <f t="shared" si="50"/>
        <v>0</v>
      </c>
      <c r="BH121" s="65">
        <f>VLOOKUP(AA121,Table155133[#All],2,FALSE)</f>
        <v>1</v>
      </c>
      <c r="BI121" s="65">
        <f t="shared" si="51"/>
        <v>0</v>
      </c>
      <c r="BJ121" s="64" t="str">
        <f t="shared" si="52"/>
        <v>0</v>
      </c>
      <c r="CK121" s="86" t="s">
        <v>86</v>
      </c>
      <c r="CL121" s="2">
        <v>1.32</v>
      </c>
      <c r="CM121" s="2">
        <f t="shared" si="53"/>
        <v>1.4520000000000002</v>
      </c>
      <c r="CN121" s="10">
        <v>1.5</v>
      </c>
      <c r="CO121" s="84">
        <f t="shared" si="55"/>
        <v>0</v>
      </c>
    </row>
    <row r="122" spans="1:93" ht="11.1" hidden="1" customHeight="1" x14ac:dyDescent="0.5">
      <c r="A122" s="83"/>
      <c r="B122" s="266"/>
      <c r="C122" s="267"/>
      <c r="D122" s="267"/>
      <c r="E122" s="268"/>
      <c r="F122" s="64"/>
      <c r="G122" s="64"/>
      <c r="H122" s="82"/>
      <c r="I122" s="81"/>
      <c r="J122" s="64"/>
      <c r="K122" s="80"/>
      <c r="L122" s="79">
        <f t="shared" si="28"/>
        <v>0</v>
      </c>
      <c r="M122" s="64"/>
      <c r="N122" s="64"/>
      <c r="O122" s="64"/>
      <c r="P122" s="80"/>
      <c r="Q122" s="79">
        <f t="shared" si="29"/>
        <v>0</v>
      </c>
      <c r="R122" s="269" t="s">
        <v>282</v>
      </c>
      <c r="S122" s="270"/>
      <c r="T122" s="266"/>
      <c r="U122" s="267"/>
      <c r="V122" s="267"/>
      <c r="W122" s="268"/>
      <c r="X122" s="271">
        <f>IFERROR(INDEX(Table394123[],MATCH(R122,Table394123[Film Type],),3),"")</f>
        <v>0</v>
      </c>
      <c r="Y122" s="271"/>
      <c r="Z122" s="78" t="s">
        <v>55</v>
      </c>
      <c r="AA122" s="78" t="s">
        <v>55</v>
      </c>
      <c r="AB122" s="77"/>
      <c r="AC122" s="76"/>
      <c r="AD122" s="75">
        <f t="shared" si="30"/>
        <v>0</v>
      </c>
      <c r="AG122" s="74">
        <f t="shared" si="31"/>
        <v>0</v>
      </c>
      <c r="AK122" s="65">
        <f t="shared" si="32"/>
        <v>0</v>
      </c>
      <c r="AL122" s="65">
        <f t="shared" si="33"/>
        <v>0</v>
      </c>
      <c r="AM122" s="65">
        <f t="shared" si="34"/>
        <v>0</v>
      </c>
      <c r="AN122" s="73">
        <f t="shared" si="35"/>
        <v>0</v>
      </c>
      <c r="AO122" s="65" t="str">
        <f t="shared" si="36"/>
        <v>0.00</v>
      </c>
      <c r="AP122" s="65" t="str">
        <f t="shared" si="37"/>
        <v>0</v>
      </c>
      <c r="AQ122" s="71">
        <f t="shared" si="38"/>
        <v>0</v>
      </c>
      <c r="AR122" s="72">
        <f t="shared" si="39"/>
        <v>0</v>
      </c>
      <c r="AS122" s="71">
        <f t="shared" si="40"/>
        <v>0</v>
      </c>
      <c r="AT122" s="70">
        <f t="shared" si="41"/>
        <v>0</v>
      </c>
      <c r="AU122" s="70">
        <f t="shared" si="42"/>
        <v>0</v>
      </c>
      <c r="AV122" s="2"/>
      <c r="AW122" s="66">
        <f t="shared" si="43"/>
        <v>0</v>
      </c>
      <c r="AX122" s="68">
        <f>_xlfn.IFNA(INDEX(Table394123[I $ p/ft2],MATCH(R122,Table394123[Film Type],0)),1.75)</f>
        <v>1.75</v>
      </c>
      <c r="AY122" s="69">
        <f>VLOOKUP(Z122,Table134931[#All],2,FALSE)</f>
        <v>1</v>
      </c>
      <c r="AZ122" s="68">
        <f t="shared" si="44"/>
        <v>1.75</v>
      </c>
      <c r="BA122" s="65">
        <f t="shared" si="45"/>
        <v>0</v>
      </c>
      <c r="BB122" s="64">
        <f t="shared" si="46"/>
        <v>0</v>
      </c>
      <c r="BC122" s="67">
        <f t="shared" si="47"/>
        <v>0</v>
      </c>
      <c r="BD122" s="66">
        <f t="shared" si="48"/>
        <v>0</v>
      </c>
      <c r="BE122" s="64"/>
      <c r="BF122" s="66">
        <f t="shared" si="49"/>
        <v>0</v>
      </c>
      <c r="BG122" s="66">
        <f t="shared" si="50"/>
        <v>0</v>
      </c>
      <c r="BH122" s="65">
        <f>VLOOKUP(AA122,Table155133[#All],2,FALSE)</f>
        <v>1</v>
      </c>
      <c r="BI122" s="65">
        <f t="shared" si="51"/>
        <v>0</v>
      </c>
      <c r="BJ122" s="64" t="str">
        <f t="shared" si="52"/>
        <v>0</v>
      </c>
      <c r="CK122" s="86" t="s">
        <v>85</v>
      </c>
      <c r="CL122" s="2">
        <v>2.27</v>
      </c>
      <c r="CM122" s="2">
        <f t="shared" si="53"/>
        <v>2.4970000000000003</v>
      </c>
      <c r="CN122" s="10">
        <v>1.5</v>
      </c>
      <c r="CO122" s="84">
        <f t="shared" si="55"/>
        <v>0</v>
      </c>
    </row>
    <row r="123" spans="1:93" ht="11.1" hidden="1" customHeight="1" x14ac:dyDescent="0.5">
      <c r="A123" s="83"/>
      <c r="B123" s="266"/>
      <c r="C123" s="267"/>
      <c r="D123" s="267"/>
      <c r="E123" s="268"/>
      <c r="F123" s="64"/>
      <c r="G123" s="64"/>
      <c r="H123" s="82"/>
      <c r="I123" s="81"/>
      <c r="J123" s="64"/>
      <c r="K123" s="80"/>
      <c r="L123" s="79">
        <f t="shared" si="28"/>
        <v>0</v>
      </c>
      <c r="M123" s="64"/>
      <c r="N123" s="64"/>
      <c r="O123" s="64"/>
      <c r="P123" s="80"/>
      <c r="Q123" s="79">
        <f t="shared" si="29"/>
        <v>0</v>
      </c>
      <c r="R123" s="269" t="s">
        <v>282</v>
      </c>
      <c r="S123" s="270"/>
      <c r="T123" s="266"/>
      <c r="U123" s="267"/>
      <c r="V123" s="267"/>
      <c r="W123" s="268"/>
      <c r="X123" s="271">
        <f>IFERROR(INDEX(Table394123[],MATCH(R123,Table394123[Film Type],),3),"")</f>
        <v>0</v>
      </c>
      <c r="Y123" s="271"/>
      <c r="Z123" s="78" t="s">
        <v>55</v>
      </c>
      <c r="AA123" s="78" t="s">
        <v>55</v>
      </c>
      <c r="AB123" s="77"/>
      <c r="AC123" s="76"/>
      <c r="AD123" s="75">
        <f t="shared" si="30"/>
        <v>0</v>
      </c>
      <c r="AG123" s="74">
        <f t="shared" si="31"/>
        <v>0</v>
      </c>
      <c r="AK123" s="65">
        <f t="shared" si="32"/>
        <v>0</v>
      </c>
      <c r="AL123" s="65">
        <f t="shared" si="33"/>
        <v>0</v>
      </c>
      <c r="AM123" s="65">
        <f t="shared" si="34"/>
        <v>0</v>
      </c>
      <c r="AN123" s="73">
        <f t="shared" si="35"/>
        <v>0</v>
      </c>
      <c r="AO123" s="65" t="str">
        <f t="shared" si="36"/>
        <v>0.00</v>
      </c>
      <c r="AP123" s="65" t="str">
        <f t="shared" si="37"/>
        <v>0</v>
      </c>
      <c r="AQ123" s="71">
        <f t="shared" si="38"/>
        <v>0</v>
      </c>
      <c r="AR123" s="72">
        <f t="shared" si="39"/>
        <v>0</v>
      </c>
      <c r="AS123" s="71">
        <f t="shared" si="40"/>
        <v>0</v>
      </c>
      <c r="AT123" s="70">
        <f t="shared" si="41"/>
        <v>0</v>
      </c>
      <c r="AU123" s="70">
        <f t="shared" si="42"/>
        <v>0</v>
      </c>
      <c r="AV123" s="2"/>
      <c r="AW123" s="66">
        <f t="shared" si="43"/>
        <v>0</v>
      </c>
      <c r="AX123" s="68">
        <f>_xlfn.IFNA(INDEX(Table394123[I $ p/ft2],MATCH(R123,Table394123[Film Type],0)),1.75)</f>
        <v>1.75</v>
      </c>
      <c r="AY123" s="69">
        <f>VLOOKUP(Z123,Table134931[#All],2,FALSE)</f>
        <v>1</v>
      </c>
      <c r="AZ123" s="68">
        <f t="shared" si="44"/>
        <v>1.75</v>
      </c>
      <c r="BA123" s="65">
        <f t="shared" si="45"/>
        <v>0</v>
      </c>
      <c r="BB123" s="64">
        <f t="shared" si="46"/>
        <v>0</v>
      </c>
      <c r="BC123" s="67">
        <f t="shared" si="47"/>
        <v>0</v>
      </c>
      <c r="BD123" s="66">
        <f t="shared" si="48"/>
        <v>0</v>
      </c>
      <c r="BE123" s="64"/>
      <c r="BF123" s="66">
        <f t="shared" si="49"/>
        <v>0</v>
      </c>
      <c r="BG123" s="66">
        <f t="shared" si="50"/>
        <v>0</v>
      </c>
      <c r="BH123" s="65">
        <f>VLOOKUP(AA123,Table155133[#All],2,FALSE)</f>
        <v>1</v>
      </c>
      <c r="BI123" s="65">
        <f t="shared" si="51"/>
        <v>0</v>
      </c>
      <c r="BJ123" s="64" t="str">
        <f t="shared" si="52"/>
        <v>0</v>
      </c>
      <c r="CK123" s="86" t="s">
        <v>84</v>
      </c>
      <c r="CL123" s="2">
        <v>2.2200000000000002</v>
      </c>
      <c r="CM123" s="2">
        <f t="shared" si="53"/>
        <v>2.4420000000000006</v>
      </c>
      <c r="CN123" s="10">
        <v>1.5</v>
      </c>
      <c r="CO123" s="84">
        <f t="shared" si="55"/>
        <v>0</v>
      </c>
    </row>
    <row r="124" spans="1:93" ht="11.1" hidden="1" customHeight="1" x14ac:dyDescent="0.5">
      <c r="A124" s="83"/>
      <c r="B124" s="266"/>
      <c r="C124" s="267"/>
      <c r="D124" s="267"/>
      <c r="E124" s="268"/>
      <c r="F124" s="64"/>
      <c r="G124" s="64"/>
      <c r="H124" s="82"/>
      <c r="I124" s="81"/>
      <c r="J124" s="64"/>
      <c r="K124" s="80"/>
      <c r="L124" s="79">
        <f t="shared" si="28"/>
        <v>0</v>
      </c>
      <c r="M124" s="64"/>
      <c r="N124" s="64"/>
      <c r="O124" s="64"/>
      <c r="P124" s="80"/>
      <c r="Q124" s="79">
        <f t="shared" si="29"/>
        <v>0</v>
      </c>
      <c r="R124" s="269" t="s">
        <v>282</v>
      </c>
      <c r="S124" s="270"/>
      <c r="T124" s="266"/>
      <c r="U124" s="267"/>
      <c r="V124" s="267"/>
      <c r="W124" s="268"/>
      <c r="X124" s="271">
        <f>IFERROR(INDEX(Table394123[],MATCH(R124,Table394123[Film Type],),3),"")</f>
        <v>0</v>
      </c>
      <c r="Y124" s="271"/>
      <c r="Z124" s="78" t="s">
        <v>55</v>
      </c>
      <c r="AA124" s="78" t="s">
        <v>55</v>
      </c>
      <c r="AB124" s="77"/>
      <c r="AC124" s="76"/>
      <c r="AD124" s="75">
        <f t="shared" si="30"/>
        <v>0</v>
      </c>
      <c r="AG124" s="74">
        <f t="shared" si="31"/>
        <v>0</v>
      </c>
      <c r="AK124" s="65">
        <f t="shared" si="32"/>
        <v>0</v>
      </c>
      <c r="AL124" s="65">
        <f t="shared" si="33"/>
        <v>0</v>
      </c>
      <c r="AM124" s="65">
        <f t="shared" si="34"/>
        <v>0</v>
      </c>
      <c r="AN124" s="73">
        <f t="shared" si="35"/>
        <v>0</v>
      </c>
      <c r="AO124" s="65" t="str">
        <f t="shared" si="36"/>
        <v>0.00</v>
      </c>
      <c r="AP124" s="65" t="str">
        <f t="shared" si="37"/>
        <v>0</v>
      </c>
      <c r="AQ124" s="71">
        <f t="shared" si="38"/>
        <v>0</v>
      </c>
      <c r="AR124" s="72">
        <f t="shared" si="39"/>
        <v>0</v>
      </c>
      <c r="AS124" s="71">
        <f t="shared" si="40"/>
        <v>0</v>
      </c>
      <c r="AT124" s="70">
        <f t="shared" si="41"/>
        <v>0</v>
      </c>
      <c r="AU124" s="70">
        <f t="shared" si="42"/>
        <v>0</v>
      </c>
      <c r="AV124" s="2"/>
      <c r="AW124" s="66">
        <f t="shared" si="43"/>
        <v>0</v>
      </c>
      <c r="AX124" s="68">
        <f>_xlfn.IFNA(INDEX(Table394123[I $ p/ft2],MATCH(R124,Table394123[Film Type],0)),1.75)</f>
        <v>1.75</v>
      </c>
      <c r="AY124" s="69">
        <f>VLOOKUP(Z124,Table134931[#All],2,FALSE)</f>
        <v>1</v>
      </c>
      <c r="AZ124" s="68">
        <f t="shared" si="44"/>
        <v>1.75</v>
      </c>
      <c r="BA124" s="65">
        <f t="shared" si="45"/>
        <v>0</v>
      </c>
      <c r="BB124" s="64">
        <f t="shared" si="46"/>
        <v>0</v>
      </c>
      <c r="BC124" s="67">
        <f t="shared" si="47"/>
        <v>0</v>
      </c>
      <c r="BD124" s="66">
        <f t="shared" si="48"/>
        <v>0</v>
      </c>
      <c r="BE124" s="64"/>
      <c r="BF124" s="66">
        <f t="shared" si="49"/>
        <v>0</v>
      </c>
      <c r="BG124" s="66">
        <f t="shared" si="50"/>
        <v>0</v>
      </c>
      <c r="BH124" s="65">
        <f>VLOOKUP(AA124,Table155133[#All],2,FALSE)</f>
        <v>1</v>
      </c>
      <c r="BI124" s="65">
        <f t="shared" si="51"/>
        <v>0</v>
      </c>
      <c r="BJ124" s="64" t="str">
        <f t="shared" si="52"/>
        <v>0</v>
      </c>
      <c r="CK124" s="86" t="s">
        <v>83</v>
      </c>
      <c r="CL124" s="2">
        <v>2.2200000000000002</v>
      </c>
      <c r="CM124" s="2">
        <f t="shared" si="53"/>
        <v>2.4420000000000006</v>
      </c>
      <c r="CN124" s="10">
        <v>1.5</v>
      </c>
      <c r="CO124" s="84">
        <f t="shared" si="55"/>
        <v>0</v>
      </c>
    </row>
    <row r="125" spans="1:93" ht="11.1" hidden="1" customHeight="1" x14ac:dyDescent="0.5">
      <c r="A125" s="83"/>
      <c r="B125" s="266"/>
      <c r="C125" s="267"/>
      <c r="D125" s="267"/>
      <c r="E125" s="268"/>
      <c r="F125" s="64"/>
      <c r="G125" s="64"/>
      <c r="H125" s="82"/>
      <c r="I125" s="81"/>
      <c r="J125" s="64"/>
      <c r="K125" s="80"/>
      <c r="L125" s="79">
        <f t="shared" si="28"/>
        <v>0</v>
      </c>
      <c r="M125" s="64"/>
      <c r="N125" s="64"/>
      <c r="O125" s="64"/>
      <c r="P125" s="80"/>
      <c r="Q125" s="79">
        <f t="shared" si="29"/>
        <v>0</v>
      </c>
      <c r="R125" s="269" t="s">
        <v>282</v>
      </c>
      <c r="S125" s="270"/>
      <c r="T125" s="266"/>
      <c r="U125" s="267"/>
      <c r="V125" s="267"/>
      <c r="W125" s="268"/>
      <c r="X125" s="271">
        <f>IFERROR(INDEX(Table394123[],MATCH(R125,Table394123[Film Type],),3),"")</f>
        <v>0</v>
      </c>
      <c r="Y125" s="271"/>
      <c r="Z125" s="78" t="s">
        <v>55</v>
      </c>
      <c r="AA125" s="78" t="s">
        <v>55</v>
      </c>
      <c r="AB125" s="77"/>
      <c r="AC125" s="76"/>
      <c r="AD125" s="75">
        <f t="shared" si="30"/>
        <v>0</v>
      </c>
      <c r="AG125" s="74">
        <f t="shared" si="31"/>
        <v>0</v>
      </c>
      <c r="AK125" s="65">
        <f t="shared" si="32"/>
        <v>0</v>
      </c>
      <c r="AL125" s="65">
        <f t="shared" si="33"/>
        <v>0</v>
      </c>
      <c r="AM125" s="65">
        <f t="shared" si="34"/>
        <v>0</v>
      </c>
      <c r="AN125" s="73">
        <f t="shared" si="35"/>
        <v>0</v>
      </c>
      <c r="AO125" s="65" t="str">
        <f t="shared" si="36"/>
        <v>0.00</v>
      </c>
      <c r="AP125" s="65" t="str">
        <f t="shared" si="37"/>
        <v>0</v>
      </c>
      <c r="AQ125" s="71">
        <f t="shared" si="38"/>
        <v>0</v>
      </c>
      <c r="AR125" s="72">
        <f t="shared" si="39"/>
        <v>0</v>
      </c>
      <c r="AS125" s="71">
        <f t="shared" si="40"/>
        <v>0</v>
      </c>
      <c r="AT125" s="70">
        <f t="shared" si="41"/>
        <v>0</v>
      </c>
      <c r="AU125" s="70">
        <f t="shared" si="42"/>
        <v>0</v>
      </c>
      <c r="AV125" s="2"/>
      <c r="AW125" s="66">
        <f t="shared" si="43"/>
        <v>0</v>
      </c>
      <c r="AX125" s="68">
        <f>_xlfn.IFNA(INDEX(Table394123[I $ p/ft2],MATCH(R125,Table394123[Film Type],0)),1.75)</f>
        <v>1.75</v>
      </c>
      <c r="AY125" s="69">
        <f>VLOOKUP(Z125,Table134931[#All],2,FALSE)</f>
        <v>1</v>
      </c>
      <c r="AZ125" s="68">
        <f t="shared" si="44"/>
        <v>1.75</v>
      </c>
      <c r="BA125" s="65">
        <f t="shared" si="45"/>
        <v>0</v>
      </c>
      <c r="BB125" s="64">
        <f t="shared" si="46"/>
        <v>0</v>
      </c>
      <c r="BC125" s="67">
        <f t="shared" si="47"/>
        <v>0</v>
      </c>
      <c r="BD125" s="66">
        <f t="shared" si="48"/>
        <v>0</v>
      </c>
      <c r="BE125" s="64"/>
      <c r="BF125" s="66">
        <f t="shared" si="49"/>
        <v>0</v>
      </c>
      <c r="BG125" s="66">
        <f t="shared" si="50"/>
        <v>0</v>
      </c>
      <c r="BH125" s="65">
        <f>VLOOKUP(AA125,Table155133[#All],2,FALSE)</f>
        <v>1</v>
      </c>
      <c r="BI125" s="65">
        <f t="shared" si="51"/>
        <v>0</v>
      </c>
      <c r="BJ125" s="64" t="str">
        <f t="shared" si="52"/>
        <v>0</v>
      </c>
      <c r="CK125" s="86" t="s">
        <v>82</v>
      </c>
      <c r="CL125" s="2">
        <v>1.33</v>
      </c>
      <c r="CM125" s="2">
        <f t="shared" si="53"/>
        <v>1.4630000000000003</v>
      </c>
      <c r="CN125" s="10">
        <v>1.5</v>
      </c>
      <c r="CO125" s="84">
        <f t="shared" si="55"/>
        <v>0</v>
      </c>
    </row>
    <row r="126" spans="1:93" ht="11.1" hidden="1" customHeight="1" x14ac:dyDescent="0.5">
      <c r="A126" s="83"/>
      <c r="B126" s="266"/>
      <c r="C126" s="267"/>
      <c r="D126" s="267"/>
      <c r="E126" s="268"/>
      <c r="F126" s="64"/>
      <c r="G126" s="64"/>
      <c r="H126" s="82"/>
      <c r="I126" s="81"/>
      <c r="J126" s="64"/>
      <c r="K126" s="80"/>
      <c r="L126" s="79">
        <f t="shared" si="28"/>
        <v>0</v>
      </c>
      <c r="M126" s="64"/>
      <c r="N126" s="64"/>
      <c r="O126" s="64"/>
      <c r="P126" s="80"/>
      <c r="Q126" s="79">
        <f t="shared" si="29"/>
        <v>0</v>
      </c>
      <c r="R126" s="269" t="s">
        <v>282</v>
      </c>
      <c r="S126" s="270"/>
      <c r="T126" s="266"/>
      <c r="U126" s="267"/>
      <c r="V126" s="267"/>
      <c r="W126" s="268"/>
      <c r="X126" s="271">
        <f>IFERROR(INDEX(Table394123[],MATCH(R126,Table394123[Film Type],),3),"")</f>
        <v>0</v>
      </c>
      <c r="Y126" s="271"/>
      <c r="Z126" s="78" t="s">
        <v>55</v>
      </c>
      <c r="AA126" s="78" t="s">
        <v>55</v>
      </c>
      <c r="AB126" s="77"/>
      <c r="AC126" s="76"/>
      <c r="AD126" s="75">
        <f t="shared" si="30"/>
        <v>0</v>
      </c>
      <c r="AG126" s="74">
        <f t="shared" si="31"/>
        <v>0</v>
      </c>
      <c r="AK126" s="65">
        <f t="shared" si="32"/>
        <v>0</v>
      </c>
      <c r="AL126" s="65">
        <f t="shared" si="33"/>
        <v>0</v>
      </c>
      <c r="AM126" s="65">
        <f t="shared" si="34"/>
        <v>0</v>
      </c>
      <c r="AN126" s="73">
        <f t="shared" si="35"/>
        <v>0</v>
      </c>
      <c r="AO126" s="65" t="str">
        <f t="shared" si="36"/>
        <v>0.00</v>
      </c>
      <c r="AP126" s="65" t="str">
        <f t="shared" si="37"/>
        <v>0</v>
      </c>
      <c r="AQ126" s="71">
        <f t="shared" si="38"/>
        <v>0</v>
      </c>
      <c r="AR126" s="72">
        <f t="shared" si="39"/>
        <v>0</v>
      </c>
      <c r="AS126" s="71">
        <f t="shared" si="40"/>
        <v>0</v>
      </c>
      <c r="AT126" s="70">
        <f t="shared" si="41"/>
        <v>0</v>
      </c>
      <c r="AU126" s="70">
        <f t="shared" si="42"/>
        <v>0</v>
      </c>
      <c r="AV126" s="2"/>
      <c r="AW126" s="66">
        <f t="shared" si="43"/>
        <v>0</v>
      </c>
      <c r="AX126" s="68">
        <f>_xlfn.IFNA(INDEX(Table394123[I $ p/ft2],MATCH(R126,Table394123[Film Type],0)),1.75)</f>
        <v>1.75</v>
      </c>
      <c r="AY126" s="69">
        <f>VLOOKUP(Z126,Table134931[#All],2,FALSE)</f>
        <v>1</v>
      </c>
      <c r="AZ126" s="68">
        <f t="shared" si="44"/>
        <v>1.75</v>
      </c>
      <c r="BA126" s="65">
        <f t="shared" si="45"/>
        <v>0</v>
      </c>
      <c r="BB126" s="64">
        <f t="shared" si="46"/>
        <v>0</v>
      </c>
      <c r="BC126" s="67">
        <f t="shared" si="47"/>
        <v>0</v>
      </c>
      <c r="BD126" s="66">
        <f t="shared" si="48"/>
        <v>0</v>
      </c>
      <c r="BE126" s="64"/>
      <c r="BF126" s="66">
        <f t="shared" si="49"/>
        <v>0</v>
      </c>
      <c r="BG126" s="66">
        <f t="shared" si="50"/>
        <v>0</v>
      </c>
      <c r="BH126" s="65">
        <f>VLOOKUP(AA126,Table155133[#All],2,FALSE)</f>
        <v>1</v>
      </c>
      <c r="BI126" s="65">
        <f t="shared" si="51"/>
        <v>0</v>
      </c>
      <c r="BJ126" s="64" t="str">
        <f t="shared" si="52"/>
        <v>0</v>
      </c>
      <c r="CK126" s="86" t="s">
        <v>81</v>
      </c>
      <c r="CL126" s="2">
        <v>1.1599999999999999</v>
      </c>
      <c r="CM126" s="2">
        <f t="shared" si="53"/>
        <v>1.276</v>
      </c>
      <c r="CN126" s="10">
        <v>1.5</v>
      </c>
      <c r="CO126" s="84">
        <f t="shared" si="55"/>
        <v>0</v>
      </c>
    </row>
    <row r="127" spans="1:93" ht="11.1" hidden="1" customHeight="1" x14ac:dyDescent="0.5">
      <c r="A127" s="83"/>
      <c r="B127" s="266"/>
      <c r="C127" s="267"/>
      <c r="D127" s="267"/>
      <c r="E127" s="268"/>
      <c r="F127" s="64"/>
      <c r="G127" s="64"/>
      <c r="H127" s="82"/>
      <c r="I127" s="81"/>
      <c r="J127" s="64"/>
      <c r="K127" s="80"/>
      <c r="L127" s="79">
        <f t="shared" si="28"/>
        <v>0</v>
      </c>
      <c r="M127" s="64"/>
      <c r="N127" s="64"/>
      <c r="O127" s="64"/>
      <c r="P127" s="80"/>
      <c r="Q127" s="79">
        <f t="shared" si="29"/>
        <v>0</v>
      </c>
      <c r="R127" s="269" t="s">
        <v>282</v>
      </c>
      <c r="S127" s="270"/>
      <c r="T127" s="266"/>
      <c r="U127" s="267"/>
      <c r="V127" s="267"/>
      <c r="W127" s="268"/>
      <c r="X127" s="271">
        <f>IFERROR(INDEX(Table394123[],MATCH(R127,Table394123[Film Type],),3),"")</f>
        <v>0</v>
      </c>
      <c r="Y127" s="271"/>
      <c r="Z127" s="78" t="s">
        <v>55</v>
      </c>
      <c r="AA127" s="78" t="s">
        <v>55</v>
      </c>
      <c r="AB127" s="77"/>
      <c r="AC127" s="76"/>
      <c r="AD127" s="75">
        <f t="shared" si="30"/>
        <v>0</v>
      </c>
      <c r="AG127" s="74">
        <f t="shared" si="31"/>
        <v>0</v>
      </c>
      <c r="AK127" s="65">
        <f t="shared" si="32"/>
        <v>0</v>
      </c>
      <c r="AL127" s="65">
        <f t="shared" si="33"/>
        <v>0</v>
      </c>
      <c r="AM127" s="65">
        <f t="shared" si="34"/>
        <v>0</v>
      </c>
      <c r="AN127" s="73">
        <f t="shared" si="35"/>
        <v>0</v>
      </c>
      <c r="AO127" s="65" t="str">
        <f t="shared" si="36"/>
        <v>0.00</v>
      </c>
      <c r="AP127" s="65" t="str">
        <f t="shared" si="37"/>
        <v>0</v>
      </c>
      <c r="AQ127" s="71">
        <f t="shared" si="38"/>
        <v>0</v>
      </c>
      <c r="AR127" s="72">
        <f t="shared" si="39"/>
        <v>0</v>
      </c>
      <c r="AS127" s="71">
        <f t="shared" si="40"/>
        <v>0</v>
      </c>
      <c r="AT127" s="70">
        <f t="shared" si="41"/>
        <v>0</v>
      </c>
      <c r="AU127" s="70">
        <f t="shared" si="42"/>
        <v>0</v>
      </c>
      <c r="AV127" s="2"/>
      <c r="AW127" s="66">
        <f t="shared" si="43"/>
        <v>0</v>
      </c>
      <c r="AX127" s="68">
        <f>_xlfn.IFNA(INDEX(Table394123[I $ p/ft2],MATCH(R127,Table394123[Film Type],0)),1.75)</f>
        <v>1.75</v>
      </c>
      <c r="AY127" s="69">
        <f>VLOOKUP(Z127,Table134931[#All],2,FALSE)</f>
        <v>1</v>
      </c>
      <c r="AZ127" s="68">
        <f t="shared" si="44"/>
        <v>1.75</v>
      </c>
      <c r="BA127" s="65">
        <f t="shared" si="45"/>
        <v>0</v>
      </c>
      <c r="BB127" s="64">
        <f t="shared" si="46"/>
        <v>0</v>
      </c>
      <c r="BC127" s="67">
        <f t="shared" si="47"/>
        <v>0</v>
      </c>
      <c r="BD127" s="66">
        <f t="shared" si="48"/>
        <v>0</v>
      </c>
      <c r="BE127" s="64"/>
      <c r="BF127" s="66">
        <f t="shared" si="49"/>
        <v>0</v>
      </c>
      <c r="BG127" s="66">
        <f t="shared" si="50"/>
        <v>0</v>
      </c>
      <c r="BH127" s="65">
        <f>VLOOKUP(AA127,Table155133[#All],2,FALSE)</f>
        <v>1</v>
      </c>
      <c r="BI127" s="65">
        <f t="shared" si="51"/>
        <v>0</v>
      </c>
      <c r="BJ127" s="64" t="str">
        <f t="shared" si="52"/>
        <v>0</v>
      </c>
      <c r="CK127" s="86" t="s">
        <v>80</v>
      </c>
      <c r="CL127" s="2">
        <v>1.1599999999999999</v>
      </c>
      <c r="CM127" s="2">
        <f t="shared" si="53"/>
        <v>1.276</v>
      </c>
      <c r="CN127" s="10">
        <v>1.5</v>
      </c>
      <c r="CO127" s="84">
        <f t="shared" si="55"/>
        <v>0</v>
      </c>
    </row>
    <row r="128" spans="1:93" ht="11.1" hidden="1" customHeight="1" x14ac:dyDescent="0.5">
      <c r="A128" s="83"/>
      <c r="B128" s="266"/>
      <c r="C128" s="267"/>
      <c r="D128" s="267"/>
      <c r="E128" s="268"/>
      <c r="F128" s="64"/>
      <c r="G128" s="64"/>
      <c r="H128" s="82"/>
      <c r="I128" s="81"/>
      <c r="J128" s="64"/>
      <c r="K128" s="80"/>
      <c r="L128" s="79">
        <f t="shared" si="28"/>
        <v>0</v>
      </c>
      <c r="M128" s="64"/>
      <c r="N128" s="64"/>
      <c r="O128" s="64"/>
      <c r="P128" s="80"/>
      <c r="Q128" s="79">
        <f t="shared" si="29"/>
        <v>0</v>
      </c>
      <c r="R128" s="269" t="s">
        <v>282</v>
      </c>
      <c r="S128" s="270"/>
      <c r="T128" s="266"/>
      <c r="U128" s="267"/>
      <c r="V128" s="267"/>
      <c r="W128" s="268"/>
      <c r="X128" s="271">
        <f>IFERROR(INDEX(Table394123[],MATCH(R128,Table394123[Film Type],),3),"")</f>
        <v>0</v>
      </c>
      <c r="Y128" s="271"/>
      <c r="Z128" s="78" t="s">
        <v>55</v>
      </c>
      <c r="AA128" s="78" t="s">
        <v>55</v>
      </c>
      <c r="AB128" s="77"/>
      <c r="AC128" s="76"/>
      <c r="AD128" s="75">
        <f t="shared" si="30"/>
        <v>0</v>
      </c>
      <c r="AG128" s="74">
        <f t="shared" si="31"/>
        <v>0</v>
      </c>
      <c r="AK128" s="65">
        <f t="shared" si="32"/>
        <v>0</v>
      </c>
      <c r="AL128" s="65">
        <f t="shared" si="33"/>
        <v>0</v>
      </c>
      <c r="AM128" s="65">
        <f t="shared" si="34"/>
        <v>0</v>
      </c>
      <c r="AN128" s="73">
        <f t="shared" si="35"/>
        <v>0</v>
      </c>
      <c r="AO128" s="65" t="str">
        <f t="shared" si="36"/>
        <v>0.00</v>
      </c>
      <c r="AP128" s="65" t="str">
        <f t="shared" si="37"/>
        <v>0</v>
      </c>
      <c r="AQ128" s="71">
        <f t="shared" si="38"/>
        <v>0</v>
      </c>
      <c r="AR128" s="72">
        <f t="shared" si="39"/>
        <v>0</v>
      </c>
      <c r="AS128" s="71">
        <f t="shared" si="40"/>
        <v>0</v>
      </c>
      <c r="AT128" s="70">
        <f t="shared" si="41"/>
        <v>0</v>
      </c>
      <c r="AU128" s="70">
        <f t="shared" si="42"/>
        <v>0</v>
      </c>
      <c r="AV128" s="2"/>
      <c r="AW128" s="66">
        <f t="shared" si="43"/>
        <v>0</v>
      </c>
      <c r="AX128" s="68">
        <f>_xlfn.IFNA(INDEX(Table394123[I $ p/ft2],MATCH(R128,Table394123[Film Type],0)),1.75)</f>
        <v>1.75</v>
      </c>
      <c r="AY128" s="69">
        <f>VLOOKUP(Z128,Table134931[#All],2,FALSE)</f>
        <v>1</v>
      </c>
      <c r="AZ128" s="68">
        <f t="shared" si="44"/>
        <v>1.75</v>
      </c>
      <c r="BA128" s="65">
        <f t="shared" si="45"/>
        <v>0</v>
      </c>
      <c r="BB128" s="64">
        <f t="shared" si="46"/>
        <v>0</v>
      </c>
      <c r="BC128" s="67">
        <f t="shared" si="47"/>
        <v>0</v>
      </c>
      <c r="BD128" s="66">
        <f t="shared" si="48"/>
        <v>0</v>
      </c>
      <c r="BE128" s="64"/>
      <c r="BF128" s="66">
        <f t="shared" si="49"/>
        <v>0</v>
      </c>
      <c r="BG128" s="66">
        <f t="shared" si="50"/>
        <v>0</v>
      </c>
      <c r="BH128" s="65">
        <f>VLOOKUP(AA128,Table155133[#All],2,FALSE)</f>
        <v>1</v>
      </c>
      <c r="BI128" s="65">
        <f t="shared" si="51"/>
        <v>0</v>
      </c>
      <c r="BJ128" s="64" t="str">
        <f t="shared" si="52"/>
        <v>0</v>
      </c>
      <c r="CK128" s="86" t="s">
        <v>79</v>
      </c>
      <c r="CL128" s="2">
        <v>1.1599999999999999</v>
      </c>
      <c r="CM128" s="2">
        <f t="shared" si="53"/>
        <v>1.276</v>
      </c>
      <c r="CN128" s="10">
        <v>1.5</v>
      </c>
      <c r="CO128" s="84">
        <f t="shared" si="55"/>
        <v>0</v>
      </c>
    </row>
    <row r="129" spans="1:93" ht="11.1" hidden="1" customHeight="1" x14ac:dyDescent="0.5">
      <c r="A129" s="83"/>
      <c r="B129" s="266"/>
      <c r="C129" s="267"/>
      <c r="D129" s="267"/>
      <c r="E129" s="268"/>
      <c r="F129" s="64"/>
      <c r="G129" s="64"/>
      <c r="H129" s="82"/>
      <c r="I129" s="81"/>
      <c r="J129" s="64"/>
      <c r="K129" s="80"/>
      <c r="L129" s="79">
        <f t="shared" si="28"/>
        <v>0</v>
      </c>
      <c r="M129" s="64"/>
      <c r="N129" s="64"/>
      <c r="O129" s="64"/>
      <c r="P129" s="80"/>
      <c r="Q129" s="79">
        <f t="shared" si="29"/>
        <v>0</v>
      </c>
      <c r="R129" s="269" t="s">
        <v>282</v>
      </c>
      <c r="S129" s="270"/>
      <c r="T129" s="266"/>
      <c r="U129" s="267"/>
      <c r="V129" s="267"/>
      <c r="W129" s="268"/>
      <c r="X129" s="271">
        <f>IFERROR(INDEX(Table394123[],MATCH(R129,Table394123[Film Type],),3),"")</f>
        <v>0</v>
      </c>
      <c r="Y129" s="271"/>
      <c r="Z129" s="78" t="s">
        <v>55</v>
      </c>
      <c r="AA129" s="78" t="s">
        <v>55</v>
      </c>
      <c r="AB129" s="77"/>
      <c r="AC129" s="76"/>
      <c r="AD129" s="75">
        <f t="shared" si="30"/>
        <v>0</v>
      </c>
      <c r="AG129" s="74">
        <f t="shared" si="31"/>
        <v>0</v>
      </c>
      <c r="AK129" s="65">
        <f t="shared" si="32"/>
        <v>0</v>
      </c>
      <c r="AL129" s="65">
        <f t="shared" si="33"/>
        <v>0</v>
      </c>
      <c r="AM129" s="65">
        <f t="shared" si="34"/>
        <v>0</v>
      </c>
      <c r="AN129" s="73">
        <f t="shared" si="35"/>
        <v>0</v>
      </c>
      <c r="AO129" s="65" t="str">
        <f t="shared" si="36"/>
        <v>0.00</v>
      </c>
      <c r="AP129" s="65" t="str">
        <f t="shared" si="37"/>
        <v>0</v>
      </c>
      <c r="AQ129" s="71">
        <f t="shared" si="38"/>
        <v>0</v>
      </c>
      <c r="AR129" s="72">
        <f t="shared" si="39"/>
        <v>0</v>
      </c>
      <c r="AS129" s="71">
        <f t="shared" si="40"/>
        <v>0</v>
      </c>
      <c r="AT129" s="70">
        <f t="shared" si="41"/>
        <v>0</v>
      </c>
      <c r="AU129" s="70">
        <f t="shared" si="42"/>
        <v>0</v>
      </c>
      <c r="AV129" s="2"/>
      <c r="AW129" s="66">
        <f t="shared" si="43"/>
        <v>0</v>
      </c>
      <c r="AX129" s="68">
        <f>_xlfn.IFNA(INDEX(Table394123[I $ p/ft2],MATCH(R129,Table394123[Film Type],0)),1.75)</f>
        <v>1.75</v>
      </c>
      <c r="AY129" s="69">
        <f>VLOOKUP(Z129,Table134931[#All],2,FALSE)</f>
        <v>1</v>
      </c>
      <c r="AZ129" s="68">
        <f t="shared" si="44"/>
        <v>1.75</v>
      </c>
      <c r="BA129" s="65">
        <f t="shared" si="45"/>
        <v>0</v>
      </c>
      <c r="BB129" s="64">
        <f t="shared" si="46"/>
        <v>0</v>
      </c>
      <c r="BC129" s="67">
        <f t="shared" si="47"/>
        <v>0</v>
      </c>
      <c r="BD129" s="66">
        <f t="shared" si="48"/>
        <v>0</v>
      </c>
      <c r="BE129" s="64"/>
      <c r="BF129" s="66">
        <f t="shared" si="49"/>
        <v>0</v>
      </c>
      <c r="BG129" s="66">
        <f t="shared" si="50"/>
        <v>0</v>
      </c>
      <c r="BH129" s="65">
        <f>VLOOKUP(AA129,Table155133[#All],2,FALSE)</f>
        <v>1</v>
      </c>
      <c r="BI129" s="65">
        <f t="shared" si="51"/>
        <v>0</v>
      </c>
      <c r="BJ129" s="64" t="str">
        <f t="shared" si="52"/>
        <v>0</v>
      </c>
      <c r="CK129" s="86" t="s">
        <v>78</v>
      </c>
      <c r="CL129" s="2">
        <v>1.3</v>
      </c>
      <c r="CM129" s="2">
        <f t="shared" si="53"/>
        <v>1.4300000000000002</v>
      </c>
      <c r="CN129" s="10">
        <v>2</v>
      </c>
      <c r="CO129" s="84">
        <f t="shared" si="55"/>
        <v>0</v>
      </c>
    </row>
    <row r="130" spans="1:93" ht="11.1" hidden="1" customHeight="1" x14ac:dyDescent="0.5">
      <c r="A130" s="83"/>
      <c r="B130" s="266"/>
      <c r="C130" s="267"/>
      <c r="D130" s="267"/>
      <c r="E130" s="268"/>
      <c r="F130" s="64"/>
      <c r="G130" s="64"/>
      <c r="H130" s="82"/>
      <c r="I130" s="81"/>
      <c r="J130" s="64"/>
      <c r="K130" s="80"/>
      <c r="L130" s="79">
        <f t="shared" si="28"/>
        <v>0</v>
      </c>
      <c r="M130" s="64"/>
      <c r="N130" s="64"/>
      <c r="O130" s="64"/>
      <c r="P130" s="80"/>
      <c r="Q130" s="79">
        <f t="shared" si="29"/>
        <v>0</v>
      </c>
      <c r="R130" s="269" t="s">
        <v>282</v>
      </c>
      <c r="S130" s="270"/>
      <c r="T130" s="266"/>
      <c r="U130" s="267"/>
      <c r="V130" s="267"/>
      <c r="W130" s="268"/>
      <c r="X130" s="271">
        <f>IFERROR(INDEX(Table394123[],MATCH(R130,Table394123[Film Type],),3),"")</f>
        <v>0</v>
      </c>
      <c r="Y130" s="271"/>
      <c r="Z130" s="78" t="s">
        <v>55</v>
      </c>
      <c r="AA130" s="78" t="s">
        <v>55</v>
      </c>
      <c r="AB130" s="77"/>
      <c r="AC130" s="76"/>
      <c r="AD130" s="75">
        <f t="shared" si="30"/>
        <v>0</v>
      </c>
      <c r="AG130" s="74">
        <f t="shared" si="31"/>
        <v>0</v>
      </c>
      <c r="AK130" s="65">
        <f t="shared" si="32"/>
        <v>0</v>
      </c>
      <c r="AL130" s="65">
        <f t="shared" si="33"/>
        <v>0</v>
      </c>
      <c r="AM130" s="65">
        <f t="shared" si="34"/>
        <v>0</v>
      </c>
      <c r="AN130" s="73">
        <f t="shared" si="35"/>
        <v>0</v>
      </c>
      <c r="AO130" s="65" t="str">
        <f t="shared" si="36"/>
        <v>0.00</v>
      </c>
      <c r="AP130" s="65" t="str">
        <f t="shared" si="37"/>
        <v>0</v>
      </c>
      <c r="AQ130" s="71">
        <f t="shared" si="38"/>
        <v>0</v>
      </c>
      <c r="AR130" s="72">
        <f t="shared" si="39"/>
        <v>0</v>
      </c>
      <c r="AS130" s="71">
        <f t="shared" si="40"/>
        <v>0</v>
      </c>
      <c r="AT130" s="70">
        <f t="shared" si="41"/>
        <v>0</v>
      </c>
      <c r="AU130" s="70">
        <f t="shared" si="42"/>
        <v>0</v>
      </c>
      <c r="AV130" s="2"/>
      <c r="AW130" s="66">
        <f t="shared" si="43"/>
        <v>0</v>
      </c>
      <c r="AX130" s="68">
        <f>_xlfn.IFNA(INDEX(Table394123[I $ p/ft2],MATCH(R130,Table394123[Film Type],0)),1.75)</f>
        <v>1.75</v>
      </c>
      <c r="AY130" s="69">
        <f>VLOOKUP(Z130,Table134931[#All],2,FALSE)</f>
        <v>1</v>
      </c>
      <c r="AZ130" s="68">
        <f t="shared" si="44"/>
        <v>1.75</v>
      </c>
      <c r="BA130" s="65">
        <f t="shared" si="45"/>
        <v>0</v>
      </c>
      <c r="BB130" s="64">
        <f t="shared" si="46"/>
        <v>0</v>
      </c>
      <c r="BC130" s="67">
        <f t="shared" si="47"/>
        <v>0</v>
      </c>
      <c r="BD130" s="66">
        <f t="shared" si="48"/>
        <v>0</v>
      </c>
      <c r="BE130" s="64"/>
      <c r="BF130" s="66">
        <f t="shared" si="49"/>
        <v>0</v>
      </c>
      <c r="BG130" s="66">
        <f t="shared" si="50"/>
        <v>0</v>
      </c>
      <c r="BH130" s="65">
        <f>VLOOKUP(AA130,Table155133[#All],2,FALSE)</f>
        <v>1</v>
      </c>
      <c r="BI130" s="65">
        <f t="shared" si="51"/>
        <v>0</v>
      </c>
      <c r="BJ130" s="64" t="str">
        <f t="shared" si="52"/>
        <v>0</v>
      </c>
      <c r="CK130" s="86" t="s">
        <v>77</v>
      </c>
      <c r="CL130" s="2">
        <v>1.55</v>
      </c>
      <c r="CM130" s="2">
        <f t="shared" si="53"/>
        <v>1.7050000000000003</v>
      </c>
      <c r="CN130" s="10">
        <v>2</v>
      </c>
      <c r="CO130" s="84">
        <f t="shared" si="55"/>
        <v>0</v>
      </c>
    </row>
    <row r="131" spans="1:93" ht="11.1" hidden="1" customHeight="1" x14ac:dyDescent="0.5">
      <c r="A131" s="83"/>
      <c r="B131" s="266"/>
      <c r="C131" s="267"/>
      <c r="D131" s="267"/>
      <c r="E131" s="268"/>
      <c r="F131" s="64"/>
      <c r="G131" s="64"/>
      <c r="H131" s="82"/>
      <c r="I131" s="81"/>
      <c r="J131" s="64"/>
      <c r="K131" s="80"/>
      <c r="L131" s="79">
        <f t="shared" si="28"/>
        <v>0</v>
      </c>
      <c r="M131" s="64"/>
      <c r="N131" s="64"/>
      <c r="O131" s="64"/>
      <c r="P131" s="80"/>
      <c r="Q131" s="79">
        <f t="shared" si="29"/>
        <v>0</v>
      </c>
      <c r="R131" s="269" t="s">
        <v>282</v>
      </c>
      <c r="S131" s="270"/>
      <c r="T131" s="266"/>
      <c r="U131" s="267"/>
      <c r="V131" s="267"/>
      <c r="W131" s="268"/>
      <c r="X131" s="271">
        <f>IFERROR(INDEX(Table394123[],MATCH(R131,Table394123[Film Type],),3),"")</f>
        <v>0</v>
      </c>
      <c r="Y131" s="271"/>
      <c r="Z131" s="78" t="s">
        <v>55</v>
      </c>
      <c r="AA131" s="78" t="s">
        <v>55</v>
      </c>
      <c r="AB131" s="77"/>
      <c r="AC131" s="76"/>
      <c r="AD131" s="75">
        <f t="shared" si="30"/>
        <v>0</v>
      </c>
      <c r="AG131" s="74">
        <f t="shared" si="31"/>
        <v>0</v>
      </c>
      <c r="AK131" s="65">
        <f t="shared" si="32"/>
        <v>0</v>
      </c>
      <c r="AL131" s="65">
        <f t="shared" si="33"/>
        <v>0</v>
      </c>
      <c r="AM131" s="65">
        <f t="shared" si="34"/>
        <v>0</v>
      </c>
      <c r="AN131" s="73">
        <f t="shared" si="35"/>
        <v>0</v>
      </c>
      <c r="AO131" s="65" t="str">
        <f t="shared" si="36"/>
        <v>0.00</v>
      </c>
      <c r="AP131" s="65" t="str">
        <f t="shared" si="37"/>
        <v>0</v>
      </c>
      <c r="AQ131" s="71">
        <f t="shared" si="38"/>
        <v>0</v>
      </c>
      <c r="AR131" s="72">
        <f t="shared" si="39"/>
        <v>0</v>
      </c>
      <c r="AS131" s="71">
        <f t="shared" si="40"/>
        <v>0</v>
      </c>
      <c r="AT131" s="70">
        <f t="shared" si="41"/>
        <v>0</v>
      </c>
      <c r="AU131" s="70">
        <f t="shared" si="42"/>
        <v>0</v>
      </c>
      <c r="AV131" s="2"/>
      <c r="AW131" s="66">
        <f t="shared" si="43"/>
        <v>0</v>
      </c>
      <c r="AX131" s="68">
        <f>_xlfn.IFNA(INDEX(Table394123[I $ p/ft2],MATCH(R131,Table394123[Film Type],0)),1.75)</f>
        <v>1.75</v>
      </c>
      <c r="AY131" s="69">
        <f>VLOOKUP(Z131,Table134931[#All],2,FALSE)</f>
        <v>1</v>
      </c>
      <c r="AZ131" s="68">
        <f t="shared" si="44"/>
        <v>1.75</v>
      </c>
      <c r="BA131" s="65">
        <f t="shared" si="45"/>
        <v>0</v>
      </c>
      <c r="BB131" s="64">
        <f t="shared" si="46"/>
        <v>0</v>
      </c>
      <c r="BC131" s="67">
        <f t="shared" si="47"/>
        <v>0</v>
      </c>
      <c r="BD131" s="66">
        <f t="shared" si="48"/>
        <v>0</v>
      </c>
      <c r="BE131" s="64"/>
      <c r="BF131" s="66">
        <f t="shared" si="49"/>
        <v>0</v>
      </c>
      <c r="BG131" s="66">
        <f t="shared" si="50"/>
        <v>0</v>
      </c>
      <c r="BH131" s="65">
        <f>VLOOKUP(AA131,Table155133[#All],2,FALSE)</f>
        <v>1</v>
      </c>
      <c r="BI131" s="65">
        <f t="shared" si="51"/>
        <v>0</v>
      </c>
      <c r="BJ131" s="64" t="str">
        <f t="shared" si="52"/>
        <v>0</v>
      </c>
      <c r="CK131" s="86" t="s">
        <v>76</v>
      </c>
      <c r="CL131" s="2">
        <v>1.72</v>
      </c>
      <c r="CM131" s="2">
        <f t="shared" si="53"/>
        <v>1.8920000000000001</v>
      </c>
      <c r="CN131" s="10">
        <v>2</v>
      </c>
      <c r="CO131" s="84">
        <f t="shared" si="55"/>
        <v>0</v>
      </c>
    </row>
    <row r="132" spans="1:93" ht="11.1" hidden="1" customHeight="1" x14ac:dyDescent="0.5">
      <c r="A132" s="83"/>
      <c r="B132" s="266"/>
      <c r="C132" s="267"/>
      <c r="D132" s="267"/>
      <c r="E132" s="268"/>
      <c r="F132" s="64"/>
      <c r="G132" s="64"/>
      <c r="H132" s="82"/>
      <c r="I132" s="81"/>
      <c r="J132" s="64"/>
      <c r="K132" s="80"/>
      <c r="L132" s="79">
        <f t="shared" si="28"/>
        <v>0</v>
      </c>
      <c r="M132" s="64"/>
      <c r="N132" s="64"/>
      <c r="O132" s="64"/>
      <c r="P132" s="80"/>
      <c r="Q132" s="79">
        <f t="shared" si="29"/>
        <v>0</v>
      </c>
      <c r="R132" s="269" t="s">
        <v>282</v>
      </c>
      <c r="S132" s="270"/>
      <c r="T132" s="266"/>
      <c r="U132" s="267"/>
      <c r="V132" s="267"/>
      <c r="W132" s="268"/>
      <c r="X132" s="271">
        <f>IFERROR(INDEX(Table394123[],MATCH(R132,Table394123[Film Type],),3),"")</f>
        <v>0</v>
      </c>
      <c r="Y132" s="271"/>
      <c r="Z132" s="78" t="s">
        <v>55</v>
      </c>
      <c r="AA132" s="78" t="s">
        <v>55</v>
      </c>
      <c r="AB132" s="77"/>
      <c r="AC132" s="76"/>
      <c r="AD132" s="75">
        <f t="shared" si="30"/>
        <v>0</v>
      </c>
      <c r="AG132" s="74">
        <f t="shared" si="31"/>
        <v>0</v>
      </c>
      <c r="AK132" s="65">
        <f t="shared" si="32"/>
        <v>0</v>
      </c>
      <c r="AL132" s="65">
        <f t="shared" si="33"/>
        <v>0</v>
      </c>
      <c r="AM132" s="65">
        <f t="shared" si="34"/>
        <v>0</v>
      </c>
      <c r="AN132" s="73">
        <f t="shared" si="35"/>
        <v>0</v>
      </c>
      <c r="AO132" s="65" t="str">
        <f t="shared" si="36"/>
        <v>0.00</v>
      </c>
      <c r="AP132" s="65" t="str">
        <f t="shared" si="37"/>
        <v>0</v>
      </c>
      <c r="AQ132" s="71">
        <f t="shared" si="38"/>
        <v>0</v>
      </c>
      <c r="AR132" s="72">
        <f t="shared" si="39"/>
        <v>0</v>
      </c>
      <c r="AS132" s="71">
        <f t="shared" si="40"/>
        <v>0</v>
      </c>
      <c r="AT132" s="70">
        <f t="shared" si="41"/>
        <v>0</v>
      </c>
      <c r="AU132" s="70">
        <f t="shared" si="42"/>
        <v>0</v>
      </c>
      <c r="AV132" s="2"/>
      <c r="AW132" s="66">
        <f t="shared" si="43"/>
        <v>0</v>
      </c>
      <c r="AX132" s="68">
        <f>_xlfn.IFNA(INDEX(Table394123[I $ p/ft2],MATCH(R132,Table394123[Film Type],0)),1.75)</f>
        <v>1.75</v>
      </c>
      <c r="AY132" s="69">
        <f>VLOOKUP(Z132,Table134931[#All],2,FALSE)</f>
        <v>1</v>
      </c>
      <c r="AZ132" s="68">
        <f t="shared" si="44"/>
        <v>1.75</v>
      </c>
      <c r="BA132" s="65">
        <f t="shared" si="45"/>
        <v>0</v>
      </c>
      <c r="BB132" s="64">
        <f t="shared" si="46"/>
        <v>0</v>
      </c>
      <c r="BC132" s="67">
        <f t="shared" si="47"/>
        <v>0</v>
      </c>
      <c r="BD132" s="66">
        <f t="shared" si="48"/>
        <v>0</v>
      </c>
      <c r="BE132" s="64"/>
      <c r="BF132" s="66">
        <f t="shared" si="49"/>
        <v>0</v>
      </c>
      <c r="BG132" s="66">
        <f t="shared" si="50"/>
        <v>0</v>
      </c>
      <c r="BH132" s="65">
        <f>VLOOKUP(AA132,Table155133[#All],2,FALSE)</f>
        <v>1</v>
      </c>
      <c r="BI132" s="65">
        <f t="shared" si="51"/>
        <v>0</v>
      </c>
      <c r="BJ132" s="64" t="str">
        <f t="shared" si="52"/>
        <v>0</v>
      </c>
      <c r="CK132" s="86" t="s">
        <v>75</v>
      </c>
      <c r="CL132" s="2">
        <v>2.17</v>
      </c>
      <c r="CM132" s="2">
        <f t="shared" si="53"/>
        <v>2.387</v>
      </c>
      <c r="CN132" s="10">
        <v>2</v>
      </c>
      <c r="CO132" s="84">
        <f t="shared" si="55"/>
        <v>0</v>
      </c>
    </row>
    <row r="133" spans="1:93" ht="11.1" hidden="1" customHeight="1" x14ac:dyDescent="0.5">
      <c r="A133" s="83"/>
      <c r="B133" s="266"/>
      <c r="C133" s="267"/>
      <c r="D133" s="267"/>
      <c r="E133" s="268"/>
      <c r="F133" s="64"/>
      <c r="G133" s="64"/>
      <c r="H133" s="82"/>
      <c r="I133" s="81"/>
      <c r="J133" s="64"/>
      <c r="K133" s="80"/>
      <c r="L133" s="79">
        <f t="shared" si="28"/>
        <v>0</v>
      </c>
      <c r="M133" s="64"/>
      <c r="N133" s="64"/>
      <c r="O133" s="64"/>
      <c r="P133" s="80"/>
      <c r="Q133" s="79">
        <f t="shared" si="29"/>
        <v>0</v>
      </c>
      <c r="R133" s="269" t="s">
        <v>282</v>
      </c>
      <c r="S133" s="270"/>
      <c r="T133" s="266"/>
      <c r="U133" s="267"/>
      <c r="V133" s="267"/>
      <c r="W133" s="268"/>
      <c r="X133" s="271">
        <f>IFERROR(INDEX(Table394123[],MATCH(R133,Table394123[Film Type],),3),"")</f>
        <v>0</v>
      </c>
      <c r="Y133" s="271"/>
      <c r="Z133" s="78" t="s">
        <v>55</v>
      </c>
      <c r="AA133" s="78" t="s">
        <v>55</v>
      </c>
      <c r="AB133" s="77"/>
      <c r="AC133" s="76"/>
      <c r="AD133" s="75">
        <f t="shared" si="30"/>
        <v>0</v>
      </c>
      <c r="AG133" s="74">
        <f t="shared" si="31"/>
        <v>0</v>
      </c>
      <c r="AK133" s="65">
        <f t="shared" si="32"/>
        <v>0</v>
      </c>
      <c r="AL133" s="65">
        <f t="shared" si="33"/>
        <v>0</v>
      </c>
      <c r="AM133" s="65">
        <f t="shared" si="34"/>
        <v>0</v>
      </c>
      <c r="AN133" s="73">
        <f t="shared" si="35"/>
        <v>0</v>
      </c>
      <c r="AO133" s="65" t="str">
        <f t="shared" si="36"/>
        <v>0.00</v>
      </c>
      <c r="AP133" s="65" t="str">
        <f t="shared" si="37"/>
        <v>0</v>
      </c>
      <c r="AQ133" s="71">
        <f t="shared" si="38"/>
        <v>0</v>
      </c>
      <c r="AR133" s="72">
        <f t="shared" si="39"/>
        <v>0</v>
      </c>
      <c r="AS133" s="71">
        <f t="shared" si="40"/>
        <v>0</v>
      </c>
      <c r="AT133" s="70">
        <f t="shared" si="41"/>
        <v>0</v>
      </c>
      <c r="AU133" s="70">
        <f t="shared" si="42"/>
        <v>0</v>
      </c>
      <c r="AV133" s="2"/>
      <c r="AW133" s="66">
        <f t="shared" si="43"/>
        <v>0</v>
      </c>
      <c r="AX133" s="68">
        <f>_xlfn.IFNA(INDEX(Table394123[I $ p/ft2],MATCH(R133,Table394123[Film Type],0)),1.75)</f>
        <v>1.75</v>
      </c>
      <c r="AY133" s="69">
        <f>VLOOKUP(Z133,Table134931[#All],2,FALSE)</f>
        <v>1</v>
      </c>
      <c r="AZ133" s="68">
        <f t="shared" si="44"/>
        <v>1.75</v>
      </c>
      <c r="BA133" s="65">
        <f t="shared" si="45"/>
        <v>0</v>
      </c>
      <c r="BB133" s="64">
        <f t="shared" si="46"/>
        <v>0</v>
      </c>
      <c r="BC133" s="67">
        <f t="shared" si="47"/>
        <v>0</v>
      </c>
      <c r="BD133" s="66">
        <f t="shared" si="48"/>
        <v>0</v>
      </c>
      <c r="BE133" s="64"/>
      <c r="BF133" s="66">
        <f t="shared" si="49"/>
        <v>0</v>
      </c>
      <c r="BG133" s="66">
        <f t="shared" si="50"/>
        <v>0</v>
      </c>
      <c r="BH133" s="65">
        <f>VLOOKUP(AA133,Table155133[#All],2,FALSE)</f>
        <v>1</v>
      </c>
      <c r="BI133" s="65">
        <f t="shared" si="51"/>
        <v>0</v>
      </c>
      <c r="BJ133" s="64" t="str">
        <f t="shared" si="52"/>
        <v>0</v>
      </c>
      <c r="CK133" s="86" t="s">
        <v>74</v>
      </c>
      <c r="CL133" s="2">
        <v>1.1100000000000001</v>
      </c>
      <c r="CM133" s="2">
        <f t="shared" si="53"/>
        <v>1.2210000000000003</v>
      </c>
      <c r="CN133" s="10">
        <v>2</v>
      </c>
      <c r="CO133" s="84">
        <f t="shared" si="55"/>
        <v>0</v>
      </c>
    </row>
    <row r="134" spans="1:93" ht="11.1" hidden="1" customHeight="1" x14ac:dyDescent="0.5">
      <c r="A134" s="83"/>
      <c r="B134" s="266"/>
      <c r="C134" s="267"/>
      <c r="D134" s="267"/>
      <c r="E134" s="268"/>
      <c r="F134" s="64"/>
      <c r="G134" s="64"/>
      <c r="H134" s="82"/>
      <c r="I134" s="81"/>
      <c r="J134" s="64"/>
      <c r="K134" s="80"/>
      <c r="L134" s="79">
        <f t="shared" si="28"/>
        <v>0</v>
      </c>
      <c r="M134" s="64"/>
      <c r="N134" s="64"/>
      <c r="O134" s="64"/>
      <c r="P134" s="80"/>
      <c r="Q134" s="79">
        <f t="shared" si="29"/>
        <v>0</v>
      </c>
      <c r="R134" s="269" t="s">
        <v>282</v>
      </c>
      <c r="S134" s="270"/>
      <c r="T134" s="266"/>
      <c r="U134" s="267"/>
      <c r="V134" s="267"/>
      <c r="W134" s="268"/>
      <c r="X134" s="271">
        <f>IFERROR(INDEX(Table394123[],MATCH(R134,Table394123[Film Type],),3),"")</f>
        <v>0</v>
      </c>
      <c r="Y134" s="271"/>
      <c r="Z134" s="78" t="s">
        <v>55</v>
      </c>
      <c r="AA134" s="78" t="s">
        <v>55</v>
      </c>
      <c r="AB134" s="77"/>
      <c r="AC134" s="76"/>
      <c r="AD134" s="75">
        <f t="shared" si="30"/>
        <v>0</v>
      </c>
      <c r="AG134" s="74">
        <f t="shared" si="31"/>
        <v>0</v>
      </c>
      <c r="AK134" s="65">
        <f t="shared" si="32"/>
        <v>0</v>
      </c>
      <c r="AL134" s="65">
        <f t="shared" si="33"/>
        <v>0</v>
      </c>
      <c r="AM134" s="65">
        <f t="shared" si="34"/>
        <v>0</v>
      </c>
      <c r="AN134" s="73">
        <f t="shared" si="35"/>
        <v>0</v>
      </c>
      <c r="AO134" s="65" t="str">
        <f t="shared" si="36"/>
        <v>0.00</v>
      </c>
      <c r="AP134" s="65" t="str">
        <f t="shared" si="37"/>
        <v>0</v>
      </c>
      <c r="AQ134" s="71">
        <f t="shared" si="38"/>
        <v>0</v>
      </c>
      <c r="AR134" s="72">
        <f t="shared" si="39"/>
        <v>0</v>
      </c>
      <c r="AS134" s="71">
        <f t="shared" si="40"/>
        <v>0</v>
      </c>
      <c r="AT134" s="70">
        <f t="shared" si="41"/>
        <v>0</v>
      </c>
      <c r="AU134" s="70">
        <f t="shared" si="42"/>
        <v>0</v>
      </c>
      <c r="AV134" s="2"/>
      <c r="AW134" s="66">
        <f t="shared" si="43"/>
        <v>0</v>
      </c>
      <c r="AX134" s="68">
        <f>_xlfn.IFNA(INDEX(Table394123[I $ p/ft2],MATCH(R134,Table394123[Film Type],0)),1.75)</f>
        <v>1.75</v>
      </c>
      <c r="AY134" s="69">
        <f>VLOOKUP(Z134,Table134931[#All],2,FALSE)</f>
        <v>1</v>
      </c>
      <c r="AZ134" s="68">
        <f t="shared" si="44"/>
        <v>1.75</v>
      </c>
      <c r="BA134" s="65">
        <f t="shared" si="45"/>
        <v>0</v>
      </c>
      <c r="BB134" s="64">
        <f t="shared" si="46"/>
        <v>0</v>
      </c>
      <c r="BC134" s="67">
        <f t="shared" si="47"/>
        <v>0</v>
      </c>
      <c r="BD134" s="66">
        <f t="shared" si="48"/>
        <v>0</v>
      </c>
      <c r="BE134" s="64"/>
      <c r="BF134" s="66">
        <f t="shared" si="49"/>
        <v>0</v>
      </c>
      <c r="BG134" s="66">
        <f t="shared" si="50"/>
        <v>0</v>
      </c>
      <c r="BH134" s="65">
        <f>VLOOKUP(AA134,Table155133[#All],2,FALSE)</f>
        <v>1</v>
      </c>
      <c r="BI134" s="65">
        <f t="shared" si="51"/>
        <v>0</v>
      </c>
      <c r="BJ134" s="64" t="str">
        <f t="shared" si="52"/>
        <v>0</v>
      </c>
      <c r="CK134" s="86" t="s">
        <v>73</v>
      </c>
      <c r="CL134" s="2">
        <v>1.49</v>
      </c>
      <c r="CM134" s="2">
        <f t="shared" si="53"/>
        <v>1.639</v>
      </c>
      <c r="CN134" s="10">
        <v>2</v>
      </c>
      <c r="CO134" s="84">
        <f t="shared" si="55"/>
        <v>0</v>
      </c>
    </row>
    <row r="135" spans="1:93" ht="11.1" hidden="1" customHeight="1" x14ac:dyDescent="0.5">
      <c r="A135" s="83"/>
      <c r="B135" s="266"/>
      <c r="C135" s="267"/>
      <c r="D135" s="267"/>
      <c r="E135" s="268"/>
      <c r="F135" s="64"/>
      <c r="G135" s="64"/>
      <c r="H135" s="82"/>
      <c r="I135" s="81"/>
      <c r="J135" s="64"/>
      <c r="K135" s="80"/>
      <c r="L135" s="79">
        <f t="shared" ref="L135:L157" si="56">(I135*J135*K135)/144</f>
        <v>0</v>
      </c>
      <c r="M135" s="64"/>
      <c r="N135" s="64"/>
      <c r="O135" s="64"/>
      <c r="P135" s="80"/>
      <c r="Q135" s="79">
        <f t="shared" ref="Q135:Q157" si="57">IF(P135&lt;&gt;"",M135*O135*P135/144,L135*(1+$Q$5))</f>
        <v>0</v>
      </c>
      <c r="R135" s="269" t="s">
        <v>282</v>
      </c>
      <c r="S135" s="270"/>
      <c r="T135" s="266"/>
      <c r="U135" s="267"/>
      <c r="V135" s="267"/>
      <c r="W135" s="268"/>
      <c r="X135" s="271">
        <f>IFERROR(INDEX(Table394123[],MATCH(R135,Table394123[Film Type],),3),"")</f>
        <v>0</v>
      </c>
      <c r="Y135" s="271"/>
      <c r="Z135" s="78" t="s">
        <v>55</v>
      </c>
      <c r="AA135" s="78" t="s">
        <v>55</v>
      </c>
      <c r="AB135" s="77"/>
      <c r="AC135" s="76"/>
      <c r="AD135" s="75">
        <f t="shared" ref="AD135:AD157" si="58">SUM(AT135+AU135)</f>
        <v>0</v>
      </c>
      <c r="AG135" s="74">
        <f t="shared" ref="AG135:AG157" si="59">(((I135*2)+(J135*2))*K135)/12</f>
        <v>0</v>
      </c>
      <c r="AK135" s="65">
        <f t="shared" ref="AK135:AK157" si="60">IFERROR((Q135*X135),0)</f>
        <v>0</v>
      </c>
      <c r="AL135" s="65">
        <f t="shared" ref="AL135:AL157" si="61">IFERROR((AW135/$B$158)*$X$4,0)</f>
        <v>0</v>
      </c>
      <c r="AM135" s="65">
        <f t="shared" ref="AM135:AM157" si="62">BA135+BI135+BC135</f>
        <v>0</v>
      </c>
      <c r="AN135" s="73">
        <f t="shared" ref="AN135:AN157" si="63">IFERROR((AW135/$B$158)*(($AB$4*$AI$7)+($AC$2*$AI$7)),0)</f>
        <v>0</v>
      </c>
      <c r="AO135" s="65" t="str">
        <f t="shared" ref="AO135:AO157" si="64">IF(AND($X$2="Yes", $Z$2="No"), ((AM135+AN135)*0.25),"0.00")</f>
        <v>0.00</v>
      </c>
      <c r="AP135" s="65" t="str">
        <f t="shared" ref="AP135:AP157" si="65">IF($Z$2="No","0", (((AN135/$AI$7)+BD135+BG135)*$AI$13)-(AN135+BA135+BC135+BI135))</f>
        <v>0</v>
      </c>
      <c r="AQ135" s="71">
        <f t="shared" ref="AQ135:AQ157" si="66">(BD135+BG135)*$AI$10</f>
        <v>0</v>
      </c>
      <c r="AR135" s="72">
        <f t="shared" ref="AR135:AR157" si="67">AD135*$AB$163</f>
        <v>0</v>
      </c>
      <c r="AS135" s="71">
        <f t="shared" ref="AS135:AS157" si="68">AD135-AT135-AR135-AQ135</f>
        <v>0</v>
      </c>
      <c r="AT135" s="70">
        <f t="shared" ref="AT135:AT157" si="69">SUM(AK135+AL135+AM135+AN135+AO135+AP135)</f>
        <v>0</v>
      </c>
      <c r="AU135" s="70">
        <f t="shared" ref="AU135:AU157" si="70">AT135*$AB$167</f>
        <v>0</v>
      </c>
      <c r="AV135" s="2"/>
      <c r="AW135" s="66">
        <f t="shared" ref="AW135:AW157" si="71">IF(R135="removal only",0,((I135*J135*K135)/144))</f>
        <v>0</v>
      </c>
      <c r="AX135" s="68">
        <f>_xlfn.IFNA(INDEX(Table394123[I $ p/ft2],MATCH(R135,Table394123[Film Type],0)),1.75)</f>
        <v>1.75</v>
      </c>
      <c r="AY135" s="69">
        <f>VLOOKUP(Z135,Table134931[#All],2,FALSE)</f>
        <v>1</v>
      </c>
      <c r="AZ135" s="68">
        <f t="shared" ref="AZ135:AZ157" si="72">AX135*AY135</f>
        <v>1.75</v>
      </c>
      <c r="BA135" s="65">
        <f t="shared" ref="BA135:BA157" si="73">IF(R135="removal only",0,(AW135*AZ135))</f>
        <v>0</v>
      </c>
      <c r="BB135" s="64">
        <f t="shared" ref="BB135:BB157" si="74">IF(R135="removal only",0,K135)</f>
        <v>0</v>
      </c>
      <c r="BC135" s="67">
        <f t="shared" ref="BC135:BC157" si="75">(AB135/60)*$AI$7</f>
        <v>0</v>
      </c>
      <c r="BD135" s="66">
        <f t="shared" ref="BD135:BD157" si="76">IF(R135="removal only",0,(BA135+BC135)/$AI$7)</f>
        <v>0</v>
      </c>
      <c r="BE135" s="64"/>
      <c r="BF135" s="66">
        <f t="shared" ref="BF135:BF157" si="77">IF(H135="Yes",((I135*J135*K135)/144),0)</f>
        <v>0</v>
      </c>
      <c r="BG135" s="66">
        <f t="shared" ref="BG135:BG157" si="78">IF(BF135="0",0,BI135/$AI$7)</f>
        <v>0</v>
      </c>
      <c r="BH135" s="65">
        <f>VLOOKUP(AA135,Table155133[#All],2,FALSE)</f>
        <v>1</v>
      </c>
      <c r="BI135" s="65">
        <f t="shared" ref="BI135:BI157" si="79">IF(H135="Yes",BF135*BH135,0)</f>
        <v>0</v>
      </c>
      <c r="BJ135" s="64" t="str">
        <f t="shared" ref="BJ135:BJ157" si="80">IF(H135="Yes",K135,"0")</f>
        <v>0</v>
      </c>
      <c r="CK135" s="86" t="s">
        <v>72</v>
      </c>
      <c r="CL135" s="2">
        <v>1.37</v>
      </c>
      <c r="CM135" s="2">
        <f t="shared" ref="CM135:CM154" si="81">CL135*1.1</f>
        <v>1.5070000000000003</v>
      </c>
      <c r="CN135" s="10">
        <v>2</v>
      </c>
      <c r="CO135" s="84">
        <f t="shared" ref="CO135:CO154" si="82">(O135*K135)/12</f>
        <v>0</v>
      </c>
    </row>
    <row r="136" spans="1:93" ht="11.1" hidden="1" customHeight="1" x14ac:dyDescent="0.5">
      <c r="A136" s="83"/>
      <c r="B136" s="266"/>
      <c r="C136" s="267"/>
      <c r="D136" s="267"/>
      <c r="E136" s="268"/>
      <c r="F136" s="64"/>
      <c r="G136" s="64"/>
      <c r="H136" s="82"/>
      <c r="I136" s="81"/>
      <c r="J136" s="64"/>
      <c r="K136" s="80"/>
      <c r="L136" s="79">
        <f t="shared" si="56"/>
        <v>0</v>
      </c>
      <c r="M136" s="64"/>
      <c r="N136" s="64"/>
      <c r="O136" s="64"/>
      <c r="P136" s="80"/>
      <c r="Q136" s="79">
        <f t="shared" si="57"/>
        <v>0</v>
      </c>
      <c r="R136" s="269" t="s">
        <v>282</v>
      </c>
      <c r="S136" s="270"/>
      <c r="T136" s="266"/>
      <c r="U136" s="267"/>
      <c r="V136" s="267"/>
      <c r="W136" s="268"/>
      <c r="X136" s="271">
        <f>IFERROR(INDEX(Table394123[],MATCH(R136,Table394123[Film Type],),3),"")</f>
        <v>0</v>
      </c>
      <c r="Y136" s="271"/>
      <c r="Z136" s="78" t="s">
        <v>55</v>
      </c>
      <c r="AA136" s="78" t="s">
        <v>55</v>
      </c>
      <c r="AB136" s="77"/>
      <c r="AC136" s="76"/>
      <c r="AD136" s="75">
        <f t="shared" si="58"/>
        <v>0</v>
      </c>
      <c r="AG136" s="74">
        <f t="shared" si="59"/>
        <v>0</v>
      </c>
      <c r="AK136" s="65">
        <f t="shared" si="60"/>
        <v>0</v>
      </c>
      <c r="AL136" s="65">
        <f t="shared" si="61"/>
        <v>0</v>
      </c>
      <c r="AM136" s="65">
        <f t="shared" si="62"/>
        <v>0</v>
      </c>
      <c r="AN136" s="73">
        <f t="shared" si="63"/>
        <v>0</v>
      </c>
      <c r="AO136" s="65" t="str">
        <f t="shared" si="64"/>
        <v>0.00</v>
      </c>
      <c r="AP136" s="65" t="str">
        <f t="shared" si="65"/>
        <v>0</v>
      </c>
      <c r="AQ136" s="71">
        <f t="shared" si="66"/>
        <v>0</v>
      </c>
      <c r="AR136" s="72">
        <f t="shared" si="67"/>
        <v>0</v>
      </c>
      <c r="AS136" s="71">
        <f t="shared" si="68"/>
        <v>0</v>
      </c>
      <c r="AT136" s="70">
        <f t="shared" si="69"/>
        <v>0</v>
      </c>
      <c r="AU136" s="70">
        <f t="shared" si="70"/>
        <v>0</v>
      </c>
      <c r="AV136" s="2"/>
      <c r="AW136" s="66">
        <f t="shared" si="71"/>
        <v>0</v>
      </c>
      <c r="AX136" s="68">
        <f>_xlfn.IFNA(INDEX(Table394123[I $ p/ft2],MATCH(R136,Table394123[Film Type],0)),1.75)</f>
        <v>1.75</v>
      </c>
      <c r="AY136" s="69">
        <f>VLOOKUP(Z136,Table134931[#All],2,FALSE)</f>
        <v>1</v>
      </c>
      <c r="AZ136" s="68">
        <f t="shared" si="72"/>
        <v>1.75</v>
      </c>
      <c r="BA136" s="65">
        <f t="shared" si="73"/>
        <v>0</v>
      </c>
      <c r="BB136" s="64">
        <f t="shared" si="74"/>
        <v>0</v>
      </c>
      <c r="BC136" s="67">
        <f t="shared" si="75"/>
        <v>0</v>
      </c>
      <c r="BD136" s="66">
        <f t="shared" si="76"/>
        <v>0</v>
      </c>
      <c r="BE136" s="64"/>
      <c r="BF136" s="66">
        <f t="shared" si="77"/>
        <v>0</v>
      </c>
      <c r="BG136" s="66">
        <f t="shared" si="78"/>
        <v>0</v>
      </c>
      <c r="BH136" s="65">
        <f>VLOOKUP(AA136,Table155133[#All],2,FALSE)</f>
        <v>1</v>
      </c>
      <c r="BI136" s="65">
        <f t="shared" si="79"/>
        <v>0</v>
      </c>
      <c r="BJ136" s="64" t="str">
        <f t="shared" si="80"/>
        <v>0</v>
      </c>
      <c r="CK136" s="86"/>
      <c r="CM136" s="2">
        <f t="shared" si="81"/>
        <v>0</v>
      </c>
      <c r="CN136" s="10"/>
      <c r="CO136" s="84">
        <f t="shared" si="82"/>
        <v>0</v>
      </c>
    </row>
    <row r="137" spans="1:93" ht="11.1" hidden="1" customHeight="1" x14ac:dyDescent="0.5">
      <c r="A137" s="83"/>
      <c r="B137" s="266"/>
      <c r="C137" s="267"/>
      <c r="D137" s="267"/>
      <c r="E137" s="268"/>
      <c r="F137" s="64"/>
      <c r="G137" s="64"/>
      <c r="H137" s="82"/>
      <c r="I137" s="81"/>
      <c r="J137" s="64"/>
      <c r="K137" s="80"/>
      <c r="L137" s="79">
        <f t="shared" si="56"/>
        <v>0</v>
      </c>
      <c r="M137" s="64"/>
      <c r="N137" s="64"/>
      <c r="O137" s="64"/>
      <c r="P137" s="80"/>
      <c r="Q137" s="79">
        <f t="shared" si="57"/>
        <v>0</v>
      </c>
      <c r="R137" s="269" t="s">
        <v>282</v>
      </c>
      <c r="S137" s="270"/>
      <c r="T137" s="266"/>
      <c r="U137" s="267"/>
      <c r="V137" s="267"/>
      <c r="W137" s="268"/>
      <c r="X137" s="271">
        <f>IFERROR(INDEX(Table394123[],MATCH(R137,Table394123[Film Type],),3),"")</f>
        <v>0</v>
      </c>
      <c r="Y137" s="271"/>
      <c r="Z137" s="78" t="s">
        <v>55</v>
      </c>
      <c r="AA137" s="78" t="s">
        <v>55</v>
      </c>
      <c r="AB137" s="77"/>
      <c r="AC137" s="76"/>
      <c r="AD137" s="75">
        <f t="shared" si="58"/>
        <v>0</v>
      </c>
      <c r="AG137" s="74">
        <f t="shared" si="59"/>
        <v>0</v>
      </c>
      <c r="AK137" s="65">
        <f t="shared" si="60"/>
        <v>0</v>
      </c>
      <c r="AL137" s="65">
        <f t="shared" si="61"/>
        <v>0</v>
      </c>
      <c r="AM137" s="65">
        <f t="shared" si="62"/>
        <v>0</v>
      </c>
      <c r="AN137" s="73">
        <f t="shared" si="63"/>
        <v>0</v>
      </c>
      <c r="AO137" s="65" t="str">
        <f t="shared" si="64"/>
        <v>0.00</v>
      </c>
      <c r="AP137" s="65" t="str">
        <f t="shared" si="65"/>
        <v>0</v>
      </c>
      <c r="AQ137" s="71">
        <f t="shared" si="66"/>
        <v>0</v>
      </c>
      <c r="AR137" s="72">
        <f t="shared" si="67"/>
        <v>0</v>
      </c>
      <c r="AS137" s="71">
        <f t="shared" si="68"/>
        <v>0</v>
      </c>
      <c r="AT137" s="70">
        <f t="shared" si="69"/>
        <v>0</v>
      </c>
      <c r="AU137" s="70">
        <f t="shared" si="70"/>
        <v>0</v>
      </c>
      <c r="AV137" s="2"/>
      <c r="AW137" s="66">
        <f t="shared" si="71"/>
        <v>0</v>
      </c>
      <c r="AX137" s="68">
        <f>_xlfn.IFNA(INDEX(Table394123[I $ p/ft2],MATCH(R137,Table394123[Film Type],0)),1.75)</f>
        <v>1.75</v>
      </c>
      <c r="AY137" s="69">
        <f>VLOOKUP(Z137,Table134931[#All],2,FALSE)</f>
        <v>1</v>
      </c>
      <c r="AZ137" s="68">
        <f t="shared" si="72"/>
        <v>1.75</v>
      </c>
      <c r="BA137" s="65">
        <f t="shared" si="73"/>
        <v>0</v>
      </c>
      <c r="BB137" s="64">
        <f t="shared" si="74"/>
        <v>0</v>
      </c>
      <c r="BC137" s="67">
        <f t="shared" si="75"/>
        <v>0</v>
      </c>
      <c r="BD137" s="66">
        <f t="shared" si="76"/>
        <v>0</v>
      </c>
      <c r="BE137" s="64"/>
      <c r="BF137" s="66">
        <f t="shared" si="77"/>
        <v>0</v>
      </c>
      <c r="BG137" s="66">
        <f t="shared" si="78"/>
        <v>0</v>
      </c>
      <c r="BH137" s="65">
        <f>VLOOKUP(AA137,Table155133[#All],2,FALSE)</f>
        <v>1</v>
      </c>
      <c r="BI137" s="65">
        <f t="shared" si="79"/>
        <v>0</v>
      </c>
      <c r="BJ137" s="64" t="str">
        <f t="shared" si="80"/>
        <v>0</v>
      </c>
      <c r="CK137" s="86" t="s">
        <v>71</v>
      </c>
      <c r="CL137" s="2">
        <v>5.64</v>
      </c>
      <c r="CM137" s="2">
        <f t="shared" si="81"/>
        <v>6.2039999999999997</v>
      </c>
      <c r="CN137" s="10">
        <v>1.5</v>
      </c>
      <c r="CO137" s="84">
        <f t="shared" si="82"/>
        <v>0</v>
      </c>
    </row>
    <row r="138" spans="1:93" ht="11.1" hidden="1" customHeight="1" x14ac:dyDescent="0.5">
      <c r="A138" s="83"/>
      <c r="B138" s="266"/>
      <c r="C138" s="267"/>
      <c r="D138" s="267"/>
      <c r="E138" s="268"/>
      <c r="F138" s="64"/>
      <c r="G138" s="64"/>
      <c r="H138" s="82"/>
      <c r="I138" s="81"/>
      <c r="J138" s="64"/>
      <c r="K138" s="80"/>
      <c r="L138" s="79">
        <f t="shared" si="56"/>
        <v>0</v>
      </c>
      <c r="M138" s="64"/>
      <c r="N138" s="64"/>
      <c r="O138" s="64"/>
      <c r="P138" s="80"/>
      <c r="Q138" s="79">
        <f t="shared" si="57"/>
        <v>0</v>
      </c>
      <c r="R138" s="269" t="s">
        <v>282</v>
      </c>
      <c r="S138" s="270"/>
      <c r="T138" s="266"/>
      <c r="U138" s="267"/>
      <c r="V138" s="267"/>
      <c r="W138" s="268"/>
      <c r="X138" s="271">
        <f>IFERROR(INDEX(Table394123[],MATCH(R138,Table394123[Film Type],),3),"")</f>
        <v>0</v>
      </c>
      <c r="Y138" s="271"/>
      <c r="Z138" s="78" t="s">
        <v>55</v>
      </c>
      <c r="AA138" s="78" t="s">
        <v>55</v>
      </c>
      <c r="AB138" s="77"/>
      <c r="AC138" s="76"/>
      <c r="AD138" s="75">
        <f t="shared" si="58"/>
        <v>0</v>
      </c>
      <c r="AG138" s="74">
        <f t="shared" si="59"/>
        <v>0</v>
      </c>
      <c r="AK138" s="65">
        <f t="shared" si="60"/>
        <v>0</v>
      </c>
      <c r="AL138" s="65">
        <f t="shared" si="61"/>
        <v>0</v>
      </c>
      <c r="AM138" s="65">
        <f t="shared" si="62"/>
        <v>0</v>
      </c>
      <c r="AN138" s="73">
        <f t="shared" si="63"/>
        <v>0</v>
      </c>
      <c r="AO138" s="65" t="str">
        <f t="shared" si="64"/>
        <v>0.00</v>
      </c>
      <c r="AP138" s="65" t="str">
        <f t="shared" si="65"/>
        <v>0</v>
      </c>
      <c r="AQ138" s="71">
        <f t="shared" si="66"/>
        <v>0</v>
      </c>
      <c r="AR138" s="72">
        <f t="shared" si="67"/>
        <v>0</v>
      </c>
      <c r="AS138" s="71">
        <f t="shared" si="68"/>
        <v>0</v>
      </c>
      <c r="AT138" s="70">
        <f t="shared" si="69"/>
        <v>0</v>
      </c>
      <c r="AU138" s="70">
        <f t="shared" si="70"/>
        <v>0</v>
      </c>
      <c r="AV138" s="2"/>
      <c r="AW138" s="66">
        <f t="shared" si="71"/>
        <v>0</v>
      </c>
      <c r="AX138" s="68">
        <f>_xlfn.IFNA(INDEX(Table394123[I $ p/ft2],MATCH(R138,Table394123[Film Type],0)),1.75)</f>
        <v>1.75</v>
      </c>
      <c r="AY138" s="69">
        <f>VLOOKUP(Z138,Table134931[#All],2,FALSE)</f>
        <v>1</v>
      </c>
      <c r="AZ138" s="68">
        <f t="shared" si="72"/>
        <v>1.75</v>
      </c>
      <c r="BA138" s="65">
        <f t="shared" si="73"/>
        <v>0</v>
      </c>
      <c r="BB138" s="64">
        <f t="shared" si="74"/>
        <v>0</v>
      </c>
      <c r="BC138" s="67">
        <f t="shared" si="75"/>
        <v>0</v>
      </c>
      <c r="BD138" s="66">
        <f t="shared" si="76"/>
        <v>0</v>
      </c>
      <c r="BE138" s="64"/>
      <c r="BF138" s="66">
        <f t="shared" si="77"/>
        <v>0</v>
      </c>
      <c r="BG138" s="66">
        <f t="shared" si="78"/>
        <v>0</v>
      </c>
      <c r="BH138" s="65">
        <f>VLOOKUP(AA138,Table155133[#All],2,FALSE)</f>
        <v>1</v>
      </c>
      <c r="BI138" s="65">
        <f t="shared" si="79"/>
        <v>0</v>
      </c>
      <c r="BJ138" s="64" t="str">
        <f t="shared" si="80"/>
        <v>0</v>
      </c>
      <c r="CK138" s="86" t="s">
        <v>70</v>
      </c>
      <c r="CL138" s="2">
        <v>6.87</v>
      </c>
      <c r="CM138" s="2">
        <f t="shared" si="81"/>
        <v>7.5570000000000004</v>
      </c>
      <c r="CN138" s="10">
        <v>1.5</v>
      </c>
      <c r="CO138" s="84">
        <f t="shared" si="82"/>
        <v>0</v>
      </c>
    </row>
    <row r="139" spans="1:93" ht="11.1" hidden="1" customHeight="1" x14ac:dyDescent="0.5">
      <c r="A139" s="83"/>
      <c r="B139" s="266"/>
      <c r="C139" s="267"/>
      <c r="D139" s="267"/>
      <c r="E139" s="268"/>
      <c r="F139" s="64"/>
      <c r="G139" s="64"/>
      <c r="H139" s="82"/>
      <c r="I139" s="81"/>
      <c r="J139" s="64"/>
      <c r="K139" s="80"/>
      <c r="L139" s="79">
        <f t="shared" si="56"/>
        <v>0</v>
      </c>
      <c r="M139" s="64"/>
      <c r="N139" s="64"/>
      <c r="O139" s="64"/>
      <c r="P139" s="80"/>
      <c r="Q139" s="79">
        <f t="shared" si="57"/>
        <v>0</v>
      </c>
      <c r="R139" s="269" t="s">
        <v>282</v>
      </c>
      <c r="S139" s="270"/>
      <c r="T139" s="266"/>
      <c r="U139" s="267"/>
      <c r="V139" s="267"/>
      <c r="W139" s="268"/>
      <c r="X139" s="271">
        <f>IFERROR(INDEX(Table394123[],MATCH(R139,Table394123[Film Type],),3),"")</f>
        <v>0</v>
      </c>
      <c r="Y139" s="271"/>
      <c r="Z139" s="78" t="s">
        <v>55</v>
      </c>
      <c r="AA139" s="78" t="s">
        <v>55</v>
      </c>
      <c r="AB139" s="77"/>
      <c r="AC139" s="76"/>
      <c r="AD139" s="75">
        <f t="shared" si="58"/>
        <v>0</v>
      </c>
      <c r="AG139" s="74">
        <f t="shared" si="59"/>
        <v>0</v>
      </c>
      <c r="AK139" s="65">
        <f t="shared" si="60"/>
        <v>0</v>
      </c>
      <c r="AL139" s="65">
        <f t="shared" si="61"/>
        <v>0</v>
      </c>
      <c r="AM139" s="65">
        <f t="shared" si="62"/>
        <v>0</v>
      </c>
      <c r="AN139" s="73">
        <f t="shared" si="63"/>
        <v>0</v>
      </c>
      <c r="AO139" s="65" t="str">
        <f t="shared" si="64"/>
        <v>0.00</v>
      </c>
      <c r="AP139" s="65" t="str">
        <f t="shared" si="65"/>
        <v>0</v>
      </c>
      <c r="AQ139" s="71">
        <f t="shared" si="66"/>
        <v>0</v>
      </c>
      <c r="AR139" s="72">
        <f t="shared" si="67"/>
        <v>0</v>
      </c>
      <c r="AS139" s="71">
        <f t="shared" si="68"/>
        <v>0</v>
      </c>
      <c r="AT139" s="70">
        <f t="shared" si="69"/>
        <v>0</v>
      </c>
      <c r="AU139" s="70">
        <f t="shared" si="70"/>
        <v>0</v>
      </c>
      <c r="AV139" s="2"/>
      <c r="AW139" s="66">
        <f t="shared" si="71"/>
        <v>0</v>
      </c>
      <c r="AX139" s="68">
        <f>_xlfn.IFNA(INDEX(Table394123[I $ p/ft2],MATCH(R139,Table394123[Film Type],0)),1.75)</f>
        <v>1.75</v>
      </c>
      <c r="AY139" s="69">
        <f>VLOOKUP(Z139,Table134931[#All],2,FALSE)</f>
        <v>1</v>
      </c>
      <c r="AZ139" s="68">
        <f t="shared" si="72"/>
        <v>1.75</v>
      </c>
      <c r="BA139" s="65">
        <f t="shared" si="73"/>
        <v>0</v>
      </c>
      <c r="BB139" s="64">
        <f t="shared" si="74"/>
        <v>0</v>
      </c>
      <c r="BC139" s="67">
        <f t="shared" si="75"/>
        <v>0</v>
      </c>
      <c r="BD139" s="66">
        <f t="shared" si="76"/>
        <v>0</v>
      </c>
      <c r="BE139" s="64"/>
      <c r="BF139" s="66">
        <f t="shared" si="77"/>
        <v>0</v>
      </c>
      <c r="BG139" s="66">
        <f t="shared" si="78"/>
        <v>0</v>
      </c>
      <c r="BH139" s="65">
        <f>VLOOKUP(AA139,Table155133[#All],2,FALSE)</f>
        <v>1</v>
      </c>
      <c r="BI139" s="65">
        <f t="shared" si="79"/>
        <v>0</v>
      </c>
      <c r="BJ139" s="64" t="str">
        <f t="shared" si="80"/>
        <v>0</v>
      </c>
      <c r="CK139" s="86" t="s">
        <v>69</v>
      </c>
      <c r="CL139" s="2">
        <v>4.53</v>
      </c>
      <c r="CM139" s="2">
        <f t="shared" si="81"/>
        <v>4.9830000000000005</v>
      </c>
      <c r="CN139" s="10">
        <v>1.5</v>
      </c>
      <c r="CO139" s="84">
        <f t="shared" si="82"/>
        <v>0</v>
      </c>
    </row>
    <row r="140" spans="1:93" ht="11.1" hidden="1" customHeight="1" x14ac:dyDescent="0.5">
      <c r="A140" s="83"/>
      <c r="B140" s="266"/>
      <c r="C140" s="267"/>
      <c r="D140" s="267"/>
      <c r="E140" s="268"/>
      <c r="F140" s="157"/>
      <c r="G140" s="157"/>
      <c r="H140" s="158"/>
      <c r="I140" s="159"/>
      <c r="J140" s="157"/>
      <c r="K140" s="160"/>
      <c r="L140" s="79">
        <f t="shared" ref="L140:L149" si="83">(I140*J140*K140)/144</f>
        <v>0</v>
      </c>
      <c r="M140" s="64"/>
      <c r="N140" s="64"/>
      <c r="O140" s="64"/>
      <c r="P140" s="80"/>
      <c r="Q140" s="79">
        <f t="shared" si="57"/>
        <v>0</v>
      </c>
      <c r="R140" s="269" t="s">
        <v>282</v>
      </c>
      <c r="S140" s="270"/>
      <c r="T140" s="266"/>
      <c r="U140" s="267"/>
      <c r="V140" s="267"/>
      <c r="W140" s="268"/>
      <c r="X140" s="271">
        <f>IFERROR(INDEX(Table394123[],MATCH(R140,Table394123[Film Type],),3),"")</f>
        <v>0</v>
      </c>
      <c r="Y140" s="271"/>
      <c r="Z140" s="78" t="s">
        <v>55</v>
      </c>
      <c r="AA140" s="78" t="s">
        <v>55</v>
      </c>
      <c r="AB140" s="77"/>
      <c r="AC140" s="76"/>
      <c r="AD140" s="75">
        <f t="shared" si="58"/>
        <v>0</v>
      </c>
      <c r="AG140" s="74">
        <f t="shared" ref="AG140:AG149" si="84">(((I140*2)+(J140*2))*K140)/12</f>
        <v>0</v>
      </c>
      <c r="AK140" s="65">
        <f t="shared" si="60"/>
        <v>0</v>
      </c>
      <c r="AL140" s="65">
        <f t="shared" si="61"/>
        <v>0</v>
      </c>
      <c r="AM140" s="65">
        <f t="shared" si="62"/>
        <v>0</v>
      </c>
      <c r="AN140" s="73">
        <f t="shared" si="63"/>
        <v>0</v>
      </c>
      <c r="AO140" s="65" t="str">
        <f t="shared" si="64"/>
        <v>0.00</v>
      </c>
      <c r="AP140" s="65" t="str">
        <f t="shared" si="65"/>
        <v>0</v>
      </c>
      <c r="AQ140" s="71">
        <f t="shared" si="66"/>
        <v>0</v>
      </c>
      <c r="AR140" s="72">
        <f t="shared" si="67"/>
        <v>0</v>
      </c>
      <c r="AS140" s="71">
        <f t="shared" si="68"/>
        <v>0</v>
      </c>
      <c r="AT140" s="70">
        <f t="shared" si="69"/>
        <v>0</v>
      </c>
      <c r="AU140" s="70">
        <f t="shared" si="70"/>
        <v>0</v>
      </c>
      <c r="AV140" s="2"/>
      <c r="AW140" s="66">
        <f t="shared" ref="AW140:AW149" si="85">IF(R140="removal only",0,((I140*J140*K140)/144))</f>
        <v>0</v>
      </c>
      <c r="AX140" s="68">
        <f>_xlfn.IFNA(INDEX(Table394123[I $ p/ft2],MATCH(R140,Table394123[Film Type],0)),1.75)</f>
        <v>1.75</v>
      </c>
      <c r="AY140" s="69">
        <f>VLOOKUP(Z140,Table134931[#All],2,FALSE)</f>
        <v>1</v>
      </c>
      <c r="AZ140" s="68">
        <f t="shared" si="72"/>
        <v>1.75</v>
      </c>
      <c r="BA140" s="65">
        <f t="shared" si="73"/>
        <v>0</v>
      </c>
      <c r="BB140" s="64">
        <f t="shared" ref="BB140:BB149" si="86">IF(R140="removal only",0,K140)</f>
        <v>0</v>
      </c>
      <c r="BC140" s="67">
        <f t="shared" si="75"/>
        <v>0</v>
      </c>
      <c r="BD140" s="66">
        <f t="shared" si="76"/>
        <v>0</v>
      </c>
      <c r="BE140" s="64"/>
      <c r="BF140" s="66">
        <f t="shared" ref="BF140:BF149" si="87">IF(H140="Yes",((I140*J140*K140)/144),0)</f>
        <v>0</v>
      </c>
      <c r="BG140" s="66">
        <f t="shared" si="78"/>
        <v>0</v>
      </c>
      <c r="BH140" s="65">
        <f>VLOOKUP(AA140,Table155133[#All],2,FALSE)</f>
        <v>1</v>
      </c>
      <c r="BI140" s="65">
        <f t="shared" ref="BI140:BI149" si="88">IF(H140="Yes",BF140*BH140,0)</f>
        <v>0</v>
      </c>
      <c r="BJ140" s="64" t="str">
        <f t="shared" ref="BJ140:BJ149" si="89">IF(H140="Yes",K140,"0")</f>
        <v>0</v>
      </c>
      <c r="CK140" s="86" t="s">
        <v>68</v>
      </c>
      <c r="CL140" s="2">
        <v>6.64</v>
      </c>
      <c r="CM140" s="2">
        <f t="shared" si="81"/>
        <v>7.3040000000000003</v>
      </c>
      <c r="CN140" s="10">
        <v>1.5</v>
      </c>
      <c r="CO140" s="84">
        <f t="shared" si="82"/>
        <v>0</v>
      </c>
    </row>
    <row r="141" spans="1:93" ht="11.1" hidden="1" customHeight="1" x14ac:dyDescent="0.5">
      <c r="A141" s="83"/>
      <c r="B141" s="266"/>
      <c r="C141" s="267"/>
      <c r="D141" s="267"/>
      <c r="E141" s="268"/>
      <c r="F141" s="64"/>
      <c r="G141" s="64"/>
      <c r="H141" s="82"/>
      <c r="I141" s="81"/>
      <c r="J141" s="64"/>
      <c r="K141" s="80"/>
      <c r="L141" s="156">
        <f t="shared" si="83"/>
        <v>0</v>
      </c>
      <c r="M141" s="64"/>
      <c r="N141" s="64"/>
      <c r="O141" s="64"/>
      <c r="P141" s="80"/>
      <c r="Q141" s="79">
        <f t="shared" si="57"/>
        <v>0</v>
      </c>
      <c r="R141" s="269" t="s">
        <v>282</v>
      </c>
      <c r="S141" s="270"/>
      <c r="T141" s="266"/>
      <c r="U141" s="267"/>
      <c r="V141" s="267"/>
      <c r="W141" s="268"/>
      <c r="X141" s="271">
        <f>IFERROR(INDEX(Table394123[],MATCH(R141,Table394123[Film Type],),3),"")</f>
        <v>0</v>
      </c>
      <c r="Y141" s="271"/>
      <c r="Z141" s="78" t="s">
        <v>55</v>
      </c>
      <c r="AA141" s="78" t="s">
        <v>55</v>
      </c>
      <c r="AB141" s="77"/>
      <c r="AC141" s="76"/>
      <c r="AD141" s="75">
        <f t="shared" si="58"/>
        <v>0</v>
      </c>
      <c r="AG141" s="74">
        <f t="shared" si="84"/>
        <v>0</v>
      </c>
      <c r="AK141" s="65">
        <f t="shared" si="60"/>
        <v>0</v>
      </c>
      <c r="AL141" s="65">
        <f t="shared" si="61"/>
        <v>0</v>
      </c>
      <c r="AM141" s="65">
        <f t="shared" si="62"/>
        <v>0</v>
      </c>
      <c r="AN141" s="73">
        <f t="shared" si="63"/>
        <v>0</v>
      </c>
      <c r="AO141" s="65" t="str">
        <f t="shared" si="64"/>
        <v>0.00</v>
      </c>
      <c r="AP141" s="65" t="str">
        <f t="shared" si="65"/>
        <v>0</v>
      </c>
      <c r="AQ141" s="71">
        <f t="shared" si="66"/>
        <v>0</v>
      </c>
      <c r="AR141" s="72">
        <f t="shared" si="67"/>
        <v>0</v>
      </c>
      <c r="AS141" s="71">
        <f t="shared" si="68"/>
        <v>0</v>
      </c>
      <c r="AT141" s="70">
        <f t="shared" si="69"/>
        <v>0</v>
      </c>
      <c r="AU141" s="70">
        <f t="shared" si="70"/>
        <v>0</v>
      </c>
      <c r="AV141" s="2"/>
      <c r="AW141" s="66">
        <f t="shared" si="85"/>
        <v>0</v>
      </c>
      <c r="AX141" s="68">
        <f>_xlfn.IFNA(INDEX(Table394123[I $ p/ft2],MATCH(R141,Table394123[Film Type],0)),1.75)</f>
        <v>1.75</v>
      </c>
      <c r="AY141" s="69">
        <f>VLOOKUP(Z141,Table134931[#All],2,FALSE)</f>
        <v>1</v>
      </c>
      <c r="AZ141" s="68">
        <f t="shared" si="72"/>
        <v>1.75</v>
      </c>
      <c r="BA141" s="65">
        <f t="shared" si="73"/>
        <v>0</v>
      </c>
      <c r="BB141" s="64">
        <f t="shared" si="86"/>
        <v>0</v>
      </c>
      <c r="BC141" s="67">
        <f t="shared" si="75"/>
        <v>0</v>
      </c>
      <c r="BD141" s="66">
        <f t="shared" si="76"/>
        <v>0</v>
      </c>
      <c r="BE141" s="64"/>
      <c r="BF141" s="66">
        <f t="shared" si="87"/>
        <v>0</v>
      </c>
      <c r="BG141" s="66">
        <f t="shared" si="78"/>
        <v>0</v>
      </c>
      <c r="BH141" s="65">
        <f>VLOOKUP(AA141,Table155133[#All],2,FALSE)</f>
        <v>1</v>
      </c>
      <c r="BI141" s="65">
        <f t="shared" si="88"/>
        <v>0</v>
      </c>
      <c r="BJ141" s="64" t="str">
        <f t="shared" si="89"/>
        <v>0</v>
      </c>
      <c r="CK141" s="86" t="s">
        <v>67</v>
      </c>
      <c r="CL141" s="2">
        <v>3.37</v>
      </c>
      <c r="CM141" s="2">
        <f t="shared" si="81"/>
        <v>3.7070000000000003</v>
      </c>
      <c r="CN141" s="10">
        <v>1.5</v>
      </c>
      <c r="CO141" s="84">
        <f t="shared" si="82"/>
        <v>0</v>
      </c>
    </row>
    <row r="142" spans="1:93" ht="11.1" hidden="1" customHeight="1" x14ac:dyDescent="0.5">
      <c r="A142" s="83"/>
      <c r="B142" s="266"/>
      <c r="C142" s="267"/>
      <c r="D142" s="267"/>
      <c r="E142" s="268"/>
      <c r="F142" s="64"/>
      <c r="G142" s="64"/>
      <c r="H142" s="82"/>
      <c r="I142" s="81"/>
      <c r="J142" s="64"/>
      <c r="K142" s="80"/>
      <c r="L142" s="156">
        <f t="shared" si="83"/>
        <v>0</v>
      </c>
      <c r="M142" s="64"/>
      <c r="N142" s="64"/>
      <c r="O142" s="64"/>
      <c r="P142" s="80"/>
      <c r="Q142" s="79">
        <f t="shared" si="57"/>
        <v>0</v>
      </c>
      <c r="R142" s="269" t="s">
        <v>282</v>
      </c>
      <c r="S142" s="270"/>
      <c r="T142" s="266"/>
      <c r="U142" s="267"/>
      <c r="V142" s="267"/>
      <c r="W142" s="268"/>
      <c r="X142" s="271">
        <f>IFERROR(INDEX(Table394123[],MATCH(R142,Table394123[Film Type],),3),"")</f>
        <v>0</v>
      </c>
      <c r="Y142" s="271"/>
      <c r="Z142" s="78" t="s">
        <v>55</v>
      </c>
      <c r="AA142" s="78" t="s">
        <v>55</v>
      </c>
      <c r="AB142" s="77"/>
      <c r="AC142" s="76"/>
      <c r="AD142" s="75">
        <f t="shared" si="58"/>
        <v>0</v>
      </c>
      <c r="AG142" s="74">
        <f t="shared" si="84"/>
        <v>0</v>
      </c>
      <c r="AK142" s="65">
        <f t="shared" si="60"/>
        <v>0</v>
      </c>
      <c r="AL142" s="65">
        <f t="shared" si="61"/>
        <v>0</v>
      </c>
      <c r="AM142" s="65">
        <f t="shared" si="62"/>
        <v>0</v>
      </c>
      <c r="AN142" s="73">
        <f t="shared" si="63"/>
        <v>0</v>
      </c>
      <c r="AO142" s="65" t="str">
        <f t="shared" si="64"/>
        <v>0.00</v>
      </c>
      <c r="AP142" s="65" t="str">
        <f t="shared" si="65"/>
        <v>0</v>
      </c>
      <c r="AQ142" s="71">
        <f t="shared" si="66"/>
        <v>0</v>
      </c>
      <c r="AR142" s="72">
        <f t="shared" si="67"/>
        <v>0</v>
      </c>
      <c r="AS142" s="71">
        <f t="shared" si="68"/>
        <v>0</v>
      </c>
      <c r="AT142" s="70">
        <f t="shared" si="69"/>
        <v>0</v>
      </c>
      <c r="AU142" s="70">
        <f t="shared" si="70"/>
        <v>0</v>
      </c>
      <c r="AV142" s="2"/>
      <c r="AW142" s="66">
        <f t="shared" si="85"/>
        <v>0</v>
      </c>
      <c r="AX142" s="68">
        <f>_xlfn.IFNA(INDEX(Table394123[I $ p/ft2],MATCH(R142,Table394123[Film Type],0)),1.75)</f>
        <v>1.75</v>
      </c>
      <c r="AY142" s="69">
        <f>VLOOKUP(Z142,Table134931[#All],2,FALSE)</f>
        <v>1</v>
      </c>
      <c r="AZ142" s="68">
        <f t="shared" si="72"/>
        <v>1.75</v>
      </c>
      <c r="BA142" s="65">
        <f t="shared" si="73"/>
        <v>0</v>
      </c>
      <c r="BB142" s="64">
        <f t="shared" si="86"/>
        <v>0</v>
      </c>
      <c r="BC142" s="67">
        <f t="shared" si="75"/>
        <v>0</v>
      </c>
      <c r="BD142" s="66">
        <f t="shared" si="76"/>
        <v>0</v>
      </c>
      <c r="BE142" s="64"/>
      <c r="BF142" s="66">
        <f t="shared" si="87"/>
        <v>0</v>
      </c>
      <c r="BG142" s="66">
        <f t="shared" si="78"/>
        <v>0</v>
      </c>
      <c r="BH142" s="65">
        <f>VLOOKUP(AA142,Table155133[#All],2,FALSE)</f>
        <v>1</v>
      </c>
      <c r="BI142" s="65">
        <f t="shared" si="88"/>
        <v>0</v>
      </c>
      <c r="BJ142" s="64" t="str">
        <f t="shared" si="89"/>
        <v>0</v>
      </c>
      <c r="CK142" s="86" t="s">
        <v>66</v>
      </c>
      <c r="CL142" s="2">
        <v>2.67</v>
      </c>
      <c r="CM142" s="2">
        <f t="shared" si="81"/>
        <v>2.9370000000000003</v>
      </c>
      <c r="CN142" s="10">
        <v>1.5</v>
      </c>
      <c r="CO142" s="84">
        <f t="shared" si="82"/>
        <v>0</v>
      </c>
    </row>
    <row r="143" spans="1:93" ht="11.1" hidden="1" customHeight="1" x14ac:dyDescent="0.5">
      <c r="A143" s="83"/>
      <c r="B143" s="266"/>
      <c r="C143" s="267"/>
      <c r="D143" s="267"/>
      <c r="E143" s="268"/>
      <c r="F143" s="64"/>
      <c r="G143" s="64"/>
      <c r="H143" s="82"/>
      <c r="I143" s="81"/>
      <c r="J143" s="64"/>
      <c r="K143" s="80"/>
      <c r="L143" s="156">
        <f t="shared" si="83"/>
        <v>0</v>
      </c>
      <c r="M143" s="64"/>
      <c r="N143" s="64"/>
      <c r="O143" s="64"/>
      <c r="P143" s="80"/>
      <c r="Q143" s="79">
        <f t="shared" si="57"/>
        <v>0</v>
      </c>
      <c r="R143" s="269" t="s">
        <v>282</v>
      </c>
      <c r="S143" s="270"/>
      <c r="T143" s="266"/>
      <c r="U143" s="267"/>
      <c r="V143" s="267"/>
      <c r="W143" s="268"/>
      <c r="X143" s="271">
        <f>IFERROR(INDEX(Table394123[],MATCH(R143,Table394123[Film Type],),3),"")</f>
        <v>0</v>
      </c>
      <c r="Y143" s="271"/>
      <c r="Z143" s="78" t="s">
        <v>55</v>
      </c>
      <c r="AA143" s="78" t="s">
        <v>55</v>
      </c>
      <c r="AB143" s="77"/>
      <c r="AC143" s="76"/>
      <c r="AD143" s="75">
        <f t="shared" si="58"/>
        <v>0</v>
      </c>
      <c r="AG143" s="74">
        <f t="shared" si="84"/>
        <v>0</v>
      </c>
      <c r="AK143" s="65">
        <f t="shared" si="60"/>
        <v>0</v>
      </c>
      <c r="AL143" s="65">
        <f t="shared" si="61"/>
        <v>0</v>
      </c>
      <c r="AM143" s="65">
        <f t="shared" si="62"/>
        <v>0</v>
      </c>
      <c r="AN143" s="73">
        <f t="shared" si="63"/>
        <v>0</v>
      </c>
      <c r="AO143" s="65" t="str">
        <f t="shared" si="64"/>
        <v>0.00</v>
      </c>
      <c r="AP143" s="65" t="str">
        <f t="shared" si="65"/>
        <v>0</v>
      </c>
      <c r="AQ143" s="71">
        <f t="shared" si="66"/>
        <v>0</v>
      </c>
      <c r="AR143" s="72">
        <f t="shared" si="67"/>
        <v>0</v>
      </c>
      <c r="AS143" s="71">
        <f t="shared" si="68"/>
        <v>0</v>
      </c>
      <c r="AT143" s="70">
        <f t="shared" si="69"/>
        <v>0</v>
      </c>
      <c r="AU143" s="70">
        <f t="shared" si="70"/>
        <v>0</v>
      </c>
      <c r="AV143" s="2"/>
      <c r="AW143" s="66">
        <f t="shared" si="85"/>
        <v>0</v>
      </c>
      <c r="AX143" s="68">
        <f>_xlfn.IFNA(INDEX(Table394123[I $ p/ft2],MATCH(R143,Table394123[Film Type],0)),1.75)</f>
        <v>1.75</v>
      </c>
      <c r="AY143" s="69">
        <f>VLOOKUP(Z143,Table134931[#All],2,FALSE)</f>
        <v>1</v>
      </c>
      <c r="AZ143" s="68">
        <f t="shared" si="72"/>
        <v>1.75</v>
      </c>
      <c r="BA143" s="65">
        <f t="shared" si="73"/>
        <v>0</v>
      </c>
      <c r="BB143" s="64">
        <f t="shared" si="86"/>
        <v>0</v>
      </c>
      <c r="BC143" s="67">
        <f t="shared" si="75"/>
        <v>0</v>
      </c>
      <c r="BD143" s="66">
        <f t="shared" si="76"/>
        <v>0</v>
      </c>
      <c r="BE143" s="64"/>
      <c r="BF143" s="66">
        <f t="shared" si="87"/>
        <v>0</v>
      </c>
      <c r="BG143" s="66">
        <f t="shared" si="78"/>
        <v>0</v>
      </c>
      <c r="BH143" s="65">
        <f>VLOOKUP(AA143,Table155133[#All],2,FALSE)</f>
        <v>1</v>
      </c>
      <c r="BI143" s="65">
        <f t="shared" si="88"/>
        <v>0</v>
      </c>
      <c r="BJ143" s="64" t="str">
        <f t="shared" si="89"/>
        <v>0</v>
      </c>
      <c r="CK143" s="86" t="s">
        <v>65</v>
      </c>
      <c r="CL143" s="2">
        <v>2.67</v>
      </c>
      <c r="CM143" s="2">
        <f t="shared" si="81"/>
        <v>2.9370000000000003</v>
      </c>
      <c r="CN143" s="10">
        <v>1.5</v>
      </c>
      <c r="CO143" s="84">
        <f t="shared" si="82"/>
        <v>0</v>
      </c>
    </row>
    <row r="144" spans="1:93" ht="11.1" hidden="1" customHeight="1" x14ac:dyDescent="0.5">
      <c r="A144" s="83"/>
      <c r="B144" s="266"/>
      <c r="C144" s="267"/>
      <c r="D144" s="267"/>
      <c r="E144" s="268"/>
      <c r="F144" s="64"/>
      <c r="G144" s="64"/>
      <c r="H144" s="82"/>
      <c r="I144" s="81"/>
      <c r="J144" s="64"/>
      <c r="K144" s="80"/>
      <c r="L144" s="156">
        <f t="shared" si="83"/>
        <v>0</v>
      </c>
      <c r="M144" s="64"/>
      <c r="N144" s="64"/>
      <c r="O144" s="64"/>
      <c r="P144" s="80"/>
      <c r="Q144" s="79">
        <f t="shared" si="57"/>
        <v>0</v>
      </c>
      <c r="R144" s="269" t="s">
        <v>282</v>
      </c>
      <c r="S144" s="270"/>
      <c r="T144" s="266"/>
      <c r="U144" s="267"/>
      <c r="V144" s="267"/>
      <c r="W144" s="268"/>
      <c r="X144" s="271">
        <f>IFERROR(INDEX(Table394123[],MATCH(R144,Table394123[Film Type],),3),"")</f>
        <v>0</v>
      </c>
      <c r="Y144" s="271"/>
      <c r="Z144" s="78" t="s">
        <v>55</v>
      </c>
      <c r="AA144" s="78" t="s">
        <v>55</v>
      </c>
      <c r="AB144" s="77"/>
      <c r="AC144" s="76"/>
      <c r="AD144" s="75">
        <f t="shared" si="58"/>
        <v>0</v>
      </c>
      <c r="AG144" s="74">
        <f t="shared" si="84"/>
        <v>0</v>
      </c>
      <c r="AK144" s="65">
        <f t="shared" si="60"/>
        <v>0</v>
      </c>
      <c r="AL144" s="65">
        <f t="shared" si="61"/>
        <v>0</v>
      </c>
      <c r="AM144" s="65">
        <f t="shared" si="62"/>
        <v>0</v>
      </c>
      <c r="AN144" s="73">
        <f t="shared" si="63"/>
        <v>0</v>
      </c>
      <c r="AO144" s="65" t="str">
        <f t="shared" si="64"/>
        <v>0.00</v>
      </c>
      <c r="AP144" s="65" t="str">
        <f t="shared" si="65"/>
        <v>0</v>
      </c>
      <c r="AQ144" s="71">
        <f t="shared" si="66"/>
        <v>0</v>
      </c>
      <c r="AR144" s="72">
        <f t="shared" si="67"/>
        <v>0</v>
      </c>
      <c r="AS144" s="71">
        <f t="shared" si="68"/>
        <v>0</v>
      </c>
      <c r="AT144" s="70">
        <f t="shared" si="69"/>
        <v>0</v>
      </c>
      <c r="AU144" s="70">
        <f t="shared" si="70"/>
        <v>0</v>
      </c>
      <c r="AV144" s="2"/>
      <c r="AW144" s="66">
        <f t="shared" si="85"/>
        <v>0</v>
      </c>
      <c r="AX144" s="68">
        <f>_xlfn.IFNA(INDEX(Table394123[I $ p/ft2],MATCH(R144,Table394123[Film Type],0)),1.75)</f>
        <v>1.75</v>
      </c>
      <c r="AY144" s="69">
        <f>VLOOKUP(Z144,Table134931[#All],2,FALSE)</f>
        <v>1</v>
      </c>
      <c r="AZ144" s="68">
        <f t="shared" si="72"/>
        <v>1.75</v>
      </c>
      <c r="BA144" s="65">
        <f t="shared" si="73"/>
        <v>0</v>
      </c>
      <c r="BB144" s="64">
        <f t="shared" si="86"/>
        <v>0</v>
      </c>
      <c r="BC144" s="67">
        <f t="shared" si="75"/>
        <v>0</v>
      </c>
      <c r="BD144" s="66">
        <f t="shared" si="76"/>
        <v>0</v>
      </c>
      <c r="BE144" s="64"/>
      <c r="BF144" s="66">
        <f t="shared" si="87"/>
        <v>0</v>
      </c>
      <c r="BG144" s="66">
        <f t="shared" si="78"/>
        <v>0</v>
      </c>
      <c r="BH144" s="65">
        <f>VLOOKUP(AA144,Table155133[#All],2,FALSE)</f>
        <v>1</v>
      </c>
      <c r="BI144" s="65">
        <f t="shared" si="88"/>
        <v>0</v>
      </c>
      <c r="BJ144" s="64" t="str">
        <f t="shared" si="89"/>
        <v>0</v>
      </c>
      <c r="CK144" s="86" t="s">
        <v>64</v>
      </c>
      <c r="CL144" s="2">
        <v>2.0099999999999998</v>
      </c>
      <c r="CM144" s="2">
        <f t="shared" si="81"/>
        <v>2.2109999999999999</v>
      </c>
      <c r="CN144" s="10">
        <v>1.5</v>
      </c>
      <c r="CO144" s="84">
        <f t="shared" si="82"/>
        <v>0</v>
      </c>
    </row>
    <row r="145" spans="1:93" ht="11.1" hidden="1" customHeight="1" x14ac:dyDescent="0.5">
      <c r="A145" s="83"/>
      <c r="B145" s="266"/>
      <c r="C145" s="267"/>
      <c r="D145" s="267"/>
      <c r="E145" s="268"/>
      <c r="F145" s="64"/>
      <c r="G145" s="64"/>
      <c r="H145" s="82"/>
      <c r="I145" s="81"/>
      <c r="J145" s="64"/>
      <c r="K145" s="80"/>
      <c r="L145" s="156">
        <f t="shared" si="83"/>
        <v>0</v>
      </c>
      <c r="M145" s="64"/>
      <c r="N145" s="64"/>
      <c r="O145" s="64"/>
      <c r="P145" s="80"/>
      <c r="Q145" s="79">
        <f t="shared" si="57"/>
        <v>0</v>
      </c>
      <c r="R145" s="269" t="s">
        <v>282</v>
      </c>
      <c r="S145" s="270"/>
      <c r="T145" s="266"/>
      <c r="U145" s="267"/>
      <c r="V145" s="267"/>
      <c r="W145" s="268"/>
      <c r="X145" s="271">
        <f>IFERROR(INDEX(Table394123[],MATCH(R145,Table394123[Film Type],),3),"")</f>
        <v>0</v>
      </c>
      <c r="Y145" s="271"/>
      <c r="Z145" s="78" t="s">
        <v>55</v>
      </c>
      <c r="AA145" s="78" t="s">
        <v>55</v>
      </c>
      <c r="AB145" s="77"/>
      <c r="AC145" s="76"/>
      <c r="AD145" s="75">
        <f t="shared" si="58"/>
        <v>0</v>
      </c>
      <c r="AG145" s="74">
        <f t="shared" si="84"/>
        <v>0</v>
      </c>
      <c r="AK145" s="65">
        <f t="shared" si="60"/>
        <v>0</v>
      </c>
      <c r="AL145" s="65">
        <f t="shared" si="61"/>
        <v>0</v>
      </c>
      <c r="AM145" s="65">
        <f t="shared" si="62"/>
        <v>0</v>
      </c>
      <c r="AN145" s="73">
        <f t="shared" si="63"/>
        <v>0</v>
      </c>
      <c r="AO145" s="65" t="str">
        <f t="shared" si="64"/>
        <v>0.00</v>
      </c>
      <c r="AP145" s="65" t="str">
        <f t="shared" si="65"/>
        <v>0</v>
      </c>
      <c r="AQ145" s="71">
        <f t="shared" si="66"/>
        <v>0</v>
      </c>
      <c r="AR145" s="72">
        <f t="shared" si="67"/>
        <v>0</v>
      </c>
      <c r="AS145" s="71">
        <f t="shared" si="68"/>
        <v>0</v>
      </c>
      <c r="AT145" s="70">
        <f t="shared" si="69"/>
        <v>0</v>
      </c>
      <c r="AU145" s="70">
        <f t="shared" si="70"/>
        <v>0</v>
      </c>
      <c r="AV145" s="2"/>
      <c r="AW145" s="66">
        <f t="shared" si="85"/>
        <v>0</v>
      </c>
      <c r="AX145" s="68">
        <f>_xlfn.IFNA(INDEX(Table394123[I $ p/ft2],MATCH(R145,Table394123[Film Type],0)),1.75)</f>
        <v>1.75</v>
      </c>
      <c r="AY145" s="69">
        <f>VLOOKUP(Z145,Table134931[#All],2,FALSE)</f>
        <v>1</v>
      </c>
      <c r="AZ145" s="68">
        <f t="shared" si="72"/>
        <v>1.75</v>
      </c>
      <c r="BA145" s="65">
        <f t="shared" si="73"/>
        <v>0</v>
      </c>
      <c r="BB145" s="64">
        <f t="shared" si="86"/>
        <v>0</v>
      </c>
      <c r="BC145" s="67">
        <f t="shared" si="75"/>
        <v>0</v>
      </c>
      <c r="BD145" s="66">
        <f t="shared" si="76"/>
        <v>0</v>
      </c>
      <c r="BE145" s="64"/>
      <c r="BF145" s="66">
        <f t="shared" si="87"/>
        <v>0</v>
      </c>
      <c r="BG145" s="66">
        <f t="shared" si="78"/>
        <v>0</v>
      </c>
      <c r="BH145" s="65">
        <f>VLOOKUP(AA145,Table155133[#All],2,FALSE)</f>
        <v>1</v>
      </c>
      <c r="BI145" s="65">
        <f t="shared" si="88"/>
        <v>0</v>
      </c>
      <c r="BJ145" s="64" t="str">
        <f t="shared" si="89"/>
        <v>0</v>
      </c>
      <c r="CK145" s="86" t="s">
        <v>63</v>
      </c>
      <c r="CL145" s="2">
        <v>2.0099999999999998</v>
      </c>
      <c r="CM145" s="2">
        <f t="shared" si="81"/>
        <v>2.2109999999999999</v>
      </c>
      <c r="CN145" s="10">
        <v>1.5</v>
      </c>
      <c r="CO145" s="84">
        <f t="shared" si="82"/>
        <v>0</v>
      </c>
    </row>
    <row r="146" spans="1:93" ht="11.1" hidden="1" customHeight="1" x14ac:dyDescent="0.5">
      <c r="A146" s="83"/>
      <c r="B146" s="266"/>
      <c r="C146" s="267"/>
      <c r="D146" s="267"/>
      <c r="E146" s="268"/>
      <c r="F146" s="64"/>
      <c r="G146" s="64"/>
      <c r="H146" s="82"/>
      <c r="I146" s="81"/>
      <c r="J146" s="64"/>
      <c r="K146" s="80"/>
      <c r="L146" s="156">
        <f t="shared" si="83"/>
        <v>0</v>
      </c>
      <c r="M146" s="64"/>
      <c r="N146" s="64"/>
      <c r="O146" s="64"/>
      <c r="P146" s="80"/>
      <c r="Q146" s="79">
        <f t="shared" si="57"/>
        <v>0</v>
      </c>
      <c r="R146" s="269" t="s">
        <v>282</v>
      </c>
      <c r="S146" s="270"/>
      <c r="T146" s="266"/>
      <c r="U146" s="267"/>
      <c r="V146" s="267"/>
      <c r="W146" s="268"/>
      <c r="X146" s="271">
        <f>IFERROR(INDEX(Table394123[],MATCH(R146,Table394123[Film Type],),3),"")</f>
        <v>0</v>
      </c>
      <c r="Y146" s="271"/>
      <c r="Z146" s="78" t="s">
        <v>55</v>
      </c>
      <c r="AA146" s="78" t="s">
        <v>55</v>
      </c>
      <c r="AB146" s="77"/>
      <c r="AC146" s="76"/>
      <c r="AD146" s="75">
        <f t="shared" si="58"/>
        <v>0</v>
      </c>
      <c r="AG146" s="74">
        <f t="shared" si="84"/>
        <v>0</v>
      </c>
      <c r="AK146" s="65">
        <f t="shared" si="60"/>
        <v>0</v>
      </c>
      <c r="AL146" s="65">
        <f t="shared" si="61"/>
        <v>0</v>
      </c>
      <c r="AM146" s="65">
        <f t="shared" si="62"/>
        <v>0</v>
      </c>
      <c r="AN146" s="73">
        <f t="shared" si="63"/>
        <v>0</v>
      </c>
      <c r="AO146" s="65" t="str">
        <f t="shared" si="64"/>
        <v>0.00</v>
      </c>
      <c r="AP146" s="65" t="str">
        <f t="shared" si="65"/>
        <v>0</v>
      </c>
      <c r="AQ146" s="71">
        <f t="shared" si="66"/>
        <v>0</v>
      </c>
      <c r="AR146" s="72">
        <f t="shared" si="67"/>
        <v>0</v>
      </c>
      <c r="AS146" s="71">
        <f t="shared" si="68"/>
        <v>0</v>
      </c>
      <c r="AT146" s="70">
        <f t="shared" si="69"/>
        <v>0</v>
      </c>
      <c r="AU146" s="70">
        <f t="shared" si="70"/>
        <v>0</v>
      </c>
      <c r="AV146" s="2"/>
      <c r="AW146" s="66">
        <f t="shared" si="85"/>
        <v>0</v>
      </c>
      <c r="AX146" s="68">
        <f>_xlfn.IFNA(INDEX(Table394123[I $ p/ft2],MATCH(R146,Table394123[Film Type],0)),1.75)</f>
        <v>1.75</v>
      </c>
      <c r="AY146" s="69">
        <f>VLOOKUP(Z146,Table134931[#All],2,FALSE)</f>
        <v>1</v>
      </c>
      <c r="AZ146" s="68">
        <f t="shared" si="72"/>
        <v>1.75</v>
      </c>
      <c r="BA146" s="65">
        <f t="shared" si="73"/>
        <v>0</v>
      </c>
      <c r="BB146" s="64">
        <f t="shared" si="86"/>
        <v>0</v>
      </c>
      <c r="BC146" s="67">
        <f t="shared" si="75"/>
        <v>0</v>
      </c>
      <c r="BD146" s="66">
        <f t="shared" si="76"/>
        <v>0</v>
      </c>
      <c r="BE146" s="64"/>
      <c r="BF146" s="66">
        <f t="shared" si="87"/>
        <v>0</v>
      </c>
      <c r="BG146" s="66">
        <f t="shared" si="78"/>
        <v>0</v>
      </c>
      <c r="BH146" s="65">
        <f>VLOOKUP(AA146,Table155133[#All],2,FALSE)</f>
        <v>1</v>
      </c>
      <c r="BI146" s="65">
        <f t="shared" si="88"/>
        <v>0</v>
      </c>
      <c r="BJ146" s="64" t="str">
        <f t="shared" si="89"/>
        <v>0</v>
      </c>
      <c r="CK146" s="86" t="s">
        <v>62</v>
      </c>
      <c r="CL146" s="2">
        <v>3.86</v>
      </c>
      <c r="CM146" s="2">
        <f t="shared" si="81"/>
        <v>4.2460000000000004</v>
      </c>
      <c r="CN146" s="10">
        <v>1.5</v>
      </c>
      <c r="CO146" s="84">
        <f t="shared" si="82"/>
        <v>0</v>
      </c>
    </row>
    <row r="147" spans="1:93" ht="11.1" hidden="1" customHeight="1" x14ac:dyDescent="0.5">
      <c r="A147" s="83"/>
      <c r="B147" s="266"/>
      <c r="C147" s="267"/>
      <c r="D147" s="267"/>
      <c r="E147" s="268"/>
      <c r="F147" s="64"/>
      <c r="G147" s="64"/>
      <c r="H147" s="82"/>
      <c r="I147" s="81"/>
      <c r="J147" s="64"/>
      <c r="K147" s="80"/>
      <c r="L147" s="156">
        <f t="shared" si="83"/>
        <v>0</v>
      </c>
      <c r="M147" s="64"/>
      <c r="N147" s="64"/>
      <c r="O147" s="64"/>
      <c r="P147" s="80"/>
      <c r="Q147" s="79">
        <f t="shared" si="57"/>
        <v>0</v>
      </c>
      <c r="R147" s="269" t="s">
        <v>282</v>
      </c>
      <c r="S147" s="270"/>
      <c r="T147" s="266"/>
      <c r="U147" s="267"/>
      <c r="V147" s="267"/>
      <c r="W147" s="268"/>
      <c r="X147" s="271">
        <f>IFERROR(INDEX(Table394123[],MATCH(R147,Table394123[Film Type],),3),"")</f>
        <v>0</v>
      </c>
      <c r="Y147" s="271"/>
      <c r="Z147" s="78" t="s">
        <v>55</v>
      </c>
      <c r="AA147" s="78" t="s">
        <v>55</v>
      </c>
      <c r="AB147" s="77"/>
      <c r="AC147" s="76"/>
      <c r="AD147" s="75">
        <f t="shared" si="58"/>
        <v>0</v>
      </c>
      <c r="AG147" s="74">
        <f t="shared" si="84"/>
        <v>0</v>
      </c>
      <c r="AK147" s="65">
        <f t="shared" si="60"/>
        <v>0</v>
      </c>
      <c r="AL147" s="65">
        <f t="shared" si="61"/>
        <v>0</v>
      </c>
      <c r="AM147" s="65">
        <f t="shared" si="62"/>
        <v>0</v>
      </c>
      <c r="AN147" s="73">
        <f t="shared" si="63"/>
        <v>0</v>
      </c>
      <c r="AO147" s="65" t="str">
        <f t="shared" si="64"/>
        <v>0.00</v>
      </c>
      <c r="AP147" s="65" t="str">
        <f t="shared" si="65"/>
        <v>0</v>
      </c>
      <c r="AQ147" s="71">
        <f t="shared" si="66"/>
        <v>0</v>
      </c>
      <c r="AR147" s="72">
        <f t="shared" si="67"/>
        <v>0</v>
      </c>
      <c r="AS147" s="71">
        <f t="shared" si="68"/>
        <v>0</v>
      </c>
      <c r="AT147" s="70">
        <f t="shared" si="69"/>
        <v>0</v>
      </c>
      <c r="AU147" s="70">
        <f t="shared" si="70"/>
        <v>0</v>
      </c>
      <c r="AV147" s="2"/>
      <c r="AW147" s="66">
        <f t="shared" si="85"/>
        <v>0</v>
      </c>
      <c r="AX147" s="68">
        <f>_xlfn.IFNA(INDEX(Table394123[I $ p/ft2],MATCH(R147,Table394123[Film Type],0)),1.75)</f>
        <v>1.75</v>
      </c>
      <c r="AY147" s="69">
        <f>VLOOKUP(Z147,Table134931[#All],2,FALSE)</f>
        <v>1</v>
      </c>
      <c r="AZ147" s="68">
        <f t="shared" si="72"/>
        <v>1.75</v>
      </c>
      <c r="BA147" s="65">
        <f t="shared" si="73"/>
        <v>0</v>
      </c>
      <c r="BB147" s="64">
        <f t="shared" si="86"/>
        <v>0</v>
      </c>
      <c r="BC147" s="67">
        <f t="shared" si="75"/>
        <v>0</v>
      </c>
      <c r="BD147" s="66">
        <f t="shared" si="76"/>
        <v>0</v>
      </c>
      <c r="BE147" s="64"/>
      <c r="BF147" s="66">
        <f t="shared" si="87"/>
        <v>0</v>
      </c>
      <c r="BG147" s="66">
        <f t="shared" si="78"/>
        <v>0</v>
      </c>
      <c r="BH147" s="65">
        <f>VLOOKUP(AA147,Table155133[#All],2,FALSE)</f>
        <v>1</v>
      </c>
      <c r="BI147" s="65">
        <f t="shared" si="88"/>
        <v>0</v>
      </c>
      <c r="BJ147" s="64" t="str">
        <f t="shared" si="89"/>
        <v>0</v>
      </c>
      <c r="CK147" s="86"/>
      <c r="CM147" s="2">
        <f t="shared" si="81"/>
        <v>0</v>
      </c>
      <c r="CN147" s="10"/>
      <c r="CO147" s="84">
        <f t="shared" si="82"/>
        <v>0</v>
      </c>
    </row>
    <row r="148" spans="1:93" ht="11.1" hidden="1" customHeight="1" x14ac:dyDescent="0.5">
      <c r="A148" s="83"/>
      <c r="B148" s="266"/>
      <c r="C148" s="267"/>
      <c r="D148" s="267"/>
      <c r="E148" s="268"/>
      <c r="F148" s="64"/>
      <c r="G148" s="64"/>
      <c r="H148" s="82"/>
      <c r="I148" s="81"/>
      <c r="J148" s="64"/>
      <c r="K148" s="80"/>
      <c r="L148" s="156">
        <f t="shared" si="83"/>
        <v>0</v>
      </c>
      <c r="M148" s="64"/>
      <c r="N148" s="64"/>
      <c r="O148" s="64"/>
      <c r="P148" s="80"/>
      <c r="Q148" s="79">
        <f t="shared" si="57"/>
        <v>0</v>
      </c>
      <c r="R148" s="269" t="s">
        <v>282</v>
      </c>
      <c r="S148" s="270"/>
      <c r="T148" s="266"/>
      <c r="U148" s="267"/>
      <c r="V148" s="267"/>
      <c r="W148" s="268"/>
      <c r="X148" s="271">
        <f>IFERROR(INDEX(Table394123[],MATCH(R148,Table394123[Film Type],),3),"")</f>
        <v>0</v>
      </c>
      <c r="Y148" s="271"/>
      <c r="Z148" s="78" t="s">
        <v>55</v>
      </c>
      <c r="AA148" s="78" t="s">
        <v>55</v>
      </c>
      <c r="AB148" s="77"/>
      <c r="AC148" s="76"/>
      <c r="AD148" s="75">
        <f t="shared" si="58"/>
        <v>0</v>
      </c>
      <c r="AG148" s="74">
        <f t="shared" si="84"/>
        <v>0</v>
      </c>
      <c r="AK148" s="65">
        <f t="shared" si="60"/>
        <v>0</v>
      </c>
      <c r="AL148" s="65">
        <f t="shared" si="61"/>
        <v>0</v>
      </c>
      <c r="AM148" s="65">
        <f t="shared" si="62"/>
        <v>0</v>
      </c>
      <c r="AN148" s="73">
        <f t="shared" si="63"/>
        <v>0</v>
      </c>
      <c r="AO148" s="65" t="str">
        <f t="shared" si="64"/>
        <v>0.00</v>
      </c>
      <c r="AP148" s="65" t="str">
        <f t="shared" si="65"/>
        <v>0</v>
      </c>
      <c r="AQ148" s="71">
        <f t="shared" si="66"/>
        <v>0</v>
      </c>
      <c r="AR148" s="72">
        <f t="shared" si="67"/>
        <v>0</v>
      </c>
      <c r="AS148" s="71">
        <f t="shared" si="68"/>
        <v>0</v>
      </c>
      <c r="AT148" s="70">
        <f t="shared" si="69"/>
        <v>0</v>
      </c>
      <c r="AU148" s="70">
        <f t="shared" si="70"/>
        <v>0</v>
      </c>
      <c r="AV148" s="2"/>
      <c r="AW148" s="66">
        <f t="shared" si="85"/>
        <v>0</v>
      </c>
      <c r="AX148" s="68">
        <f>_xlfn.IFNA(INDEX(Table394123[I $ p/ft2],MATCH(R148,Table394123[Film Type],0)),1.75)</f>
        <v>1.75</v>
      </c>
      <c r="AY148" s="69">
        <f>VLOOKUP(Z148,Table134931[#All],2,FALSE)</f>
        <v>1</v>
      </c>
      <c r="AZ148" s="68">
        <f t="shared" si="72"/>
        <v>1.75</v>
      </c>
      <c r="BA148" s="65">
        <f t="shared" si="73"/>
        <v>0</v>
      </c>
      <c r="BB148" s="64">
        <f t="shared" si="86"/>
        <v>0</v>
      </c>
      <c r="BC148" s="67">
        <f t="shared" si="75"/>
        <v>0</v>
      </c>
      <c r="BD148" s="66">
        <f t="shared" si="76"/>
        <v>0</v>
      </c>
      <c r="BE148" s="64"/>
      <c r="BF148" s="66">
        <f t="shared" si="87"/>
        <v>0</v>
      </c>
      <c r="BG148" s="66">
        <f t="shared" si="78"/>
        <v>0</v>
      </c>
      <c r="BH148" s="65">
        <f>VLOOKUP(AA148,Table155133[#All],2,FALSE)</f>
        <v>1</v>
      </c>
      <c r="BI148" s="65">
        <f t="shared" si="88"/>
        <v>0</v>
      </c>
      <c r="BJ148" s="64" t="str">
        <f t="shared" si="89"/>
        <v>0</v>
      </c>
      <c r="CK148" s="86" t="s">
        <v>61</v>
      </c>
      <c r="CL148" s="2">
        <v>6</v>
      </c>
      <c r="CM148" s="2">
        <f t="shared" si="81"/>
        <v>6.6000000000000005</v>
      </c>
      <c r="CN148" s="10">
        <v>2.25</v>
      </c>
      <c r="CO148" s="84">
        <f t="shared" si="82"/>
        <v>0</v>
      </c>
    </row>
    <row r="149" spans="1:93" ht="11.1" hidden="1" customHeight="1" x14ac:dyDescent="0.5">
      <c r="A149" s="83"/>
      <c r="B149" s="272"/>
      <c r="C149" s="272"/>
      <c r="D149" s="272"/>
      <c r="E149" s="272"/>
      <c r="F149" s="64"/>
      <c r="G149" s="64"/>
      <c r="H149" s="82"/>
      <c r="I149" s="81"/>
      <c r="J149" s="64"/>
      <c r="K149" s="80"/>
      <c r="L149" s="156">
        <f t="shared" si="83"/>
        <v>0</v>
      </c>
      <c r="M149" s="64"/>
      <c r="N149" s="64"/>
      <c r="O149" s="64"/>
      <c r="P149" s="80"/>
      <c r="Q149" s="79">
        <f t="shared" si="57"/>
        <v>0</v>
      </c>
      <c r="R149" s="269" t="s">
        <v>282</v>
      </c>
      <c r="S149" s="270"/>
      <c r="T149" s="266"/>
      <c r="U149" s="267"/>
      <c r="V149" s="267"/>
      <c r="W149" s="268"/>
      <c r="X149" s="271">
        <f>IFERROR(INDEX(Table394123[],MATCH(R149,Table394123[Film Type],),3),"")</f>
        <v>0</v>
      </c>
      <c r="Y149" s="271"/>
      <c r="Z149" s="78" t="s">
        <v>55</v>
      </c>
      <c r="AA149" s="78" t="s">
        <v>55</v>
      </c>
      <c r="AB149" s="77"/>
      <c r="AC149" s="76"/>
      <c r="AD149" s="75">
        <f t="shared" si="58"/>
        <v>0</v>
      </c>
      <c r="AG149" s="74">
        <f t="shared" si="84"/>
        <v>0</v>
      </c>
      <c r="AK149" s="65">
        <f t="shared" si="60"/>
        <v>0</v>
      </c>
      <c r="AL149" s="65">
        <f t="shared" si="61"/>
        <v>0</v>
      </c>
      <c r="AM149" s="65">
        <f t="shared" si="62"/>
        <v>0</v>
      </c>
      <c r="AN149" s="73">
        <f t="shared" si="63"/>
        <v>0</v>
      </c>
      <c r="AO149" s="65" t="str">
        <f t="shared" si="64"/>
        <v>0.00</v>
      </c>
      <c r="AP149" s="65" t="str">
        <f t="shared" si="65"/>
        <v>0</v>
      </c>
      <c r="AQ149" s="71">
        <f t="shared" si="66"/>
        <v>0</v>
      </c>
      <c r="AR149" s="72">
        <f t="shared" si="67"/>
        <v>0</v>
      </c>
      <c r="AS149" s="71">
        <f t="shared" si="68"/>
        <v>0</v>
      </c>
      <c r="AT149" s="70">
        <f t="shared" si="69"/>
        <v>0</v>
      </c>
      <c r="AU149" s="70">
        <f t="shared" si="70"/>
        <v>0</v>
      </c>
      <c r="AV149" s="2"/>
      <c r="AW149" s="66">
        <f t="shared" si="85"/>
        <v>0</v>
      </c>
      <c r="AX149" s="68">
        <f>_xlfn.IFNA(INDEX(Table394123[I $ p/ft2],MATCH(R149,Table394123[Film Type],0)),1.75)</f>
        <v>1.75</v>
      </c>
      <c r="AY149" s="69">
        <f>VLOOKUP(Z149,Table134931[#All],2,FALSE)</f>
        <v>1</v>
      </c>
      <c r="AZ149" s="68">
        <f t="shared" si="72"/>
        <v>1.75</v>
      </c>
      <c r="BA149" s="65">
        <f t="shared" si="73"/>
        <v>0</v>
      </c>
      <c r="BB149" s="64">
        <f t="shared" si="86"/>
        <v>0</v>
      </c>
      <c r="BC149" s="67">
        <f t="shared" si="75"/>
        <v>0</v>
      </c>
      <c r="BD149" s="66">
        <f t="shared" si="76"/>
        <v>0</v>
      </c>
      <c r="BE149" s="64"/>
      <c r="BF149" s="66">
        <f t="shared" si="87"/>
        <v>0</v>
      </c>
      <c r="BG149" s="66">
        <f t="shared" si="78"/>
        <v>0</v>
      </c>
      <c r="BH149" s="65">
        <f>VLOOKUP(AA149,Table155133[#All],2,FALSE)</f>
        <v>1</v>
      </c>
      <c r="BI149" s="65">
        <f t="shared" si="88"/>
        <v>0</v>
      </c>
      <c r="BJ149" s="64" t="str">
        <f t="shared" si="89"/>
        <v>0</v>
      </c>
      <c r="CK149" s="86" t="s">
        <v>60</v>
      </c>
      <c r="CL149" s="2">
        <v>8</v>
      </c>
      <c r="CM149" s="2">
        <f t="shared" si="81"/>
        <v>8.8000000000000007</v>
      </c>
      <c r="CN149" s="10">
        <v>2</v>
      </c>
      <c r="CO149" s="84">
        <f t="shared" si="82"/>
        <v>0</v>
      </c>
    </row>
    <row r="150" spans="1:93" ht="11.1" hidden="1" customHeight="1" x14ac:dyDescent="0.5">
      <c r="A150" s="83"/>
      <c r="B150" s="176"/>
      <c r="C150" s="177"/>
      <c r="D150" s="177"/>
      <c r="E150" s="178"/>
      <c r="F150" s="161"/>
      <c r="G150" s="161"/>
      <c r="H150" s="162"/>
      <c r="I150" s="163"/>
      <c r="J150" s="161"/>
      <c r="K150" s="164"/>
      <c r="L150" s="79">
        <f t="shared" si="56"/>
        <v>0</v>
      </c>
      <c r="M150" s="64"/>
      <c r="N150" s="64"/>
      <c r="O150" s="64"/>
      <c r="P150" s="80"/>
      <c r="Q150" s="79">
        <f t="shared" si="57"/>
        <v>0</v>
      </c>
      <c r="R150" s="269" t="s">
        <v>282</v>
      </c>
      <c r="S150" s="270"/>
      <c r="T150" s="266"/>
      <c r="U150" s="267"/>
      <c r="V150" s="267"/>
      <c r="W150" s="268"/>
      <c r="X150" s="271">
        <f>IFERROR(INDEX(Table394123[],MATCH(R150,Table394123[Film Type],),3),"")</f>
        <v>0</v>
      </c>
      <c r="Y150" s="271"/>
      <c r="Z150" s="78" t="s">
        <v>55</v>
      </c>
      <c r="AA150" s="78" t="s">
        <v>55</v>
      </c>
      <c r="AB150" s="77"/>
      <c r="AC150" s="76"/>
      <c r="AD150" s="75">
        <f t="shared" si="58"/>
        <v>0</v>
      </c>
      <c r="AG150" s="74">
        <f t="shared" si="59"/>
        <v>0</v>
      </c>
      <c r="AK150" s="65">
        <f t="shared" si="60"/>
        <v>0</v>
      </c>
      <c r="AL150" s="65">
        <f t="shared" si="61"/>
        <v>0</v>
      </c>
      <c r="AM150" s="65">
        <f t="shared" si="62"/>
        <v>0</v>
      </c>
      <c r="AN150" s="73">
        <f t="shared" si="63"/>
        <v>0</v>
      </c>
      <c r="AO150" s="65" t="str">
        <f t="shared" si="64"/>
        <v>0.00</v>
      </c>
      <c r="AP150" s="65" t="str">
        <f t="shared" si="65"/>
        <v>0</v>
      </c>
      <c r="AQ150" s="71">
        <f t="shared" si="66"/>
        <v>0</v>
      </c>
      <c r="AR150" s="72">
        <f t="shared" si="67"/>
        <v>0</v>
      </c>
      <c r="AS150" s="71">
        <f t="shared" si="68"/>
        <v>0</v>
      </c>
      <c r="AT150" s="70">
        <f t="shared" si="69"/>
        <v>0</v>
      </c>
      <c r="AU150" s="70">
        <f t="shared" si="70"/>
        <v>0</v>
      </c>
      <c r="AV150" s="2"/>
      <c r="AW150" s="66">
        <f t="shared" si="71"/>
        <v>0</v>
      </c>
      <c r="AX150" s="68">
        <f>_xlfn.IFNA(INDEX(Table394123[I $ p/ft2],MATCH(R150,Table394123[Film Type],0)),1.75)</f>
        <v>1.75</v>
      </c>
      <c r="AY150" s="69">
        <f>VLOOKUP(Z150,Table134931[#All],2,FALSE)</f>
        <v>1</v>
      </c>
      <c r="AZ150" s="68">
        <f t="shared" si="72"/>
        <v>1.75</v>
      </c>
      <c r="BA150" s="65">
        <f t="shared" si="73"/>
        <v>0</v>
      </c>
      <c r="BB150" s="64">
        <f t="shared" si="74"/>
        <v>0</v>
      </c>
      <c r="BC150" s="67">
        <f t="shared" si="75"/>
        <v>0</v>
      </c>
      <c r="BD150" s="66">
        <f t="shared" si="76"/>
        <v>0</v>
      </c>
      <c r="BE150" s="64"/>
      <c r="BF150" s="66">
        <f t="shared" si="77"/>
        <v>0</v>
      </c>
      <c r="BG150" s="66">
        <f t="shared" si="78"/>
        <v>0</v>
      </c>
      <c r="BH150" s="65">
        <f>VLOOKUP(AA150,Table155133[#All],2,FALSE)</f>
        <v>1</v>
      </c>
      <c r="BI150" s="65">
        <f t="shared" si="79"/>
        <v>0</v>
      </c>
      <c r="BJ150" s="64" t="str">
        <f t="shared" si="80"/>
        <v>0</v>
      </c>
      <c r="CK150" s="86" t="s">
        <v>59</v>
      </c>
      <c r="CL150" s="2">
        <v>5</v>
      </c>
      <c r="CM150" s="2">
        <f t="shared" si="81"/>
        <v>5.5</v>
      </c>
      <c r="CN150" s="10">
        <v>1.5</v>
      </c>
      <c r="CO150" s="84">
        <f t="shared" si="82"/>
        <v>0</v>
      </c>
    </row>
    <row r="151" spans="1:93" ht="11.1" hidden="1" customHeight="1" x14ac:dyDescent="0.5">
      <c r="A151" s="83"/>
      <c r="B151" s="266"/>
      <c r="C151" s="267"/>
      <c r="D151" s="267"/>
      <c r="E151" s="268"/>
      <c r="F151" s="64"/>
      <c r="G151" s="64"/>
      <c r="H151" s="82"/>
      <c r="I151" s="81"/>
      <c r="J151" s="64"/>
      <c r="K151" s="80"/>
      <c r="L151" s="79">
        <f t="shared" si="56"/>
        <v>0</v>
      </c>
      <c r="M151" s="64"/>
      <c r="N151" s="64"/>
      <c r="O151" s="64"/>
      <c r="P151" s="80"/>
      <c r="Q151" s="79">
        <f t="shared" si="57"/>
        <v>0</v>
      </c>
      <c r="R151" s="269" t="s">
        <v>282</v>
      </c>
      <c r="S151" s="270"/>
      <c r="T151" s="266"/>
      <c r="U151" s="267"/>
      <c r="V151" s="267"/>
      <c r="W151" s="268"/>
      <c r="X151" s="271">
        <f>IFERROR(INDEX(Table394123[],MATCH(R151,Table394123[Film Type],),3),"")</f>
        <v>0</v>
      </c>
      <c r="Y151" s="271"/>
      <c r="Z151" s="78" t="s">
        <v>55</v>
      </c>
      <c r="AA151" s="78" t="s">
        <v>55</v>
      </c>
      <c r="AB151" s="77"/>
      <c r="AC151" s="76"/>
      <c r="AD151" s="75">
        <f t="shared" si="58"/>
        <v>0</v>
      </c>
      <c r="AG151" s="74">
        <f t="shared" si="59"/>
        <v>0</v>
      </c>
      <c r="AK151" s="65">
        <f t="shared" si="60"/>
        <v>0</v>
      </c>
      <c r="AL151" s="65">
        <f t="shared" si="61"/>
        <v>0</v>
      </c>
      <c r="AM151" s="65">
        <f t="shared" si="62"/>
        <v>0</v>
      </c>
      <c r="AN151" s="73">
        <f t="shared" si="63"/>
        <v>0</v>
      </c>
      <c r="AO151" s="65" t="str">
        <f t="shared" si="64"/>
        <v>0.00</v>
      </c>
      <c r="AP151" s="65" t="str">
        <f t="shared" si="65"/>
        <v>0</v>
      </c>
      <c r="AQ151" s="71">
        <f t="shared" si="66"/>
        <v>0</v>
      </c>
      <c r="AR151" s="72">
        <f t="shared" si="67"/>
        <v>0</v>
      </c>
      <c r="AS151" s="71">
        <f t="shared" si="68"/>
        <v>0</v>
      </c>
      <c r="AT151" s="70">
        <f t="shared" si="69"/>
        <v>0</v>
      </c>
      <c r="AU151" s="70">
        <f t="shared" si="70"/>
        <v>0</v>
      </c>
      <c r="AV151" s="2"/>
      <c r="AW151" s="66">
        <f t="shared" si="71"/>
        <v>0</v>
      </c>
      <c r="AX151" s="68">
        <f>_xlfn.IFNA(INDEX(Table394123[I $ p/ft2],MATCH(R151,Table394123[Film Type],0)),1.75)</f>
        <v>1.75</v>
      </c>
      <c r="AY151" s="69">
        <f>VLOOKUP(Z151,Table134931[#All],2,FALSE)</f>
        <v>1</v>
      </c>
      <c r="AZ151" s="68">
        <f t="shared" si="72"/>
        <v>1.75</v>
      </c>
      <c r="BA151" s="65">
        <f t="shared" si="73"/>
        <v>0</v>
      </c>
      <c r="BB151" s="64">
        <f t="shared" si="74"/>
        <v>0</v>
      </c>
      <c r="BC151" s="67">
        <f t="shared" si="75"/>
        <v>0</v>
      </c>
      <c r="BD151" s="66">
        <f t="shared" si="76"/>
        <v>0</v>
      </c>
      <c r="BE151" s="64"/>
      <c r="BF151" s="66">
        <f t="shared" si="77"/>
        <v>0</v>
      </c>
      <c r="BG151" s="66">
        <f t="shared" si="78"/>
        <v>0</v>
      </c>
      <c r="BH151" s="65">
        <f>VLOOKUP(AA151,Table155133[#All],2,FALSE)</f>
        <v>1</v>
      </c>
      <c r="BI151" s="65">
        <f t="shared" si="79"/>
        <v>0</v>
      </c>
      <c r="BJ151" s="64" t="str">
        <f t="shared" si="80"/>
        <v>0</v>
      </c>
      <c r="CK151" s="86" t="s">
        <v>58</v>
      </c>
      <c r="CL151" s="2">
        <v>5.5</v>
      </c>
      <c r="CM151" s="2">
        <f t="shared" si="81"/>
        <v>6.0500000000000007</v>
      </c>
      <c r="CN151" s="10">
        <v>1.5</v>
      </c>
      <c r="CO151" s="84">
        <f t="shared" si="82"/>
        <v>0</v>
      </c>
    </row>
    <row r="152" spans="1:93" ht="11.1" hidden="1" customHeight="1" x14ac:dyDescent="0.5">
      <c r="A152" s="83"/>
      <c r="B152" s="266"/>
      <c r="C152" s="267"/>
      <c r="D152" s="267"/>
      <c r="E152" s="268"/>
      <c r="F152" s="64"/>
      <c r="G152" s="64"/>
      <c r="H152" s="82"/>
      <c r="I152" s="81"/>
      <c r="J152" s="64"/>
      <c r="K152" s="80"/>
      <c r="L152" s="79">
        <f t="shared" si="56"/>
        <v>0</v>
      </c>
      <c r="M152" s="64"/>
      <c r="N152" s="64"/>
      <c r="O152" s="64"/>
      <c r="P152" s="80"/>
      <c r="Q152" s="79">
        <f t="shared" si="57"/>
        <v>0</v>
      </c>
      <c r="R152" s="269" t="s">
        <v>282</v>
      </c>
      <c r="S152" s="270"/>
      <c r="T152" s="266"/>
      <c r="U152" s="267"/>
      <c r="V152" s="267"/>
      <c r="W152" s="268"/>
      <c r="X152" s="271">
        <f>IFERROR(INDEX(Table394123[],MATCH(R152,Table394123[Film Type],),3),"")</f>
        <v>0</v>
      </c>
      <c r="Y152" s="271"/>
      <c r="Z152" s="78" t="s">
        <v>55</v>
      </c>
      <c r="AA152" s="78" t="s">
        <v>55</v>
      </c>
      <c r="AB152" s="77"/>
      <c r="AC152" s="76"/>
      <c r="AD152" s="75">
        <f t="shared" si="58"/>
        <v>0</v>
      </c>
      <c r="AG152" s="74">
        <f t="shared" si="59"/>
        <v>0</v>
      </c>
      <c r="AK152" s="65">
        <f t="shared" si="60"/>
        <v>0</v>
      </c>
      <c r="AL152" s="65">
        <f t="shared" si="61"/>
        <v>0</v>
      </c>
      <c r="AM152" s="65">
        <f t="shared" si="62"/>
        <v>0</v>
      </c>
      <c r="AN152" s="73">
        <f t="shared" si="63"/>
        <v>0</v>
      </c>
      <c r="AO152" s="65" t="str">
        <f t="shared" si="64"/>
        <v>0.00</v>
      </c>
      <c r="AP152" s="65" t="str">
        <f t="shared" si="65"/>
        <v>0</v>
      </c>
      <c r="AQ152" s="71">
        <f t="shared" si="66"/>
        <v>0</v>
      </c>
      <c r="AR152" s="72">
        <f t="shared" si="67"/>
        <v>0</v>
      </c>
      <c r="AS152" s="71">
        <f t="shared" si="68"/>
        <v>0</v>
      </c>
      <c r="AT152" s="70">
        <f t="shared" si="69"/>
        <v>0</v>
      </c>
      <c r="AU152" s="70">
        <f t="shared" si="70"/>
        <v>0</v>
      </c>
      <c r="AV152" s="2"/>
      <c r="AW152" s="66">
        <f t="shared" si="71"/>
        <v>0</v>
      </c>
      <c r="AX152" s="68">
        <f>_xlfn.IFNA(INDEX(Table394123[I $ p/ft2],MATCH(R152,Table394123[Film Type],0)),1.75)</f>
        <v>1.75</v>
      </c>
      <c r="AY152" s="69">
        <f>VLOOKUP(Z152,Table134931[#All],2,FALSE)</f>
        <v>1</v>
      </c>
      <c r="AZ152" s="68">
        <f t="shared" si="72"/>
        <v>1.75</v>
      </c>
      <c r="BA152" s="65">
        <f t="shared" si="73"/>
        <v>0</v>
      </c>
      <c r="BB152" s="64">
        <f t="shared" si="74"/>
        <v>0</v>
      </c>
      <c r="BC152" s="67">
        <f t="shared" si="75"/>
        <v>0</v>
      </c>
      <c r="BD152" s="66">
        <f t="shared" si="76"/>
        <v>0</v>
      </c>
      <c r="BE152" s="64"/>
      <c r="BF152" s="66">
        <f t="shared" si="77"/>
        <v>0</v>
      </c>
      <c r="BG152" s="66">
        <f t="shared" si="78"/>
        <v>0</v>
      </c>
      <c r="BH152" s="65">
        <f>VLOOKUP(AA152,Table155133[#All],2,FALSE)</f>
        <v>1</v>
      </c>
      <c r="BI152" s="65">
        <f t="shared" si="79"/>
        <v>0</v>
      </c>
      <c r="BJ152" s="64" t="str">
        <f t="shared" si="80"/>
        <v>0</v>
      </c>
      <c r="CK152" s="86" t="s">
        <v>57</v>
      </c>
      <c r="CL152" s="2">
        <v>7</v>
      </c>
      <c r="CM152" s="2">
        <f t="shared" si="81"/>
        <v>7.7000000000000011</v>
      </c>
      <c r="CN152" s="10">
        <v>1.5</v>
      </c>
      <c r="CO152" s="84">
        <f t="shared" si="82"/>
        <v>0</v>
      </c>
    </row>
    <row r="153" spans="1:93" ht="11.1" hidden="1" customHeight="1" x14ac:dyDescent="0.5">
      <c r="A153" s="83"/>
      <c r="B153" s="266"/>
      <c r="C153" s="267"/>
      <c r="D153" s="267"/>
      <c r="E153" s="268"/>
      <c r="F153" s="64"/>
      <c r="G153" s="64"/>
      <c r="H153" s="82"/>
      <c r="I153" s="81"/>
      <c r="J153" s="64"/>
      <c r="K153" s="80"/>
      <c r="L153" s="79">
        <f t="shared" si="56"/>
        <v>0</v>
      </c>
      <c r="M153" s="64"/>
      <c r="N153" s="64"/>
      <c r="O153" s="64"/>
      <c r="P153" s="80"/>
      <c r="Q153" s="79">
        <f t="shared" si="57"/>
        <v>0</v>
      </c>
      <c r="R153" s="269" t="s">
        <v>282</v>
      </c>
      <c r="S153" s="270"/>
      <c r="T153" s="266"/>
      <c r="U153" s="267"/>
      <c r="V153" s="267"/>
      <c r="W153" s="268"/>
      <c r="X153" s="271">
        <f>IFERROR(INDEX(Table394123[],MATCH(R153,Table394123[Film Type],),3),"")</f>
        <v>0</v>
      </c>
      <c r="Y153" s="271"/>
      <c r="Z153" s="78" t="s">
        <v>55</v>
      </c>
      <c r="AA153" s="78" t="s">
        <v>55</v>
      </c>
      <c r="AB153" s="77"/>
      <c r="AC153" s="76"/>
      <c r="AD153" s="75">
        <f t="shared" si="58"/>
        <v>0</v>
      </c>
      <c r="AG153" s="74">
        <f t="shared" si="59"/>
        <v>0</v>
      </c>
      <c r="AK153" s="65">
        <f t="shared" si="60"/>
        <v>0</v>
      </c>
      <c r="AL153" s="65">
        <f t="shared" si="61"/>
        <v>0</v>
      </c>
      <c r="AM153" s="65">
        <f t="shared" si="62"/>
        <v>0</v>
      </c>
      <c r="AN153" s="73">
        <f t="shared" si="63"/>
        <v>0</v>
      </c>
      <c r="AO153" s="65" t="str">
        <f t="shared" si="64"/>
        <v>0.00</v>
      </c>
      <c r="AP153" s="65" t="str">
        <f t="shared" si="65"/>
        <v>0</v>
      </c>
      <c r="AQ153" s="71">
        <f t="shared" si="66"/>
        <v>0</v>
      </c>
      <c r="AR153" s="72">
        <f t="shared" si="67"/>
        <v>0</v>
      </c>
      <c r="AS153" s="71">
        <f t="shared" si="68"/>
        <v>0</v>
      </c>
      <c r="AT153" s="70">
        <f t="shared" si="69"/>
        <v>0</v>
      </c>
      <c r="AU153" s="70">
        <f t="shared" si="70"/>
        <v>0</v>
      </c>
      <c r="AV153" s="2"/>
      <c r="AW153" s="66">
        <f t="shared" si="71"/>
        <v>0</v>
      </c>
      <c r="AX153" s="68">
        <f>_xlfn.IFNA(INDEX(Table394123[I $ p/ft2],MATCH(R153,Table394123[Film Type],0)),1.75)</f>
        <v>1.75</v>
      </c>
      <c r="AY153" s="69">
        <f>VLOOKUP(Z153,Table134931[#All],2,FALSE)</f>
        <v>1</v>
      </c>
      <c r="AZ153" s="68">
        <f t="shared" si="72"/>
        <v>1.75</v>
      </c>
      <c r="BA153" s="65">
        <f t="shared" si="73"/>
        <v>0</v>
      </c>
      <c r="BB153" s="64">
        <f t="shared" si="74"/>
        <v>0</v>
      </c>
      <c r="BC153" s="67">
        <f t="shared" si="75"/>
        <v>0</v>
      </c>
      <c r="BD153" s="66">
        <f t="shared" si="76"/>
        <v>0</v>
      </c>
      <c r="BE153" s="64"/>
      <c r="BF153" s="66">
        <f t="shared" si="77"/>
        <v>0</v>
      </c>
      <c r="BG153" s="66">
        <f t="shared" si="78"/>
        <v>0</v>
      </c>
      <c r="BH153" s="65">
        <f>VLOOKUP(AA153,Table155133[#All],2,FALSE)</f>
        <v>1</v>
      </c>
      <c r="BI153" s="65">
        <f t="shared" si="79"/>
        <v>0</v>
      </c>
      <c r="BJ153" s="64" t="str">
        <f t="shared" si="80"/>
        <v>0</v>
      </c>
      <c r="CK153" s="86"/>
      <c r="CM153" s="2">
        <f t="shared" si="81"/>
        <v>0</v>
      </c>
      <c r="CN153" s="10"/>
      <c r="CO153" s="84">
        <f t="shared" si="82"/>
        <v>0</v>
      </c>
    </row>
    <row r="154" spans="1:93" ht="11.1" hidden="1" customHeight="1" x14ac:dyDescent="0.5">
      <c r="A154" s="83"/>
      <c r="B154" s="266"/>
      <c r="C154" s="267"/>
      <c r="D154" s="267"/>
      <c r="E154" s="268"/>
      <c r="F154" s="64"/>
      <c r="G154" s="64"/>
      <c r="H154" s="82"/>
      <c r="I154" s="81"/>
      <c r="J154" s="64"/>
      <c r="K154" s="80"/>
      <c r="L154" s="79">
        <f t="shared" si="56"/>
        <v>0</v>
      </c>
      <c r="M154" s="64"/>
      <c r="N154" s="64"/>
      <c r="O154" s="64"/>
      <c r="P154" s="80"/>
      <c r="Q154" s="79">
        <f t="shared" si="57"/>
        <v>0</v>
      </c>
      <c r="R154" s="269" t="s">
        <v>282</v>
      </c>
      <c r="S154" s="270"/>
      <c r="T154" s="266"/>
      <c r="U154" s="267"/>
      <c r="V154" s="267"/>
      <c r="W154" s="268"/>
      <c r="X154" s="271">
        <f>IFERROR(INDEX(Table394123[],MATCH(R154,Table394123[Film Type],),3),"")</f>
        <v>0</v>
      </c>
      <c r="Y154" s="271"/>
      <c r="Z154" s="78" t="s">
        <v>55</v>
      </c>
      <c r="AA154" s="78" t="s">
        <v>55</v>
      </c>
      <c r="AB154" s="77"/>
      <c r="AC154" s="76"/>
      <c r="AD154" s="75">
        <f t="shared" si="58"/>
        <v>0</v>
      </c>
      <c r="AG154" s="74">
        <f t="shared" si="59"/>
        <v>0</v>
      </c>
      <c r="AK154" s="65">
        <f t="shared" si="60"/>
        <v>0</v>
      </c>
      <c r="AL154" s="65">
        <f t="shared" si="61"/>
        <v>0</v>
      </c>
      <c r="AM154" s="65">
        <f t="shared" si="62"/>
        <v>0</v>
      </c>
      <c r="AN154" s="73">
        <f t="shared" si="63"/>
        <v>0</v>
      </c>
      <c r="AO154" s="65" t="str">
        <f t="shared" si="64"/>
        <v>0.00</v>
      </c>
      <c r="AP154" s="65" t="str">
        <f t="shared" si="65"/>
        <v>0</v>
      </c>
      <c r="AQ154" s="71">
        <f t="shared" si="66"/>
        <v>0</v>
      </c>
      <c r="AR154" s="72">
        <f t="shared" si="67"/>
        <v>0</v>
      </c>
      <c r="AS154" s="71">
        <f t="shared" si="68"/>
        <v>0</v>
      </c>
      <c r="AT154" s="70">
        <f t="shared" si="69"/>
        <v>0</v>
      </c>
      <c r="AU154" s="70">
        <f t="shared" si="70"/>
        <v>0</v>
      </c>
      <c r="AV154" s="2"/>
      <c r="AW154" s="66">
        <f t="shared" si="71"/>
        <v>0</v>
      </c>
      <c r="AX154" s="68">
        <f>_xlfn.IFNA(INDEX(Table394123[I $ p/ft2],MATCH(R154,Table394123[Film Type],0)),1.75)</f>
        <v>1.75</v>
      </c>
      <c r="AY154" s="69">
        <f>VLOOKUP(Z154,Table134931[#All],2,FALSE)</f>
        <v>1</v>
      </c>
      <c r="AZ154" s="68">
        <f t="shared" si="72"/>
        <v>1.75</v>
      </c>
      <c r="BA154" s="65">
        <f t="shared" si="73"/>
        <v>0</v>
      </c>
      <c r="BB154" s="64">
        <f t="shared" si="74"/>
        <v>0</v>
      </c>
      <c r="BC154" s="67">
        <f t="shared" si="75"/>
        <v>0</v>
      </c>
      <c r="BD154" s="66">
        <f t="shared" si="76"/>
        <v>0</v>
      </c>
      <c r="BE154" s="64"/>
      <c r="BF154" s="66">
        <f t="shared" si="77"/>
        <v>0</v>
      </c>
      <c r="BG154" s="66">
        <f t="shared" si="78"/>
        <v>0</v>
      </c>
      <c r="BH154" s="65">
        <f>VLOOKUP(AA154,Table155133[#All],2,FALSE)</f>
        <v>1</v>
      </c>
      <c r="BI154" s="65">
        <f t="shared" si="79"/>
        <v>0</v>
      </c>
      <c r="BJ154" s="64" t="str">
        <f t="shared" si="80"/>
        <v>0</v>
      </c>
      <c r="CK154" s="85" t="s">
        <v>56</v>
      </c>
      <c r="CM154" s="2">
        <f t="shared" si="81"/>
        <v>0</v>
      </c>
      <c r="CN154" s="10">
        <v>4</v>
      </c>
      <c r="CO154" s="84">
        <f t="shared" si="82"/>
        <v>0</v>
      </c>
    </row>
    <row r="155" spans="1:93" ht="11.1" hidden="1" customHeight="1" x14ac:dyDescent="0.5">
      <c r="A155" s="83"/>
      <c r="B155" s="266"/>
      <c r="C155" s="267"/>
      <c r="D155" s="267"/>
      <c r="E155" s="268"/>
      <c r="F155" s="64"/>
      <c r="G155" s="64"/>
      <c r="H155" s="82"/>
      <c r="I155" s="81"/>
      <c r="J155" s="64"/>
      <c r="K155" s="80"/>
      <c r="L155" s="79">
        <f t="shared" si="56"/>
        <v>0</v>
      </c>
      <c r="M155" s="64"/>
      <c r="N155" s="64"/>
      <c r="O155" s="64"/>
      <c r="P155" s="80"/>
      <c r="Q155" s="79">
        <f t="shared" si="57"/>
        <v>0</v>
      </c>
      <c r="R155" s="269" t="s">
        <v>282</v>
      </c>
      <c r="S155" s="270"/>
      <c r="T155" s="266"/>
      <c r="U155" s="267"/>
      <c r="V155" s="267"/>
      <c r="W155" s="268"/>
      <c r="X155" s="271">
        <f>IFERROR(INDEX(Table394123[],MATCH(R155,Table394123[Film Type],),3),"")</f>
        <v>0</v>
      </c>
      <c r="Y155" s="271"/>
      <c r="Z155" s="78" t="s">
        <v>55</v>
      </c>
      <c r="AA155" s="78" t="s">
        <v>55</v>
      </c>
      <c r="AB155" s="77"/>
      <c r="AC155" s="76"/>
      <c r="AD155" s="75">
        <f t="shared" si="58"/>
        <v>0</v>
      </c>
      <c r="AG155" s="74">
        <f t="shared" si="59"/>
        <v>0</v>
      </c>
      <c r="AK155" s="65">
        <f t="shared" si="60"/>
        <v>0</v>
      </c>
      <c r="AL155" s="65">
        <f t="shared" si="61"/>
        <v>0</v>
      </c>
      <c r="AM155" s="65">
        <f t="shared" si="62"/>
        <v>0</v>
      </c>
      <c r="AN155" s="73">
        <f t="shared" si="63"/>
        <v>0</v>
      </c>
      <c r="AO155" s="65" t="str">
        <f t="shared" si="64"/>
        <v>0.00</v>
      </c>
      <c r="AP155" s="65" t="str">
        <f t="shared" si="65"/>
        <v>0</v>
      </c>
      <c r="AQ155" s="71">
        <f t="shared" si="66"/>
        <v>0</v>
      </c>
      <c r="AR155" s="72">
        <f t="shared" si="67"/>
        <v>0</v>
      </c>
      <c r="AS155" s="71">
        <f t="shared" si="68"/>
        <v>0</v>
      </c>
      <c r="AT155" s="70">
        <f t="shared" si="69"/>
        <v>0</v>
      </c>
      <c r="AU155" s="70">
        <f t="shared" si="70"/>
        <v>0</v>
      </c>
      <c r="AV155" s="2"/>
      <c r="AW155" s="66">
        <f t="shared" si="71"/>
        <v>0</v>
      </c>
      <c r="AX155" s="68">
        <f>_xlfn.IFNA(INDEX(Table394123[I $ p/ft2],MATCH(R155,Table394123[Film Type],0)),1.75)</f>
        <v>1.75</v>
      </c>
      <c r="AY155" s="69">
        <f>VLOOKUP(Z155,Table134931[#All],2,FALSE)</f>
        <v>1</v>
      </c>
      <c r="AZ155" s="68">
        <f t="shared" si="72"/>
        <v>1.75</v>
      </c>
      <c r="BA155" s="65">
        <f t="shared" si="73"/>
        <v>0</v>
      </c>
      <c r="BB155" s="64">
        <f t="shared" si="74"/>
        <v>0</v>
      </c>
      <c r="BC155" s="67">
        <f t="shared" si="75"/>
        <v>0</v>
      </c>
      <c r="BD155" s="66">
        <f t="shared" si="76"/>
        <v>0</v>
      </c>
      <c r="BE155" s="64"/>
      <c r="BF155" s="66">
        <f t="shared" si="77"/>
        <v>0</v>
      </c>
      <c r="BG155" s="66">
        <f t="shared" si="78"/>
        <v>0</v>
      </c>
      <c r="BH155" s="65">
        <f>VLOOKUP(AA155,Table155133[#All],2,FALSE)</f>
        <v>1</v>
      </c>
      <c r="BI155" s="65">
        <f t="shared" si="79"/>
        <v>0</v>
      </c>
      <c r="BJ155" s="64" t="str">
        <f t="shared" si="80"/>
        <v>0</v>
      </c>
      <c r="CN155" s="10"/>
    </row>
    <row r="156" spans="1:93" ht="11.1" hidden="1" customHeight="1" x14ac:dyDescent="0.5">
      <c r="A156" s="83"/>
      <c r="B156" s="266"/>
      <c r="C156" s="267"/>
      <c r="D156" s="267"/>
      <c r="E156" s="268"/>
      <c r="F156" s="64"/>
      <c r="G156" s="64"/>
      <c r="H156" s="82"/>
      <c r="I156" s="81"/>
      <c r="J156" s="64"/>
      <c r="K156" s="80"/>
      <c r="L156" s="79">
        <f t="shared" si="56"/>
        <v>0</v>
      </c>
      <c r="M156" s="64"/>
      <c r="N156" s="64"/>
      <c r="O156" s="64"/>
      <c r="P156" s="80"/>
      <c r="Q156" s="79">
        <f t="shared" si="57"/>
        <v>0</v>
      </c>
      <c r="R156" s="269" t="s">
        <v>282</v>
      </c>
      <c r="S156" s="270"/>
      <c r="T156" s="266"/>
      <c r="U156" s="267"/>
      <c r="V156" s="267"/>
      <c r="W156" s="268"/>
      <c r="X156" s="271">
        <f>IFERROR(INDEX(Table394123[],MATCH(R156,Table394123[Film Type],),3),"")</f>
        <v>0</v>
      </c>
      <c r="Y156" s="271"/>
      <c r="Z156" s="78" t="s">
        <v>55</v>
      </c>
      <c r="AA156" s="78" t="s">
        <v>55</v>
      </c>
      <c r="AB156" s="77"/>
      <c r="AC156" s="76"/>
      <c r="AD156" s="75">
        <f t="shared" si="58"/>
        <v>0</v>
      </c>
      <c r="AG156" s="74">
        <f t="shared" si="59"/>
        <v>0</v>
      </c>
      <c r="AK156" s="65">
        <f t="shared" si="60"/>
        <v>0</v>
      </c>
      <c r="AL156" s="65">
        <f t="shared" si="61"/>
        <v>0</v>
      </c>
      <c r="AM156" s="65">
        <f t="shared" si="62"/>
        <v>0</v>
      </c>
      <c r="AN156" s="73">
        <f t="shared" si="63"/>
        <v>0</v>
      </c>
      <c r="AO156" s="65" t="str">
        <f t="shared" si="64"/>
        <v>0.00</v>
      </c>
      <c r="AP156" s="65" t="str">
        <f t="shared" si="65"/>
        <v>0</v>
      </c>
      <c r="AQ156" s="71">
        <f t="shared" si="66"/>
        <v>0</v>
      </c>
      <c r="AR156" s="72">
        <f t="shared" si="67"/>
        <v>0</v>
      </c>
      <c r="AS156" s="71">
        <f t="shared" si="68"/>
        <v>0</v>
      </c>
      <c r="AT156" s="70">
        <f t="shared" si="69"/>
        <v>0</v>
      </c>
      <c r="AU156" s="70">
        <f t="shared" si="70"/>
        <v>0</v>
      </c>
      <c r="AV156" s="2"/>
      <c r="AW156" s="66">
        <f t="shared" si="71"/>
        <v>0</v>
      </c>
      <c r="AX156" s="68">
        <f>_xlfn.IFNA(INDEX(Table394123[I $ p/ft2],MATCH(R156,Table394123[Film Type],0)),1.75)</f>
        <v>1.75</v>
      </c>
      <c r="AY156" s="69">
        <f>VLOOKUP(Z156,Table134931[#All],2,FALSE)</f>
        <v>1</v>
      </c>
      <c r="AZ156" s="68">
        <f t="shared" si="72"/>
        <v>1.75</v>
      </c>
      <c r="BA156" s="65">
        <f t="shared" si="73"/>
        <v>0</v>
      </c>
      <c r="BB156" s="64">
        <f t="shared" si="74"/>
        <v>0</v>
      </c>
      <c r="BC156" s="67">
        <f t="shared" si="75"/>
        <v>0</v>
      </c>
      <c r="BD156" s="66">
        <f t="shared" si="76"/>
        <v>0</v>
      </c>
      <c r="BE156" s="64"/>
      <c r="BF156" s="66">
        <f t="shared" si="77"/>
        <v>0</v>
      </c>
      <c r="BG156" s="66">
        <f t="shared" si="78"/>
        <v>0</v>
      </c>
      <c r="BH156" s="65">
        <f>VLOOKUP(AA156,Table155133[#All],2,FALSE)</f>
        <v>1</v>
      </c>
      <c r="BI156" s="65">
        <f t="shared" si="79"/>
        <v>0</v>
      </c>
      <c r="BJ156" s="64" t="str">
        <f t="shared" si="80"/>
        <v>0</v>
      </c>
      <c r="CN156" s="10"/>
    </row>
    <row r="157" spans="1:93" ht="11.1" hidden="1" customHeight="1" thickBot="1" x14ac:dyDescent="0.5">
      <c r="A157" s="83"/>
      <c r="B157" s="266"/>
      <c r="C157" s="267"/>
      <c r="D157" s="267"/>
      <c r="E157" s="268"/>
      <c r="F157" s="64"/>
      <c r="G157" s="64"/>
      <c r="H157" s="82"/>
      <c r="I157" s="81"/>
      <c r="J157" s="64"/>
      <c r="K157" s="80"/>
      <c r="L157" s="79">
        <f t="shared" si="56"/>
        <v>0</v>
      </c>
      <c r="M157" s="64"/>
      <c r="N157" s="64"/>
      <c r="O157" s="64"/>
      <c r="P157" s="80"/>
      <c r="Q157" s="79">
        <f t="shared" si="57"/>
        <v>0</v>
      </c>
      <c r="R157" s="269" t="s">
        <v>282</v>
      </c>
      <c r="S157" s="270"/>
      <c r="T157" s="266"/>
      <c r="U157" s="267"/>
      <c r="V157" s="267"/>
      <c r="W157" s="268"/>
      <c r="X157" s="271">
        <f>IFERROR(INDEX(Table394123[],MATCH(R157,Table394123[Film Type],),3),"")</f>
        <v>0</v>
      </c>
      <c r="Y157" s="271"/>
      <c r="Z157" s="78" t="s">
        <v>55</v>
      </c>
      <c r="AA157" s="78" t="s">
        <v>55</v>
      </c>
      <c r="AB157" s="77"/>
      <c r="AC157" s="76"/>
      <c r="AD157" s="75">
        <f t="shared" si="58"/>
        <v>0</v>
      </c>
      <c r="AG157" s="74">
        <f t="shared" si="59"/>
        <v>0</v>
      </c>
      <c r="AK157" s="65">
        <f t="shared" si="60"/>
        <v>0</v>
      </c>
      <c r="AL157" s="65">
        <f t="shared" si="61"/>
        <v>0</v>
      </c>
      <c r="AM157" s="65">
        <f t="shared" si="62"/>
        <v>0</v>
      </c>
      <c r="AN157" s="73">
        <f t="shared" si="63"/>
        <v>0</v>
      </c>
      <c r="AO157" s="65" t="str">
        <f t="shared" si="64"/>
        <v>0.00</v>
      </c>
      <c r="AP157" s="65" t="str">
        <f t="shared" si="65"/>
        <v>0</v>
      </c>
      <c r="AQ157" s="71">
        <f t="shared" si="66"/>
        <v>0</v>
      </c>
      <c r="AR157" s="72">
        <f t="shared" si="67"/>
        <v>0</v>
      </c>
      <c r="AS157" s="71">
        <f t="shared" si="68"/>
        <v>0</v>
      </c>
      <c r="AT157" s="70">
        <f t="shared" si="69"/>
        <v>0</v>
      </c>
      <c r="AU157" s="70">
        <f t="shared" si="70"/>
        <v>0</v>
      </c>
      <c r="AV157" s="2"/>
      <c r="AW157" s="66">
        <f t="shared" si="71"/>
        <v>0</v>
      </c>
      <c r="AX157" s="68">
        <f>_xlfn.IFNA(INDEX(Table394123[I $ p/ft2],MATCH(R157,Table394123[Film Type],0)),1.75)</f>
        <v>1.75</v>
      </c>
      <c r="AY157" s="69">
        <f>VLOOKUP(Z157,Table134931[#All],2,FALSE)</f>
        <v>1</v>
      </c>
      <c r="AZ157" s="68">
        <f t="shared" si="72"/>
        <v>1.75</v>
      </c>
      <c r="BA157" s="65">
        <f t="shared" si="73"/>
        <v>0</v>
      </c>
      <c r="BB157" s="64">
        <f t="shared" si="74"/>
        <v>0</v>
      </c>
      <c r="BC157" s="67">
        <f t="shared" si="75"/>
        <v>0</v>
      </c>
      <c r="BD157" s="66">
        <f t="shared" si="76"/>
        <v>0</v>
      </c>
      <c r="BE157" s="64"/>
      <c r="BF157" s="66">
        <f t="shared" si="77"/>
        <v>0</v>
      </c>
      <c r="BG157" s="66">
        <f t="shared" si="78"/>
        <v>0</v>
      </c>
      <c r="BH157" s="65">
        <f>VLOOKUP(AA157,Table155133[#All],2,FALSE)</f>
        <v>1</v>
      </c>
      <c r="BI157" s="65">
        <f t="shared" si="79"/>
        <v>0</v>
      </c>
      <c r="BJ157" s="64" t="str">
        <f t="shared" si="80"/>
        <v>0</v>
      </c>
      <c r="CN157" s="10"/>
    </row>
    <row r="158" spans="1:93" ht="10.35" customHeight="1" thickBot="1" x14ac:dyDescent="0.5">
      <c r="A158" s="63" t="s">
        <v>54</v>
      </c>
      <c r="B158" s="62">
        <f>SUM(AW7:AW157)</f>
        <v>0</v>
      </c>
      <c r="C158" s="261" t="s">
        <v>53</v>
      </c>
      <c r="D158" s="262"/>
      <c r="E158" s="61">
        <f>SUM(BB7:BB157)</f>
        <v>0</v>
      </c>
      <c r="F158" s="261" t="s">
        <v>52</v>
      </c>
      <c r="G158" s="263"/>
      <c r="H158" s="262"/>
      <c r="I158" s="62">
        <f>SUM(BF7:BF157)</f>
        <v>0</v>
      </c>
      <c r="J158" s="261" t="s">
        <v>51</v>
      </c>
      <c r="K158" s="262"/>
      <c r="L158" s="61">
        <f>SUM(BJ7:BJ157)</f>
        <v>0</v>
      </c>
      <c r="M158" s="264" t="s">
        <v>50</v>
      </c>
      <c r="N158" s="264"/>
      <c r="O158" s="264">
        <f>CO158</f>
        <v>0</v>
      </c>
      <c r="P158" s="264"/>
      <c r="Q158" s="265" t="s">
        <v>49</v>
      </c>
      <c r="R158" s="265"/>
      <c r="S158" s="60" cm="1">
        <f t="array" ref="S158">SUM(BD7:BD157+BG7:BG157)+$AB$4+$AC$2</f>
        <v>0</v>
      </c>
      <c r="T158" s="248" t="s">
        <v>48</v>
      </c>
      <c r="U158" s="248"/>
      <c r="V158" s="249">
        <f>S158/10</f>
        <v>0</v>
      </c>
      <c r="W158" s="249"/>
      <c r="X158" s="250" t="s">
        <v>47</v>
      </c>
      <c r="Y158" s="251"/>
      <c r="Z158" s="252" t="s">
        <v>46</v>
      </c>
      <c r="AA158" s="253"/>
      <c r="AB158" s="59">
        <f>SUM(AK7:AL157)</f>
        <v>0</v>
      </c>
      <c r="AC158" s="58" t="s">
        <v>45</v>
      </c>
      <c r="AD158" s="57" cm="1">
        <f t="array" ref="AD158">SUM(AM7:AM157+AN7:AN157+AO7:AO157+AP7:AP157)</f>
        <v>0</v>
      </c>
      <c r="AF158" s="56" t="s">
        <v>44</v>
      </c>
      <c r="AG158" s="55">
        <f>SUM(AG7:AG157)</f>
        <v>0</v>
      </c>
      <c r="AH158" s="54"/>
      <c r="AI158" s="54"/>
      <c r="AJ158" s="54"/>
      <c r="AK158" s="54"/>
      <c r="AL158" s="54"/>
      <c r="AM158" s="54"/>
      <c r="AN158" s="54"/>
      <c r="AQ158" s="2"/>
      <c r="AR158" s="2"/>
      <c r="AS158" s="2"/>
      <c r="AT158" s="2"/>
      <c r="AU158" s="2"/>
      <c r="AV158" s="2"/>
      <c r="CN158" s="10"/>
    </row>
    <row r="159" spans="1:93" ht="11.1" customHeight="1" x14ac:dyDescent="0.45">
      <c r="A159" s="254"/>
      <c r="B159" s="254"/>
      <c r="C159" s="254"/>
      <c r="D159" s="254"/>
      <c r="E159" s="254"/>
      <c r="F159" s="255"/>
      <c r="G159" s="255"/>
      <c r="H159" s="255"/>
      <c r="I159" s="255"/>
      <c r="J159" s="255"/>
      <c r="K159" s="255"/>
      <c r="L159" s="255"/>
      <c r="M159" s="255"/>
      <c r="N159" s="255"/>
      <c r="O159" s="255"/>
      <c r="P159" s="255"/>
      <c r="Q159" s="254"/>
      <c r="R159" s="254"/>
      <c r="S159" s="254"/>
      <c r="T159" s="254"/>
      <c r="U159" s="254"/>
      <c r="V159" s="254"/>
      <c r="W159" s="256"/>
      <c r="X159" s="26" t="s">
        <v>43</v>
      </c>
      <c r="Y159" s="46">
        <v>0.2</v>
      </c>
      <c r="Z159" s="257" t="s">
        <v>42</v>
      </c>
      <c r="AA159" s="258"/>
      <c r="AB159" s="233">
        <f>IFERROR((AD159/AD169),0)</f>
        <v>0</v>
      </c>
      <c r="AC159" s="242" t="s">
        <v>41</v>
      </c>
      <c r="AD159" s="244">
        <f>SUM(AD158,AB158)</f>
        <v>0</v>
      </c>
      <c r="AQ159" s="2"/>
      <c r="AR159" s="2"/>
      <c r="AS159" s="2"/>
      <c r="AT159" s="2"/>
      <c r="AU159" s="2"/>
      <c r="AV159" s="2"/>
      <c r="CN159" s="10"/>
      <c r="CO159" s="1">
        <f>SUM(CO7:CO158)</f>
        <v>0</v>
      </c>
    </row>
    <row r="160" spans="1:93" ht="11.1" customHeight="1" x14ac:dyDescent="0.45">
      <c r="A160" s="200" t="s">
        <v>40</v>
      </c>
      <c r="B160" s="201"/>
      <c r="C160" s="206"/>
      <c r="D160" s="207"/>
      <c r="E160" s="208"/>
      <c r="F160" s="206"/>
      <c r="G160" s="207"/>
      <c r="H160" s="207"/>
      <c r="I160" s="207"/>
      <c r="J160" s="207"/>
      <c r="K160" s="207"/>
      <c r="L160" s="207"/>
      <c r="M160" s="207"/>
      <c r="N160" s="207"/>
      <c r="O160" s="207"/>
      <c r="P160" s="208"/>
      <c r="Q160" s="45">
        <v>0</v>
      </c>
      <c r="R160" s="19" t="s">
        <v>20</v>
      </c>
      <c r="S160" s="42" t="s">
        <v>19</v>
      </c>
      <c r="T160" s="53">
        <f>BM7</f>
        <v>0</v>
      </c>
      <c r="U160" s="52">
        <f>IFERROR((W160/W163),0)</f>
        <v>0</v>
      </c>
      <c r="V160" s="48" t="s">
        <v>18</v>
      </c>
      <c r="W160" s="47">
        <f>BO7</f>
        <v>0</v>
      </c>
      <c r="X160" s="26" t="s">
        <v>39</v>
      </c>
      <c r="Y160" s="46" t="s">
        <v>37</v>
      </c>
      <c r="Z160" s="259"/>
      <c r="AA160" s="260"/>
      <c r="AB160" s="234"/>
      <c r="AC160" s="243"/>
      <c r="AD160" s="245"/>
      <c r="AQ160" s="50"/>
      <c r="AR160" s="50"/>
      <c r="AS160" s="50"/>
      <c r="AT160" s="50"/>
      <c r="AU160" s="50"/>
      <c r="AV160" s="50"/>
      <c r="CN160" s="10"/>
    </row>
    <row r="161" spans="1:92" ht="11.1" customHeight="1" x14ac:dyDescent="0.45">
      <c r="A161" s="202"/>
      <c r="B161" s="203"/>
      <c r="C161" s="179"/>
      <c r="D161" s="180"/>
      <c r="E161" s="184"/>
      <c r="F161" s="179"/>
      <c r="G161" s="180"/>
      <c r="H161" s="180"/>
      <c r="I161" s="180"/>
      <c r="J161" s="180"/>
      <c r="K161" s="180"/>
      <c r="L161" s="180"/>
      <c r="M161" s="180"/>
      <c r="N161" s="180"/>
      <c r="O161" s="180"/>
      <c r="P161" s="184"/>
      <c r="Q161" s="45">
        <v>0</v>
      </c>
      <c r="R161" s="19" t="s">
        <v>15</v>
      </c>
      <c r="S161" s="246" t="s">
        <v>14</v>
      </c>
      <c r="T161" s="215">
        <v>0.8</v>
      </c>
      <c r="U161" s="51">
        <v>0.1</v>
      </c>
      <c r="V161" s="48" t="s">
        <v>13</v>
      </c>
      <c r="W161" s="47">
        <f>W163*U161</f>
        <v>0</v>
      </c>
      <c r="X161" s="26" t="s">
        <v>38</v>
      </c>
      <c r="Y161" s="46" t="s">
        <v>37</v>
      </c>
      <c r="Z161" s="221" t="s">
        <v>36</v>
      </c>
      <c r="AA161" s="222"/>
      <c r="AB161" s="240">
        <f>IFERROR((AD161/AD167),0)</f>
        <v>0</v>
      </c>
      <c r="AC161" s="227" t="s">
        <v>35</v>
      </c>
      <c r="AD161" s="229">
        <f>SUM(AQ7:AQ157)</f>
        <v>0</v>
      </c>
      <c r="AQ161" s="50"/>
      <c r="AR161" s="50"/>
      <c r="AS161" s="50"/>
      <c r="AT161" s="50"/>
      <c r="AU161" s="50"/>
      <c r="AV161" s="50"/>
      <c r="CN161" s="10"/>
    </row>
    <row r="162" spans="1:92" ht="11.1" customHeight="1" thickBot="1" x14ac:dyDescent="0.5">
      <c r="A162" s="202"/>
      <c r="B162" s="203"/>
      <c r="C162" s="179"/>
      <c r="D162" s="180"/>
      <c r="E162" s="184"/>
      <c r="F162" s="179"/>
      <c r="G162" s="180"/>
      <c r="H162" s="180"/>
      <c r="I162" s="180"/>
      <c r="J162" s="180"/>
      <c r="K162" s="180"/>
      <c r="L162" s="180"/>
      <c r="M162" s="180"/>
      <c r="N162" s="180"/>
      <c r="O162" s="180"/>
      <c r="P162" s="184"/>
      <c r="Q162" s="45">
        <v>0</v>
      </c>
      <c r="R162" s="19" t="s">
        <v>9</v>
      </c>
      <c r="S162" s="247"/>
      <c r="T162" s="216"/>
      <c r="U162" s="49">
        <f>IFERROR(W162/W163,0)</f>
        <v>0</v>
      </c>
      <c r="V162" s="48" t="s">
        <v>8</v>
      </c>
      <c r="W162" s="47">
        <f>W163-T160-W160-W161</f>
        <v>0</v>
      </c>
      <c r="X162" s="26" t="s">
        <v>34</v>
      </c>
      <c r="Y162" s="46" t="s">
        <v>33</v>
      </c>
      <c r="Z162" s="223"/>
      <c r="AA162" s="224"/>
      <c r="AB162" s="241"/>
      <c r="AC162" s="235"/>
      <c r="AD162" s="230"/>
      <c r="AQ162" s="15"/>
      <c r="AR162" s="15"/>
      <c r="AS162" s="15"/>
      <c r="AT162" s="15"/>
      <c r="AU162" s="15"/>
      <c r="AV162" s="15"/>
      <c r="CN162" s="10"/>
    </row>
    <row r="163" spans="1:92" ht="11.1" customHeight="1" x14ac:dyDescent="0.45">
      <c r="A163" s="202"/>
      <c r="B163" s="203"/>
      <c r="C163" s="179"/>
      <c r="D163" s="180"/>
      <c r="E163" s="184"/>
      <c r="F163" s="179"/>
      <c r="G163" s="180"/>
      <c r="H163" s="180"/>
      <c r="I163" s="180"/>
      <c r="J163" s="180"/>
      <c r="K163" s="180"/>
      <c r="L163" s="180"/>
      <c r="M163" s="180"/>
      <c r="N163" s="180"/>
      <c r="O163" s="180"/>
      <c r="P163" s="184"/>
      <c r="Q163" s="45">
        <v>0</v>
      </c>
      <c r="R163" s="19" t="s">
        <v>5</v>
      </c>
      <c r="S163" s="185"/>
      <c r="T163" s="186"/>
      <c r="U163" s="171" t="s">
        <v>4</v>
      </c>
      <c r="V163" s="238"/>
      <c r="W163" s="44">
        <f>SUM(BM7:BN7)</f>
        <v>0</v>
      </c>
      <c r="X163" s="26" t="s">
        <v>32</v>
      </c>
      <c r="Y163" s="239" t="s">
        <v>31</v>
      </c>
      <c r="Z163" s="221" t="s">
        <v>30</v>
      </c>
      <c r="AA163" s="222"/>
      <c r="AB163" s="233">
        <v>7.0000000000000007E-2</v>
      </c>
      <c r="AC163" s="227" t="s">
        <v>29</v>
      </c>
      <c r="AD163" s="229">
        <f>SUM(AR7:AR157)</f>
        <v>0</v>
      </c>
      <c r="AE163" s="236" t="s">
        <v>28</v>
      </c>
      <c r="AQ163" s="15"/>
      <c r="AR163" s="15"/>
      <c r="AS163" s="15"/>
      <c r="AT163" s="15"/>
      <c r="AU163" s="15"/>
      <c r="AV163" s="15"/>
      <c r="CN163" s="10"/>
    </row>
    <row r="164" spans="1:92" ht="11.1" customHeight="1" x14ac:dyDescent="0.45">
      <c r="A164" s="204"/>
      <c r="B164" s="205"/>
      <c r="C164" s="167"/>
      <c r="D164" s="168"/>
      <c r="E164" s="169"/>
      <c r="F164" s="167"/>
      <c r="G164" s="168"/>
      <c r="H164" s="168"/>
      <c r="I164" s="168"/>
      <c r="J164" s="168"/>
      <c r="K164" s="168"/>
      <c r="L164" s="168"/>
      <c r="M164" s="168"/>
      <c r="N164" s="168"/>
      <c r="O164" s="168"/>
      <c r="P164" s="169"/>
      <c r="Q164" s="20">
        <v>0</v>
      </c>
      <c r="R164" s="19" t="s">
        <v>2</v>
      </c>
      <c r="S164" s="187"/>
      <c r="T164" s="188"/>
      <c r="U164" s="171" t="s">
        <v>1</v>
      </c>
      <c r="V164" s="238"/>
      <c r="W164" s="43"/>
      <c r="X164" s="26"/>
      <c r="Y164" s="239"/>
      <c r="Z164" s="223"/>
      <c r="AA164" s="224"/>
      <c r="AB164" s="234"/>
      <c r="AC164" s="235"/>
      <c r="AD164" s="230"/>
      <c r="AE164" s="237"/>
      <c r="AQ164" s="15"/>
      <c r="AR164" s="15"/>
      <c r="AS164" s="15"/>
      <c r="AT164" s="15"/>
      <c r="AU164" s="15"/>
      <c r="AV164" s="15"/>
      <c r="CN164" s="10"/>
    </row>
    <row r="165" spans="1:92" ht="11.1" customHeight="1" x14ac:dyDescent="0.45">
      <c r="A165" s="217"/>
      <c r="B165" s="217"/>
      <c r="C165" s="217"/>
      <c r="D165" s="217"/>
      <c r="E165" s="217"/>
      <c r="F165" s="217"/>
      <c r="G165" s="217"/>
      <c r="H165" s="217"/>
      <c r="I165" s="217"/>
      <c r="J165" s="217"/>
      <c r="K165" s="217"/>
      <c r="L165" s="217"/>
      <c r="M165" s="217"/>
      <c r="N165" s="217"/>
      <c r="O165" s="217"/>
      <c r="P165" s="217"/>
      <c r="Q165" s="217"/>
      <c r="R165" s="217"/>
      <c r="S165" s="217"/>
      <c r="T165" s="217"/>
      <c r="U165" s="217"/>
      <c r="V165" s="217"/>
      <c r="W165" s="218"/>
      <c r="X165" s="35" t="s">
        <v>27</v>
      </c>
      <c r="Y165" s="34" t="s">
        <v>26</v>
      </c>
      <c r="Z165" s="221" t="s">
        <v>25</v>
      </c>
      <c r="AA165" s="222"/>
      <c r="AB165" s="225">
        <f>IFERROR(AD165/AD167,0)</f>
        <v>0</v>
      </c>
      <c r="AC165" s="227" t="s">
        <v>24</v>
      </c>
      <c r="AD165" s="229">
        <f>SUM(AS7:AS157)</f>
        <v>0</v>
      </c>
      <c r="AE165" s="231">
        <f>IFERROR(AD165/S158,0)</f>
        <v>0</v>
      </c>
      <c r="AQ165" s="15"/>
      <c r="AR165" s="15"/>
      <c r="AS165" s="15"/>
      <c r="AT165" s="15"/>
      <c r="AU165" s="15"/>
      <c r="AV165" s="15"/>
      <c r="CN165" s="10"/>
    </row>
    <row r="166" spans="1:92" ht="11.1" customHeight="1" thickBot="1" x14ac:dyDescent="0.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20"/>
      <c r="X166" s="35" t="s">
        <v>23</v>
      </c>
      <c r="Y166" s="34" t="s">
        <v>22</v>
      </c>
      <c r="Z166" s="223"/>
      <c r="AA166" s="224"/>
      <c r="AB166" s="226"/>
      <c r="AC166" s="228"/>
      <c r="AD166" s="230"/>
      <c r="AE166" s="232"/>
      <c r="AQ166" s="15"/>
      <c r="AR166" s="15"/>
      <c r="AS166" s="15"/>
      <c r="AT166" s="15"/>
      <c r="AU166" s="15"/>
      <c r="AV166" s="15"/>
      <c r="CN166" s="10"/>
    </row>
    <row r="167" spans="1:92" ht="11.1" customHeight="1" x14ac:dyDescent="0.45">
      <c r="A167" s="200" t="s">
        <v>21</v>
      </c>
      <c r="B167" s="201"/>
      <c r="C167" s="206"/>
      <c r="D167" s="207"/>
      <c r="E167" s="208"/>
      <c r="F167" s="206"/>
      <c r="G167" s="207"/>
      <c r="H167" s="207"/>
      <c r="I167" s="207"/>
      <c r="J167" s="207"/>
      <c r="K167" s="207"/>
      <c r="L167" s="207"/>
      <c r="M167" s="207"/>
      <c r="N167" s="207"/>
      <c r="O167" s="207"/>
      <c r="P167" s="209"/>
      <c r="Q167" s="23">
        <v>0</v>
      </c>
      <c r="R167" s="30" t="s">
        <v>20</v>
      </c>
      <c r="S167" s="42" t="s">
        <v>19</v>
      </c>
      <c r="T167" s="41">
        <f>BM8</f>
        <v>0</v>
      </c>
      <c r="U167" s="40">
        <f>IFERROR((W167/W170),0)</f>
        <v>0</v>
      </c>
      <c r="V167" s="28" t="s">
        <v>18</v>
      </c>
      <c r="W167" s="27">
        <f>BO8</f>
        <v>0</v>
      </c>
      <c r="X167" s="26" t="s">
        <v>17</v>
      </c>
      <c r="Y167" s="25" t="s">
        <v>6</v>
      </c>
      <c r="Z167" s="210" t="s">
        <v>14</v>
      </c>
      <c r="AA167" s="210"/>
      <c r="AB167" s="211">
        <v>0.67</v>
      </c>
      <c r="AC167" s="39" t="s">
        <v>16</v>
      </c>
      <c r="AD167" s="38">
        <f>SUM(AD159+AD161+AD163+AD165)</f>
        <v>0</v>
      </c>
      <c r="AQ167" s="15"/>
      <c r="AR167" s="15"/>
      <c r="AS167" s="15"/>
      <c r="AT167" s="15"/>
      <c r="AU167" s="15"/>
      <c r="AV167" s="15"/>
      <c r="CN167" s="10"/>
    </row>
    <row r="168" spans="1:92" ht="11.1" customHeight="1" x14ac:dyDescent="0.45">
      <c r="A168" s="202"/>
      <c r="B168" s="203"/>
      <c r="C168" s="179"/>
      <c r="D168" s="180"/>
      <c r="E168" s="184"/>
      <c r="F168" s="179"/>
      <c r="G168" s="180"/>
      <c r="H168" s="180"/>
      <c r="I168" s="180"/>
      <c r="J168" s="180"/>
      <c r="K168" s="180"/>
      <c r="L168" s="180"/>
      <c r="M168" s="180"/>
      <c r="N168" s="180"/>
      <c r="O168" s="180"/>
      <c r="P168" s="181"/>
      <c r="Q168" s="23">
        <v>0</v>
      </c>
      <c r="R168" s="37" t="s">
        <v>15</v>
      </c>
      <c r="S168" s="214" t="s">
        <v>14</v>
      </c>
      <c r="T168" s="215">
        <v>1.2</v>
      </c>
      <c r="U168" s="36">
        <v>0.1</v>
      </c>
      <c r="V168" s="28" t="s">
        <v>13</v>
      </c>
      <c r="W168" s="27">
        <f>W170*U168</f>
        <v>0</v>
      </c>
      <c r="X168" s="35" t="s">
        <v>12</v>
      </c>
      <c r="Y168" s="34" t="s">
        <v>11</v>
      </c>
      <c r="Z168" s="210"/>
      <c r="AA168" s="210"/>
      <c r="AB168" s="212"/>
      <c r="AC168" s="33" t="s">
        <v>10</v>
      </c>
      <c r="AD168" s="32">
        <f>SUM(BM11:BM12)+AB2</f>
        <v>0</v>
      </c>
      <c r="AQ168" s="31"/>
      <c r="AR168" s="31"/>
      <c r="AS168" s="31"/>
      <c r="AT168" s="31"/>
      <c r="AU168" s="31"/>
      <c r="AV168" s="31"/>
      <c r="CN168" s="10"/>
    </row>
    <row r="169" spans="1:92" ht="11.1" customHeight="1" x14ac:dyDescent="0.45">
      <c r="A169" s="202"/>
      <c r="B169" s="203"/>
      <c r="C169" s="179"/>
      <c r="D169" s="180"/>
      <c r="E169" s="184"/>
      <c r="F169" s="179"/>
      <c r="G169" s="180"/>
      <c r="H169" s="180"/>
      <c r="I169" s="180"/>
      <c r="J169" s="180"/>
      <c r="K169" s="180"/>
      <c r="L169" s="180"/>
      <c r="M169" s="180"/>
      <c r="N169" s="180"/>
      <c r="O169" s="180"/>
      <c r="P169" s="181"/>
      <c r="Q169" s="23">
        <v>0</v>
      </c>
      <c r="R169" s="30" t="s">
        <v>9</v>
      </c>
      <c r="S169" s="214"/>
      <c r="T169" s="216"/>
      <c r="U169" s="29">
        <f>IFERROR(W169/W170,0)</f>
        <v>0</v>
      </c>
      <c r="V169" s="28" t="s">
        <v>8</v>
      </c>
      <c r="W169" s="27">
        <f>W170-T167-W167-W168</f>
        <v>0</v>
      </c>
      <c r="X169" s="26" t="s">
        <v>7</v>
      </c>
      <c r="Y169" s="25" t="s">
        <v>6</v>
      </c>
      <c r="Z169" s="210"/>
      <c r="AA169" s="210"/>
      <c r="AB169" s="213"/>
      <c r="AC169" s="182" t="s">
        <v>4</v>
      </c>
      <c r="AD169" s="183">
        <f>AD167+AD168</f>
        <v>0</v>
      </c>
      <c r="AQ169" s="24"/>
      <c r="AR169" s="24"/>
      <c r="AS169" s="24"/>
      <c r="AT169" s="24"/>
      <c r="AU169" s="24"/>
      <c r="AV169" s="24"/>
      <c r="CN169" s="10"/>
    </row>
    <row r="170" spans="1:92" ht="11.1" customHeight="1" x14ac:dyDescent="0.45">
      <c r="A170" s="202"/>
      <c r="B170" s="203"/>
      <c r="C170" s="179"/>
      <c r="D170" s="180"/>
      <c r="E170" s="184"/>
      <c r="F170" s="179"/>
      <c r="G170" s="180"/>
      <c r="H170" s="180"/>
      <c r="I170" s="180"/>
      <c r="J170" s="180"/>
      <c r="K170" s="180"/>
      <c r="L170" s="180"/>
      <c r="M170" s="180"/>
      <c r="N170" s="180"/>
      <c r="O170" s="180"/>
      <c r="P170" s="181"/>
      <c r="Q170" s="23">
        <v>0</v>
      </c>
      <c r="R170" s="19" t="s">
        <v>5</v>
      </c>
      <c r="S170" s="185"/>
      <c r="T170" s="186"/>
      <c r="U170" s="189" t="s">
        <v>4</v>
      </c>
      <c r="V170" s="189"/>
      <c r="W170" s="22">
        <f>SUM(BM8:BN8)</f>
        <v>0</v>
      </c>
      <c r="X170" s="190" t="s">
        <v>3</v>
      </c>
      <c r="Y170" s="192">
        <f>IFERROR(AD167/B158,0)</f>
        <v>0</v>
      </c>
      <c r="Z170" s="194"/>
      <c r="AA170" s="195"/>
      <c r="AB170" s="196"/>
      <c r="AC170" s="182"/>
      <c r="AD170" s="183"/>
      <c r="AQ170" s="21"/>
      <c r="AR170" s="21"/>
      <c r="AS170" s="21"/>
      <c r="AT170" s="21"/>
      <c r="AU170" s="21"/>
      <c r="AV170" s="21"/>
      <c r="AX170" s="1"/>
      <c r="AY170" s="1"/>
      <c r="AZ170" s="1"/>
      <c r="BD170" s="1"/>
      <c r="CN170" s="10"/>
    </row>
    <row r="171" spans="1:92" ht="11.1" customHeight="1" thickBot="1" x14ac:dyDescent="0.5">
      <c r="A171" s="204"/>
      <c r="B171" s="205"/>
      <c r="C171" s="167"/>
      <c r="D171" s="168"/>
      <c r="E171" s="169"/>
      <c r="F171" s="167"/>
      <c r="G171" s="168"/>
      <c r="H171" s="168"/>
      <c r="I171" s="168"/>
      <c r="J171" s="168"/>
      <c r="K171" s="168"/>
      <c r="L171" s="168"/>
      <c r="M171" s="168"/>
      <c r="N171" s="168"/>
      <c r="O171" s="168"/>
      <c r="P171" s="170"/>
      <c r="Q171" s="20">
        <v>0</v>
      </c>
      <c r="R171" s="19" t="s">
        <v>2</v>
      </c>
      <c r="S171" s="187"/>
      <c r="T171" s="188"/>
      <c r="U171" s="171" t="s">
        <v>1</v>
      </c>
      <c r="V171" s="172"/>
      <c r="W171" s="18"/>
      <c r="X171" s="191"/>
      <c r="Y171" s="193"/>
      <c r="Z171" s="197"/>
      <c r="AA171" s="198"/>
      <c r="AB171" s="199"/>
      <c r="AC171" s="17" t="s">
        <v>0</v>
      </c>
      <c r="AD171" s="16"/>
      <c r="AQ171" s="15"/>
      <c r="AR171" s="15"/>
      <c r="AS171" s="15"/>
      <c r="AT171" s="15"/>
      <c r="AU171" s="15"/>
      <c r="AV171" s="15"/>
      <c r="AX171" s="1"/>
      <c r="AY171" s="1"/>
      <c r="AZ171" s="1"/>
      <c r="BD171" s="1"/>
      <c r="CN171" s="10"/>
    </row>
    <row r="172" spans="1:92" ht="11.1" customHeight="1" x14ac:dyDescent="0.45">
      <c r="AC172" s="8"/>
      <c r="AD172" s="8"/>
      <c r="AQ172" s="15"/>
      <c r="AR172" s="15"/>
      <c r="AS172" s="15"/>
      <c r="AT172" s="15"/>
      <c r="AU172" s="15"/>
      <c r="AV172" s="15"/>
      <c r="AX172" s="1"/>
      <c r="AY172" s="1"/>
      <c r="AZ172" s="1"/>
      <c r="BD172" s="1"/>
      <c r="CN172" s="10"/>
    </row>
    <row r="173" spans="1:92" ht="11.1" customHeight="1" x14ac:dyDescent="0.45">
      <c r="AC173" s="8"/>
      <c r="AD173" s="8"/>
      <c r="AX173" s="1"/>
      <c r="AY173" s="1"/>
      <c r="AZ173" s="1"/>
      <c r="BD173" s="1"/>
      <c r="CN173" s="10"/>
    </row>
    <row r="174" spans="1:92" ht="11.1" customHeight="1" x14ac:dyDescent="0.45">
      <c r="T174" s="14"/>
      <c r="U174" s="13"/>
      <c r="AB174" s="8"/>
      <c r="AC174" s="8"/>
      <c r="AD174" s="8"/>
      <c r="AE174" s="11"/>
      <c r="AF174" s="11"/>
      <c r="AG174" s="12"/>
      <c r="AH174" s="12"/>
      <c r="AI174" s="12"/>
      <c r="AJ174" s="12"/>
      <c r="AK174" s="12"/>
      <c r="AL174" s="12"/>
      <c r="AM174" s="12"/>
      <c r="AN174" s="12"/>
      <c r="AQ174" s="11"/>
      <c r="AR174" s="11"/>
      <c r="AS174" s="11"/>
      <c r="AT174" s="11"/>
      <c r="AU174" s="11"/>
      <c r="AV174" s="11"/>
      <c r="AX174" s="1"/>
      <c r="AY174" s="1"/>
      <c r="AZ174" s="1"/>
      <c r="BD174" s="1"/>
      <c r="CN174" s="10"/>
    </row>
    <row r="175" spans="1:92" ht="11.1" customHeight="1" x14ac:dyDescent="0.45">
      <c r="AB175" s="8"/>
      <c r="AC175" s="8"/>
      <c r="AD175" s="8"/>
      <c r="AX175" s="1"/>
      <c r="AY175" s="1"/>
      <c r="AZ175" s="1"/>
      <c r="BD175" s="1"/>
      <c r="CN175" s="10"/>
    </row>
    <row r="176" spans="1:92" ht="14.25" x14ac:dyDescent="0.45">
      <c r="A176"/>
      <c r="B176"/>
      <c r="C176"/>
      <c r="AB176" s="8"/>
      <c r="AC176" s="8"/>
      <c r="AD176" s="8"/>
      <c r="AX176" s="1"/>
      <c r="AY176" s="1"/>
      <c r="AZ176" s="1"/>
      <c r="BD176" s="1"/>
      <c r="CN176" s="10"/>
    </row>
    <row r="177" spans="1:92" ht="14.25" x14ac:dyDescent="0.45">
      <c r="A177"/>
      <c r="B177"/>
      <c r="C177"/>
      <c r="AB177" s="8"/>
      <c r="AC177" s="8"/>
      <c r="AD177" s="8"/>
      <c r="AE177" s="8"/>
      <c r="AF177" s="8"/>
      <c r="AG177" s="9"/>
      <c r="AH177" s="9"/>
      <c r="AI177" s="9"/>
      <c r="AJ177" s="9"/>
      <c r="AK177" s="9"/>
      <c r="AL177" s="9"/>
      <c r="AM177" s="9"/>
      <c r="AN177" s="9"/>
      <c r="AQ177" s="8"/>
      <c r="AR177" s="8"/>
      <c r="AS177" s="8"/>
      <c r="AT177" s="8"/>
      <c r="AU177" s="8"/>
      <c r="AV177" s="8"/>
      <c r="AX177" s="1"/>
      <c r="AY177" s="1"/>
      <c r="AZ177" s="1"/>
      <c r="BD177" s="1"/>
      <c r="CN177" s="10"/>
    </row>
    <row r="178" spans="1:92" ht="14.25" x14ac:dyDescent="0.45">
      <c r="A178"/>
      <c r="B178"/>
      <c r="C178"/>
      <c r="AB178" s="8"/>
      <c r="AC178" s="8"/>
      <c r="AD178" s="8"/>
      <c r="AE178" s="8"/>
      <c r="AF178" s="8"/>
      <c r="AG178" s="9"/>
      <c r="AH178" s="9"/>
      <c r="AI178" s="9"/>
      <c r="AJ178" s="9"/>
      <c r="AK178" s="9"/>
      <c r="AL178" s="9"/>
      <c r="AM178" s="9"/>
      <c r="AN178" s="9"/>
      <c r="AQ178" s="8"/>
      <c r="AR178" s="8"/>
      <c r="AS178" s="8"/>
      <c r="AT178" s="8"/>
      <c r="AU178" s="8"/>
      <c r="AV178" s="8"/>
      <c r="AX178" s="1"/>
      <c r="AY178" s="1"/>
      <c r="AZ178" s="1"/>
      <c r="BD178" s="1"/>
      <c r="CN178" s="10"/>
    </row>
    <row r="179" spans="1:92" ht="14.25" x14ac:dyDescent="0.45">
      <c r="A179"/>
      <c r="B179"/>
      <c r="C179"/>
      <c r="AB179" s="8"/>
      <c r="AE179" s="8"/>
      <c r="AF179" s="8"/>
      <c r="AG179" s="9"/>
      <c r="AH179" s="9"/>
      <c r="AI179" s="9"/>
      <c r="AJ179" s="9"/>
      <c r="AK179" s="9"/>
      <c r="AL179" s="9"/>
      <c r="AM179" s="9"/>
      <c r="AN179" s="9"/>
      <c r="AQ179" s="8"/>
      <c r="AR179" s="8"/>
      <c r="AS179" s="8"/>
      <c r="AT179" s="8"/>
      <c r="AU179" s="8"/>
      <c r="AV179" s="8"/>
      <c r="AX179" s="1"/>
      <c r="AY179" s="1"/>
      <c r="AZ179" s="1"/>
      <c r="BD179" s="1"/>
    </row>
    <row r="180" spans="1:92" ht="14.25" x14ac:dyDescent="0.45">
      <c r="A180"/>
      <c r="B180"/>
      <c r="C180"/>
      <c r="AB180" s="8"/>
      <c r="AC180" s="8"/>
      <c r="AD180" s="8"/>
      <c r="AE180" s="8"/>
      <c r="AF180" s="8"/>
      <c r="AG180" s="9"/>
      <c r="AH180" s="9"/>
      <c r="AI180" s="9"/>
      <c r="AJ180" s="9"/>
      <c r="AK180" s="9"/>
      <c r="AL180" s="9"/>
      <c r="AM180" s="9"/>
      <c r="AN180" s="9"/>
      <c r="AQ180" s="8"/>
      <c r="AR180" s="8"/>
      <c r="AS180" s="8"/>
      <c r="AT180" s="8"/>
      <c r="AU180" s="8"/>
      <c r="AV180" s="8"/>
      <c r="AX180" s="1"/>
      <c r="AY180" s="1"/>
      <c r="AZ180" s="1"/>
      <c r="BD180" s="1"/>
    </row>
    <row r="181" spans="1:92" ht="14.25" x14ac:dyDescent="0.45">
      <c r="A181"/>
      <c r="B181"/>
      <c r="C181"/>
      <c r="AE181" s="8"/>
      <c r="AF181" s="8"/>
      <c r="AG181" s="9"/>
      <c r="AH181" s="9"/>
      <c r="AI181" s="9"/>
      <c r="AJ181" s="9"/>
      <c r="AK181" s="9"/>
      <c r="AL181" s="9"/>
      <c r="AM181" s="9"/>
      <c r="AN181" s="9"/>
      <c r="AQ181" s="8"/>
      <c r="AR181" s="8"/>
      <c r="AS181" s="8"/>
      <c r="AT181" s="8"/>
      <c r="AU181" s="8"/>
      <c r="AV181" s="8"/>
      <c r="AX181" s="1"/>
      <c r="AY181" s="1"/>
      <c r="AZ181" s="1"/>
      <c r="BD181" s="1"/>
    </row>
    <row r="182" spans="1:92" ht="14.25" x14ac:dyDescent="0.45">
      <c r="A182"/>
      <c r="B182"/>
      <c r="C182"/>
      <c r="AE182" s="8"/>
      <c r="AF182" s="8"/>
      <c r="AG182" s="9"/>
      <c r="AH182" s="9"/>
      <c r="AI182" s="9"/>
      <c r="AJ182" s="9"/>
      <c r="AK182" s="9"/>
      <c r="AL182" s="9"/>
      <c r="AM182" s="9"/>
      <c r="AN182" s="9"/>
      <c r="AQ182" s="8"/>
      <c r="AR182" s="8"/>
      <c r="AS182" s="8"/>
      <c r="AT182" s="8"/>
      <c r="AU182" s="8"/>
      <c r="AV182" s="8"/>
    </row>
    <row r="183" spans="1:92" ht="14.25" x14ac:dyDescent="0.45">
      <c r="A183"/>
      <c r="B183"/>
      <c r="C183"/>
      <c r="AE183" s="8"/>
      <c r="AF183" s="8"/>
      <c r="AG183" s="9"/>
      <c r="AH183" s="9"/>
      <c r="AI183" s="9"/>
      <c r="AJ183" s="9"/>
      <c r="AK183" s="9"/>
      <c r="AL183" s="9"/>
      <c r="AM183" s="9"/>
      <c r="AN183" s="9"/>
      <c r="AQ183" s="8"/>
      <c r="AR183" s="8"/>
      <c r="AS183" s="8"/>
      <c r="AT183" s="8"/>
      <c r="AU183" s="8"/>
      <c r="AV183" s="8"/>
    </row>
    <row r="184" spans="1:92" ht="14.25" x14ac:dyDescent="0.45">
      <c r="A184"/>
      <c r="B184"/>
      <c r="C184"/>
      <c r="AE184" s="8"/>
      <c r="AF184" s="8"/>
      <c r="AG184" s="9"/>
      <c r="AH184" s="9"/>
      <c r="AI184" s="9"/>
      <c r="AJ184" s="9"/>
      <c r="AK184" s="9"/>
      <c r="AL184" s="9"/>
      <c r="AM184" s="9"/>
      <c r="AN184" s="9"/>
      <c r="AQ184" s="8"/>
      <c r="AR184" s="8"/>
      <c r="AS184" s="8"/>
      <c r="AT184" s="8"/>
      <c r="AU184" s="8"/>
      <c r="AV184" s="8"/>
    </row>
    <row r="185" spans="1:92" ht="14.25" x14ac:dyDescent="0.45">
      <c r="A185"/>
      <c r="B185"/>
      <c r="C185"/>
      <c r="AE185" s="7"/>
      <c r="AF185" s="7"/>
    </row>
    <row r="186" spans="1:92" ht="14.25" x14ac:dyDescent="0.45">
      <c r="A186"/>
      <c r="B186"/>
      <c r="C186"/>
    </row>
    <row r="187" spans="1:92" ht="14.25" x14ac:dyDescent="0.45">
      <c r="A187"/>
      <c r="B187"/>
      <c r="C187"/>
    </row>
    <row r="188" spans="1:92" ht="14.25" x14ac:dyDescent="0.45">
      <c r="A188"/>
      <c r="B188"/>
      <c r="C188"/>
    </row>
    <row r="189" spans="1:92" ht="14.25" x14ac:dyDescent="0.45">
      <c r="A189"/>
      <c r="B189"/>
      <c r="C189"/>
    </row>
    <row r="190" spans="1:92" ht="14.25" x14ac:dyDescent="0.45">
      <c r="A190"/>
      <c r="B190"/>
      <c r="C190"/>
    </row>
    <row r="191" spans="1:92" ht="14.25" x14ac:dyDescent="0.45">
      <c r="A191"/>
      <c r="B191"/>
      <c r="C191"/>
    </row>
    <row r="192" spans="1:92" ht="14.25" x14ac:dyDescent="0.45">
      <c r="A192"/>
      <c r="B192"/>
      <c r="C192"/>
    </row>
    <row r="193" spans="1:3" ht="14.25" x14ac:dyDescent="0.45">
      <c r="A193"/>
      <c r="B193"/>
      <c r="C193"/>
    </row>
    <row r="194" spans="1:3" ht="14.25" x14ac:dyDescent="0.45">
      <c r="A194"/>
      <c r="B194"/>
      <c r="C194"/>
    </row>
    <row r="195" spans="1:3" ht="14.25" x14ac:dyDescent="0.45">
      <c r="A195"/>
      <c r="B195"/>
      <c r="C195"/>
    </row>
  </sheetData>
  <sheetProtection selectLockedCells="1"/>
  <sortState xmlns:xlrd2="http://schemas.microsoft.com/office/spreadsheetml/2017/richdata2" ref="I7:I21">
    <sortCondition descending="1" ref="I7:I21"/>
  </sortState>
  <dataConsolidate topLabels="1">
    <dataRefs count="1">
      <dataRef ref="I7:K7" sheet="Page 2"/>
    </dataRefs>
  </dataConsolidate>
  <mergeCells count="723">
    <mergeCell ref="X1:Y1"/>
    <mergeCell ref="Z1:AA1"/>
    <mergeCell ref="AD1:AD6"/>
    <mergeCell ref="X2:Y2"/>
    <mergeCell ref="Z2:AA2"/>
    <mergeCell ref="A3:A4"/>
    <mergeCell ref="B3:B4"/>
    <mergeCell ref="C3:C4"/>
    <mergeCell ref="D3:E4"/>
    <mergeCell ref="F3:G4"/>
    <mergeCell ref="L1:M2"/>
    <mergeCell ref="N1:P2"/>
    <mergeCell ref="Q1:Q2"/>
    <mergeCell ref="R1:S2"/>
    <mergeCell ref="T1:T2"/>
    <mergeCell ref="U1:W2"/>
    <mergeCell ref="A1:A2"/>
    <mergeCell ref="B1:B2"/>
    <mergeCell ref="C1:C2"/>
    <mergeCell ref="D1:E2"/>
    <mergeCell ref="F1:G2"/>
    <mergeCell ref="H1:K2"/>
    <mergeCell ref="T3:T4"/>
    <mergeCell ref="U3:W4"/>
    <mergeCell ref="X3:AA3"/>
    <mergeCell ref="AB3:AC3"/>
    <mergeCell ref="X4:Y4"/>
    <mergeCell ref="A5:A6"/>
    <mergeCell ref="B5:E6"/>
    <mergeCell ref="F5:F6"/>
    <mergeCell ref="G5:G6"/>
    <mergeCell ref="H5:H6"/>
    <mergeCell ref="H3:I4"/>
    <mergeCell ref="J3:J4"/>
    <mergeCell ref="K3:L4"/>
    <mergeCell ref="M3:P4"/>
    <mergeCell ref="Q3:Q4"/>
    <mergeCell ref="R3:S4"/>
    <mergeCell ref="X5:Y6"/>
    <mergeCell ref="Z5:Z6"/>
    <mergeCell ref="AA5:AA6"/>
    <mergeCell ref="AB5:AC6"/>
    <mergeCell ref="B7:E7"/>
    <mergeCell ref="R7:S7"/>
    <mergeCell ref="T7:W7"/>
    <mergeCell ref="X7:Y7"/>
    <mergeCell ref="I5:I6"/>
    <mergeCell ref="J5:J6"/>
    <mergeCell ref="K5:K6"/>
    <mergeCell ref="M5:P5"/>
    <mergeCell ref="R5:S6"/>
    <mergeCell ref="T5:W6"/>
    <mergeCell ref="CQ10:CR10"/>
    <mergeCell ref="B11:E11"/>
    <mergeCell ref="R11:S11"/>
    <mergeCell ref="T11:W11"/>
    <mergeCell ref="X11:Y11"/>
    <mergeCell ref="B8:E8"/>
    <mergeCell ref="R8:S8"/>
    <mergeCell ref="T8:W8"/>
    <mergeCell ref="X8:Y8"/>
    <mergeCell ref="B9:E9"/>
    <mergeCell ref="R9:S9"/>
    <mergeCell ref="X9:Y9"/>
    <mergeCell ref="T9:W9"/>
    <mergeCell ref="T10:W10"/>
    <mergeCell ref="B12:E12"/>
    <mergeCell ref="R12:S12"/>
    <mergeCell ref="T12:W12"/>
    <mergeCell ref="X12:Y12"/>
    <mergeCell ref="B13:E13"/>
    <mergeCell ref="R13:S13"/>
    <mergeCell ref="T13:W13"/>
    <mergeCell ref="X13:Y13"/>
    <mergeCell ref="B10:E10"/>
    <mergeCell ref="R10:S10"/>
    <mergeCell ref="X10:Y10"/>
    <mergeCell ref="B16:E16"/>
    <mergeCell ref="R16:S16"/>
    <mergeCell ref="T16:W16"/>
    <mergeCell ref="X16:Y16"/>
    <mergeCell ref="B17:E17"/>
    <mergeCell ref="R17:S17"/>
    <mergeCell ref="T17:W17"/>
    <mergeCell ref="X17:Y17"/>
    <mergeCell ref="B14:E14"/>
    <mergeCell ref="R14:S14"/>
    <mergeCell ref="T14:W14"/>
    <mergeCell ref="X14:Y14"/>
    <mergeCell ref="B15:E15"/>
    <mergeCell ref="R15:S15"/>
    <mergeCell ref="T15:W15"/>
    <mergeCell ref="X15:Y15"/>
    <mergeCell ref="B20:E20"/>
    <mergeCell ref="R20:S20"/>
    <mergeCell ref="T20:W20"/>
    <mergeCell ref="X20:Y20"/>
    <mergeCell ref="B21:E21"/>
    <mergeCell ref="R21:S21"/>
    <mergeCell ref="T21:W21"/>
    <mergeCell ref="X21:Y21"/>
    <mergeCell ref="B18:E18"/>
    <mergeCell ref="R18:S18"/>
    <mergeCell ref="T18:W18"/>
    <mergeCell ref="X18:Y18"/>
    <mergeCell ref="B19:E19"/>
    <mergeCell ref="R19:S19"/>
    <mergeCell ref="T19:W19"/>
    <mergeCell ref="X19:Y19"/>
    <mergeCell ref="B24:E24"/>
    <mergeCell ref="R24:S24"/>
    <mergeCell ref="T24:W24"/>
    <mergeCell ref="X24:Y24"/>
    <mergeCell ref="B25:E25"/>
    <mergeCell ref="R25:S25"/>
    <mergeCell ref="T25:W25"/>
    <mergeCell ref="X25:Y25"/>
    <mergeCell ref="B22:E22"/>
    <mergeCell ref="R22:S22"/>
    <mergeCell ref="T22:W22"/>
    <mergeCell ref="X22:Y22"/>
    <mergeCell ref="B23:E23"/>
    <mergeCell ref="R23:S23"/>
    <mergeCell ref="T23:W23"/>
    <mergeCell ref="X23:Y23"/>
    <mergeCell ref="B28:E28"/>
    <mergeCell ref="R28:S28"/>
    <mergeCell ref="T28:W28"/>
    <mergeCell ref="X28:Y28"/>
    <mergeCell ref="B29:E29"/>
    <mergeCell ref="R29:S29"/>
    <mergeCell ref="T29:W29"/>
    <mergeCell ref="X29:Y29"/>
    <mergeCell ref="B26:E26"/>
    <mergeCell ref="R26:S26"/>
    <mergeCell ref="T26:W26"/>
    <mergeCell ref="X26:Y26"/>
    <mergeCell ref="B27:E27"/>
    <mergeCell ref="R27:S27"/>
    <mergeCell ref="T27:W27"/>
    <mergeCell ref="X27:Y27"/>
    <mergeCell ref="B32:E32"/>
    <mergeCell ref="R32:S32"/>
    <mergeCell ref="T32:W32"/>
    <mergeCell ref="X32:Y32"/>
    <mergeCell ref="B33:E33"/>
    <mergeCell ref="R33:S33"/>
    <mergeCell ref="T33:W33"/>
    <mergeCell ref="X33:Y33"/>
    <mergeCell ref="B30:E30"/>
    <mergeCell ref="R30:S30"/>
    <mergeCell ref="T30:W30"/>
    <mergeCell ref="X30:Y30"/>
    <mergeCell ref="B31:E31"/>
    <mergeCell ref="R31:S31"/>
    <mergeCell ref="T31:W31"/>
    <mergeCell ref="X31:Y31"/>
    <mergeCell ref="B36:E36"/>
    <mergeCell ref="R36:S36"/>
    <mergeCell ref="T36:W36"/>
    <mergeCell ref="X36:Y36"/>
    <mergeCell ref="B37:E37"/>
    <mergeCell ref="R37:S37"/>
    <mergeCell ref="T37:W37"/>
    <mergeCell ref="X37:Y37"/>
    <mergeCell ref="B34:E34"/>
    <mergeCell ref="R34:S34"/>
    <mergeCell ref="T34:W34"/>
    <mergeCell ref="X34:Y34"/>
    <mergeCell ref="B35:E35"/>
    <mergeCell ref="R35:S35"/>
    <mergeCell ref="T35:W35"/>
    <mergeCell ref="X35:Y35"/>
    <mergeCell ref="B40:E40"/>
    <mergeCell ref="R40:S40"/>
    <mergeCell ref="T40:W40"/>
    <mergeCell ref="X40:Y40"/>
    <mergeCell ref="B41:E41"/>
    <mergeCell ref="R41:S41"/>
    <mergeCell ref="T41:W41"/>
    <mergeCell ref="X41:Y41"/>
    <mergeCell ref="B38:E38"/>
    <mergeCell ref="R38:S38"/>
    <mergeCell ref="T38:W38"/>
    <mergeCell ref="X38:Y38"/>
    <mergeCell ref="B39:E39"/>
    <mergeCell ref="R39:S39"/>
    <mergeCell ref="T39:W39"/>
    <mergeCell ref="X39:Y39"/>
    <mergeCell ref="B44:E44"/>
    <mergeCell ref="R44:S44"/>
    <mergeCell ref="T44:W44"/>
    <mergeCell ref="X44:Y44"/>
    <mergeCell ref="B45:E45"/>
    <mergeCell ref="R45:S45"/>
    <mergeCell ref="T45:W45"/>
    <mergeCell ref="X45:Y45"/>
    <mergeCell ref="B42:E42"/>
    <mergeCell ref="R42:S42"/>
    <mergeCell ref="T42:W42"/>
    <mergeCell ref="X42:Y42"/>
    <mergeCell ref="B43:E43"/>
    <mergeCell ref="R43:S43"/>
    <mergeCell ref="T43:W43"/>
    <mergeCell ref="X43:Y43"/>
    <mergeCell ref="B48:E48"/>
    <mergeCell ref="R48:S48"/>
    <mergeCell ref="T48:W48"/>
    <mergeCell ref="X48:Y48"/>
    <mergeCell ref="B49:E49"/>
    <mergeCell ref="R49:S49"/>
    <mergeCell ref="T49:W49"/>
    <mergeCell ref="X49:Y49"/>
    <mergeCell ref="B46:E46"/>
    <mergeCell ref="R46:S46"/>
    <mergeCell ref="T46:W46"/>
    <mergeCell ref="X46:Y46"/>
    <mergeCell ref="B47:E47"/>
    <mergeCell ref="R47:S47"/>
    <mergeCell ref="T47:W47"/>
    <mergeCell ref="X47:Y47"/>
    <mergeCell ref="B52:E52"/>
    <mergeCell ref="R52:S52"/>
    <mergeCell ref="T52:W52"/>
    <mergeCell ref="X52:Y52"/>
    <mergeCell ref="B53:E53"/>
    <mergeCell ref="R53:S53"/>
    <mergeCell ref="T53:W53"/>
    <mergeCell ref="X53:Y53"/>
    <mergeCell ref="B50:E50"/>
    <mergeCell ref="R50:S50"/>
    <mergeCell ref="T50:W50"/>
    <mergeCell ref="X50:Y50"/>
    <mergeCell ref="B51:E51"/>
    <mergeCell ref="R51:S51"/>
    <mergeCell ref="T51:W51"/>
    <mergeCell ref="X51:Y51"/>
    <mergeCell ref="B56:E56"/>
    <mergeCell ref="R56:S56"/>
    <mergeCell ref="T56:W56"/>
    <mergeCell ref="X56:Y56"/>
    <mergeCell ref="B57:E57"/>
    <mergeCell ref="R57:S57"/>
    <mergeCell ref="T57:W57"/>
    <mergeCell ref="X57:Y57"/>
    <mergeCell ref="B54:E54"/>
    <mergeCell ref="R54:S54"/>
    <mergeCell ref="T54:W54"/>
    <mergeCell ref="X54:Y54"/>
    <mergeCell ref="B55:E55"/>
    <mergeCell ref="R55:S55"/>
    <mergeCell ref="T55:W55"/>
    <mergeCell ref="X55:Y55"/>
    <mergeCell ref="B60:E60"/>
    <mergeCell ref="R60:S60"/>
    <mergeCell ref="T60:W60"/>
    <mergeCell ref="X60:Y60"/>
    <mergeCell ref="B61:E61"/>
    <mergeCell ref="R61:S61"/>
    <mergeCell ref="T61:W61"/>
    <mergeCell ref="X61:Y61"/>
    <mergeCell ref="B58:E58"/>
    <mergeCell ref="R58:S58"/>
    <mergeCell ref="T58:W58"/>
    <mergeCell ref="X58:Y58"/>
    <mergeCell ref="B59:E59"/>
    <mergeCell ref="R59:S59"/>
    <mergeCell ref="T59:W59"/>
    <mergeCell ref="X59:Y59"/>
    <mergeCell ref="B64:E64"/>
    <mergeCell ref="R64:S64"/>
    <mergeCell ref="T64:W64"/>
    <mergeCell ref="X64:Y64"/>
    <mergeCell ref="B65:E65"/>
    <mergeCell ref="R65:S65"/>
    <mergeCell ref="T65:W65"/>
    <mergeCell ref="X65:Y65"/>
    <mergeCell ref="B62:E62"/>
    <mergeCell ref="R62:S62"/>
    <mergeCell ref="T62:W62"/>
    <mergeCell ref="X62:Y62"/>
    <mergeCell ref="B63:E63"/>
    <mergeCell ref="R63:S63"/>
    <mergeCell ref="T63:W63"/>
    <mergeCell ref="X63:Y63"/>
    <mergeCell ref="B68:E68"/>
    <mergeCell ref="R68:S68"/>
    <mergeCell ref="T68:W68"/>
    <mergeCell ref="X68:Y68"/>
    <mergeCell ref="B69:E69"/>
    <mergeCell ref="R69:S69"/>
    <mergeCell ref="T69:W69"/>
    <mergeCell ref="X69:Y69"/>
    <mergeCell ref="B66:E66"/>
    <mergeCell ref="R66:S66"/>
    <mergeCell ref="T66:W66"/>
    <mergeCell ref="X66:Y66"/>
    <mergeCell ref="B67:E67"/>
    <mergeCell ref="R67:S67"/>
    <mergeCell ref="T67:W67"/>
    <mergeCell ref="X67:Y67"/>
    <mergeCell ref="B72:E72"/>
    <mergeCell ref="R72:S72"/>
    <mergeCell ref="T72:W72"/>
    <mergeCell ref="X72:Y72"/>
    <mergeCell ref="B73:E73"/>
    <mergeCell ref="R73:S73"/>
    <mergeCell ref="T73:W73"/>
    <mergeCell ref="X73:Y73"/>
    <mergeCell ref="B70:E70"/>
    <mergeCell ref="R70:S70"/>
    <mergeCell ref="T70:W70"/>
    <mergeCell ref="X70:Y70"/>
    <mergeCell ref="B71:E71"/>
    <mergeCell ref="R71:S71"/>
    <mergeCell ref="T71:W71"/>
    <mergeCell ref="X71:Y71"/>
    <mergeCell ref="B76:E76"/>
    <mergeCell ref="R76:S76"/>
    <mergeCell ref="T76:W76"/>
    <mergeCell ref="X76:Y76"/>
    <mergeCell ref="B77:E77"/>
    <mergeCell ref="R77:S77"/>
    <mergeCell ref="T77:W77"/>
    <mergeCell ref="X77:Y77"/>
    <mergeCell ref="B74:E74"/>
    <mergeCell ref="R74:S74"/>
    <mergeCell ref="T74:W74"/>
    <mergeCell ref="X74:Y74"/>
    <mergeCell ref="B75:E75"/>
    <mergeCell ref="R75:S75"/>
    <mergeCell ref="T75:W75"/>
    <mergeCell ref="X75:Y75"/>
    <mergeCell ref="B80:E80"/>
    <mergeCell ref="R80:S80"/>
    <mergeCell ref="T80:W80"/>
    <mergeCell ref="X80:Y80"/>
    <mergeCell ref="B81:E81"/>
    <mergeCell ref="R81:S81"/>
    <mergeCell ref="T81:W81"/>
    <mergeCell ref="X81:Y81"/>
    <mergeCell ref="B78:E78"/>
    <mergeCell ref="R78:S78"/>
    <mergeCell ref="T78:W78"/>
    <mergeCell ref="X78:Y78"/>
    <mergeCell ref="B79:E79"/>
    <mergeCell ref="R79:S79"/>
    <mergeCell ref="T79:W79"/>
    <mergeCell ref="X79:Y79"/>
    <mergeCell ref="B84:E84"/>
    <mergeCell ref="R84:S84"/>
    <mergeCell ref="T84:W84"/>
    <mergeCell ref="X84:Y84"/>
    <mergeCell ref="B85:E85"/>
    <mergeCell ref="R85:S85"/>
    <mergeCell ref="T85:W85"/>
    <mergeCell ref="X85:Y85"/>
    <mergeCell ref="B82:E82"/>
    <mergeCell ref="R82:S82"/>
    <mergeCell ref="T82:W82"/>
    <mergeCell ref="X82:Y82"/>
    <mergeCell ref="B83:E83"/>
    <mergeCell ref="R83:S83"/>
    <mergeCell ref="T83:W83"/>
    <mergeCell ref="X83:Y83"/>
    <mergeCell ref="B88:E88"/>
    <mergeCell ref="R88:S88"/>
    <mergeCell ref="T88:W88"/>
    <mergeCell ref="X88:Y88"/>
    <mergeCell ref="B89:E89"/>
    <mergeCell ref="R89:S89"/>
    <mergeCell ref="T89:W89"/>
    <mergeCell ref="X89:Y89"/>
    <mergeCell ref="B86:E86"/>
    <mergeCell ref="R86:S86"/>
    <mergeCell ref="T86:W86"/>
    <mergeCell ref="X86:Y86"/>
    <mergeCell ref="B87:E87"/>
    <mergeCell ref="R87:S87"/>
    <mergeCell ref="T87:W87"/>
    <mergeCell ref="X87:Y87"/>
    <mergeCell ref="B92:E92"/>
    <mergeCell ref="R92:S92"/>
    <mergeCell ref="T92:W92"/>
    <mergeCell ref="X92:Y92"/>
    <mergeCell ref="B93:E93"/>
    <mergeCell ref="R93:S93"/>
    <mergeCell ref="T93:W93"/>
    <mergeCell ref="X93:Y93"/>
    <mergeCell ref="B90:E90"/>
    <mergeCell ref="R90:S90"/>
    <mergeCell ref="T90:W90"/>
    <mergeCell ref="X90:Y90"/>
    <mergeCell ref="B91:E91"/>
    <mergeCell ref="R91:S91"/>
    <mergeCell ref="T91:W91"/>
    <mergeCell ref="X91:Y91"/>
    <mergeCell ref="B96:E96"/>
    <mergeCell ref="R96:S96"/>
    <mergeCell ref="T96:W96"/>
    <mergeCell ref="X96:Y96"/>
    <mergeCell ref="B97:E97"/>
    <mergeCell ref="R97:S97"/>
    <mergeCell ref="T97:W97"/>
    <mergeCell ref="X97:Y97"/>
    <mergeCell ref="B94:E94"/>
    <mergeCell ref="R94:S94"/>
    <mergeCell ref="T94:W94"/>
    <mergeCell ref="X94:Y94"/>
    <mergeCell ref="B95:E95"/>
    <mergeCell ref="R95:S95"/>
    <mergeCell ref="T95:W95"/>
    <mergeCell ref="X95:Y95"/>
    <mergeCell ref="B100:E100"/>
    <mergeCell ref="R100:S100"/>
    <mergeCell ref="T100:W100"/>
    <mergeCell ref="X100:Y100"/>
    <mergeCell ref="B101:E101"/>
    <mergeCell ref="R101:S101"/>
    <mergeCell ref="T101:W101"/>
    <mergeCell ref="X101:Y101"/>
    <mergeCell ref="B98:E98"/>
    <mergeCell ref="R98:S98"/>
    <mergeCell ref="T98:W98"/>
    <mergeCell ref="X98:Y98"/>
    <mergeCell ref="B99:E99"/>
    <mergeCell ref="R99:S99"/>
    <mergeCell ref="T99:W99"/>
    <mergeCell ref="X99:Y99"/>
    <mergeCell ref="B104:E104"/>
    <mergeCell ref="R104:S104"/>
    <mergeCell ref="T104:W104"/>
    <mergeCell ref="X104:Y104"/>
    <mergeCell ref="B105:E105"/>
    <mergeCell ref="R105:S105"/>
    <mergeCell ref="T105:W105"/>
    <mergeCell ref="X105:Y105"/>
    <mergeCell ref="B102:E102"/>
    <mergeCell ref="R102:S102"/>
    <mergeCell ref="T102:W102"/>
    <mergeCell ref="X102:Y102"/>
    <mergeCell ref="B103:E103"/>
    <mergeCell ref="R103:S103"/>
    <mergeCell ref="T103:W103"/>
    <mergeCell ref="X103:Y103"/>
    <mergeCell ref="B108:E108"/>
    <mergeCell ref="R108:S108"/>
    <mergeCell ref="T108:W108"/>
    <mergeCell ref="X108:Y108"/>
    <mergeCell ref="B109:E109"/>
    <mergeCell ref="R109:S109"/>
    <mergeCell ref="T109:W109"/>
    <mergeCell ref="X109:Y109"/>
    <mergeCell ref="B106:E106"/>
    <mergeCell ref="R106:S106"/>
    <mergeCell ref="T106:W106"/>
    <mergeCell ref="X106:Y106"/>
    <mergeCell ref="B107:E107"/>
    <mergeCell ref="R107:S107"/>
    <mergeCell ref="T107:W107"/>
    <mergeCell ref="X107:Y107"/>
    <mergeCell ref="B112:E112"/>
    <mergeCell ref="R112:S112"/>
    <mergeCell ref="T112:W112"/>
    <mergeCell ref="X112:Y112"/>
    <mergeCell ref="B113:E113"/>
    <mergeCell ref="R113:S113"/>
    <mergeCell ref="T113:W113"/>
    <mergeCell ref="X113:Y113"/>
    <mergeCell ref="B110:E110"/>
    <mergeCell ref="R110:S110"/>
    <mergeCell ref="T110:W110"/>
    <mergeCell ref="X110:Y110"/>
    <mergeCell ref="B111:E111"/>
    <mergeCell ref="R111:S111"/>
    <mergeCell ref="T111:W111"/>
    <mergeCell ref="X111:Y111"/>
    <mergeCell ref="B116:E116"/>
    <mergeCell ref="R116:S116"/>
    <mergeCell ref="T116:W116"/>
    <mergeCell ref="X116:Y116"/>
    <mergeCell ref="B117:E117"/>
    <mergeCell ref="R117:S117"/>
    <mergeCell ref="T117:W117"/>
    <mergeCell ref="X117:Y117"/>
    <mergeCell ref="B114:E114"/>
    <mergeCell ref="R114:S114"/>
    <mergeCell ref="T114:W114"/>
    <mergeCell ref="X114:Y114"/>
    <mergeCell ref="B115:E115"/>
    <mergeCell ref="R115:S115"/>
    <mergeCell ref="T115:W115"/>
    <mergeCell ref="X115:Y115"/>
    <mergeCell ref="B120:E120"/>
    <mergeCell ref="R120:S120"/>
    <mergeCell ref="T120:W120"/>
    <mergeCell ref="X120:Y120"/>
    <mergeCell ref="B121:E121"/>
    <mergeCell ref="R121:S121"/>
    <mergeCell ref="T121:W121"/>
    <mergeCell ref="X121:Y121"/>
    <mergeCell ref="B118:E118"/>
    <mergeCell ref="R118:S118"/>
    <mergeCell ref="T118:W118"/>
    <mergeCell ref="X118:Y118"/>
    <mergeCell ref="B119:E119"/>
    <mergeCell ref="R119:S119"/>
    <mergeCell ref="T119:W119"/>
    <mergeCell ref="X119:Y119"/>
    <mergeCell ref="B124:E124"/>
    <mergeCell ref="R124:S124"/>
    <mergeCell ref="T124:W124"/>
    <mergeCell ref="X124:Y124"/>
    <mergeCell ref="B125:E125"/>
    <mergeCell ref="R125:S125"/>
    <mergeCell ref="T125:W125"/>
    <mergeCell ref="X125:Y125"/>
    <mergeCell ref="B122:E122"/>
    <mergeCell ref="R122:S122"/>
    <mergeCell ref="T122:W122"/>
    <mergeCell ref="X122:Y122"/>
    <mergeCell ref="B123:E123"/>
    <mergeCell ref="R123:S123"/>
    <mergeCell ref="T123:W123"/>
    <mergeCell ref="X123:Y123"/>
    <mergeCell ref="B128:E128"/>
    <mergeCell ref="R128:S128"/>
    <mergeCell ref="T128:W128"/>
    <mergeCell ref="X128:Y128"/>
    <mergeCell ref="B129:E129"/>
    <mergeCell ref="R129:S129"/>
    <mergeCell ref="T129:W129"/>
    <mergeCell ref="X129:Y129"/>
    <mergeCell ref="B126:E126"/>
    <mergeCell ref="R126:S126"/>
    <mergeCell ref="T126:W126"/>
    <mergeCell ref="X126:Y126"/>
    <mergeCell ref="B127:E127"/>
    <mergeCell ref="R127:S127"/>
    <mergeCell ref="T127:W127"/>
    <mergeCell ref="X127:Y127"/>
    <mergeCell ref="B132:E132"/>
    <mergeCell ref="R132:S132"/>
    <mergeCell ref="T132:W132"/>
    <mergeCell ref="X132:Y132"/>
    <mergeCell ref="B133:E133"/>
    <mergeCell ref="R133:S133"/>
    <mergeCell ref="T133:W133"/>
    <mergeCell ref="X133:Y133"/>
    <mergeCell ref="B130:E130"/>
    <mergeCell ref="R130:S130"/>
    <mergeCell ref="T130:W130"/>
    <mergeCell ref="X130:Y130"/>
    <mergeCell ref="B131:E131"/>
    <mergeCell ref="R131:S131"/>
    <mergeCell ref="T131:W131"/>
    <mergeCell ref="X131:Y131"/>
    <mergeCell ref="B136:E136"/>
    <mergeCell ref="R136:S136"/>
    <mergeCell ref="T136:W136"/>
    <mergeCell ref="X136:Y136"/>
    <mergeCell ref="B137:E137"/>
    <mergeCell ref="R137:S137"/>
    <mergeCell ref="T137:W137"/>
    <mergeCell ref="X137:Y137"/>
    <mergeCell ref="B134:E134"/>
    <mergeCell ref="R134:S134"/>
    <mergeCell ref="T134:W134"/>
    <mergeCell ref="X134:Y134"/>
    <mergeCell ref="B135:E135"/>
    <mergeCell ref="R135:S135"/>
    <mergeCell ref="T135:W135"/>
    <mergeCell ref="X135:Y135"/>
    <mergeCell ref="B140:E140"/>
    <mergeCell ref="R140:S140"/>
    <mergeCell ref="T140:W140"/>
    <mergeCell ref="X140:Y140"/>
    <mergeCell ref="B141:E141"/>
    <mergeCell ref="R141:S141"/>
    <mergeCell ref="T141:W141"/>
    <mergeCell ref="X141:Y141"/>
    <mergeCell ref="B138:E138"/>
    <mergeCell ref="R138:S138"/>
    <mergeCell ref="T138:W138"/>
    <mergeCell ref="X138:Y138"/>
    <mergeCell ref="B139:E139"/>
    <mergeCell ref="R139:S139"/>
    <mergeCell ref="T139:W139"/>
    <mergeCell ref="X139:Y139"/>
    <mergeCell ref="B144:E144"/>
    <mergeCell ref="R144:S144"/>
    <mergeCell ref="T144:W144"/>
    <mergeCell ref="X144:Y144"/>
    <mergeCell ref="B145:E145"/>
    <mergeCell ref="R145:S145"/>
    <mergeCell ref="T145:W145"/>
    <mergeCell ref="X145:Y145"/>
    <mergeCell ref="B142:E142"/>
    <mergeCell ref="R142:S142"/>
    <mergeCell ref="T142:W142"/>
    <mergeCell ref="X142:Y142"/>
    <mergeCell ref="B143:E143"/>
    <mergeCell ref="R143:S143"/>
    <mergeCell ref="T143:W143"/>
    <mergeCell ref="X143:Y143"/>
    <mergeCell ref="B148:E148"/>
    <mergeCell ref="R148:S148"/>
    <mergeCell ref="T148:W148"/>
    <mergeCell ref="X148:Y148"/>
    <mergeCell ref="B149:E149"/>
    <mergeCell ref="R149:S149"/>
    <mergeCell ref="T149:W149"/>
    <mergeCell ref="X149:Y149"/>
    <mergeCell ref="B146:E146"/>
    <mergeCell ref="R146:S146"/>
    <mergeCell ref="T146:W146"/>
    <mergeCell ref="X146:Y146"/>
    <mergeCell ref="B147:E147"/>
    <mergeCell ref="R147:S147"/>
    <mergeCell ref="T147:W147"/>
    <mergeCell ref="X147:Y147"/>
    <mergeCell ref="B152:E152"/>
    <mergeCell ref="R152:S152"/>
    <mergeCell ref="T152:W152"/>
    <mergeCell ref="X152:Y152"/>
    <mergeCell ref="B153:E153"/>
    <mergeCell ref="R153:S153"/>
    <mergeCell ref="T153:W153"/>
    <mergeCell ref="X153:Y153"/>
    <mergeCell ref="B150:E150"/>
    <mergeCell ref="R150:S150"/>
    <mergeCell ref="T150:W150"/>
    <mergeCell ref="X150:Y150"/>
    <mergeCell ref="B151:E151"/>
    <mergeCell ref="R151:S151"/>
    <mergeCell ref="T151:W151"/>
    <mergeCell ref="X151:Y151"/>
    <mergeCell ref="B156:E156"/>
    <mergeCell ref="R156:S156"/>
    <mergeCell ref="T156:W156"/>
    <mergeCell ref="X156:Y156"/>
    <mergeCell ref="B157:E157"/>
    <mergeCell ref="R157:S157"/>
    <mergeCell ref="T157:W157"/>
    <mergeCell ref="X157:Y157"/>
    <mergeCell ref="B154:E154"/>
    <mergeCell ref="R154:S154"/>
    <mergeCell ref="T154:W154"/>
    <mergeCell ref="X154:Y154"/>
    <mergeCell ref="B155:E155"/>
    <mergeCell ref="R155:S155"/>
    <mergeCell ref="T155:W155"/>
    <mergeCell ref="X155:Y155"/>
    <mergeCell ref="T158:U158"/>
    <mergeCell ref="V158:W158"/>
    <mergeCell ref="X158:Y158"/>
    <mergeCell ref="Z158:AA158"/>
    <mergeCell ref="A159:W159"/>
    <mergeCell ref="Z159:AA160"/>
    <mergeCell ref="C158:D158"/>
    <mergeCell ref="F158:H158"/>
    <mergeCell ref="J158:K158"/>
    <mergeCell ref="M158:N158"/>
    <mergeCell ref="O158:P158"/>
    <mergeCell ref="Q158:R158"/>
    <mergeCell ref="F162:P162"/>
    <mergeCell ref="AB159:AB160"/>
    <mergeCell ref="AC159:AC160"/>
    <mergeCell ref="AD159:AD160"/>
    <mergeCell ref="A160:B164"/>
    <mergeCell ref="C160:E160"/>
    <mergeCell ref="F160:P160"/>
    <mergeCell ref="C161:E161"/>
    <mergeCell ref="F161:P161"/>
    <mergeCell ref="S161:S162"/>
    <mergeCell ref="T161:T162"/>
    <mergeCell ref="AE165:AE166"/>
    <mergeCell ref="AB163:AB164"/>
    <mergeCell ref="AC163:AC164"/>
    <mergeCell ref="AD163:AD164"/>
    <mergeCell ref="AE163:AE164"/>
    <mergeCell ref="C164:E164"/>
    <mergeCell ref="F164:P164"/>
    <mergeCell ref="U164:V164"/>
    <mergeCell ref="C163:E163"/>
    <mergeCell ref="F163:P163"/>
    <mergeCell ref="S163:T164"/>
    <mergeCell ref="U163:V163"/>
    <mergeCell ref="Y163:Y164"/>
    <mergeCell ref="Z163:AA164"/>
    <mergeCell ref="A167:B171"/>
    <mergeCell ref="C167:E167"/>
    <mergeCell ref="F167:P167"/>
    <mergeCell ref="Z167:AA169"/>
    <mergeCell ref="AB167:AB169"/>
    <mergeCell ref="C168:E168"/>
    <mergeCell ref="F168:P168"/>
    <mergeCell ref="S168:S169"/>
    <mergeCell ref="T168:T169"/>
    <mergeCell ref="C169:E169"/>
    <mergeCell ref="C171:E171"/>
    <mergeCell ref="F171:P171"/>
    <mergeCell ref="U171:V171"/>
    <mergeCell ref="F169:P169"/>
    <mergeCell ref="AC169:AC170"/>
    <mergeCell ref="AD169:AD170"/>
    <mergeCell ref="C170:E170"/>
    <mergeCell ref="F170:P170"/>
    <mergeCell ref="S170:T171"/>
    <mergeCell ref="U170:V170"/>
    <mergeCell ref="X170:X171"/>
    <mergeCell ref="Y170:Y171"/>
    <mergeCell ref="Z170:AB171"/>
    <mergeCell ref="A165:W166"/>
    <mergeCell ref="Z165:AA166"/>
    <mergeCell ref="AB165:AB166"/>
    <mergeCell ref="AC165:AC166"/>
    <mergeCell ref="AD165:AD166"/>
    <mergeCell ref="Z161:AA162"/>
    <mergeCell ref="AB161:AB162"/>
    <mergeCell ref="AC161:AC162"/>
    <mergeCell ref="AD161:AD162"/>
    <mergeCell ref="C162:E162"/>
  </mergeCells>
  <conditionalFormatting sqref="F162:P162">
    <cfRule type="duplicateValues" dxfId="17" priority="1"/>
  </conditionalFormatting>
  <conditionalFormatting sqref="U162">
    <cfRule type="colorScale" priority="9">
      <colorScale>
        <cfvo type="num" val="0.13"/>
        <cfvo type="max"/>
        <color rgb="FFFF0000"/>
        <color rgb="FF98FB33"/>
      </colorScale>
    </cfRule>
  </conditionalFormatting>
  <conditionalFormatting sqref="U169">
    <cfRule type="colorScale" priority="8">
      <colorScale>
        <cfvo type="num" val="0.13"/>
        <cfvo type="max"/>
        <color rgb="FFFF0000"/>
        <color rgb="FF98FB33"/>
      </colorScale>
    </cfRule>
  </conditionalFormatting>
  <conditionalFormatting sqref="W164">
    <cfRule type="expression" dxfId="16" priority="6">
      <formula>($W$164/$W$163)&lt;=0.98</formula>
    </cfRule>
    <cfRule type="expression" dxfId="15" priority="7">
      <formula>($W$164/$W$163)&gt;=1.02</formula>
    </cfRule>
  </conditionalFormatting>
  <conditionalFormatting sqref="W171">
    <cfRule type="expression" dxfId="14" priority="4">
      <formula>($W$171/$W$170)&lt;=0.98</formula>
    </cfRule>
    <cfRule type="expression" dxfId="13" priority="5">
      <formula>($W$171/$W$170)&gt;=1.02</formula>
    </cfRule>
  </conditionalFormatting>
  <conditionalFormatting sqref="AB165">
    <cfRule type="colorScale" priority="10">
      <colorScale>
        <cfvo type="num" val="0.13"/>
        <cfvo type="max"/>
        <color rgb="FFFF0000"/>
        <color rgb="FF98FB33"/>
      </colorScale>
    </cfRule>
  </conditionalFormatting>
  <conditionalFormatting sqref="AD158">
    <cfRule type="colorScale" priority="11">
      <colorScale>
        <cfvo type="num" val="80"/>
        <cfvo type="max"/>
        <color rgb="FFFF0000"/>
        <color rgb="FFFFE5D5"/>
      </colorScale>
    </cfRule>
  </conditionalFormatting>
  <conditionalFormatting sqref="AD171">
    <cfRule type="expression" dxfId="12" priority="2">
      <formula>($AD$171/$AD$169)&gt;=1.02</formula>
    </cfRule>
    <cfRule type="expression" dxfId="11" priority="3">
      <formula>($AD$171/$AD$169)&lt;=0.98</formula>
    </cfRule>
  </conditionalFormatting>
  <dataValidations count="18">
    <dataValidation type="list" errorStyle="warning" allowBlank="1" showInputMessage="1" showErrorMessage="1" sqref="U1" xr:uid="{026CC45B-31EF-4BAB-BCD4-EEB6BCF4E0AA}">
      <formula1>$BQ$7:$BQ$15</formula1>
    </dataValidation>
    <dataValidation type="list" errorStyle="warning" allowBlank="1" showInputMessage="1" showErrorMessage="1" sqref="K3" xr:uid="{EAA19DAC-6072-41A3-AF14-C3810581A908}">
      <formula1>$BU$7:$BU$11</formula1>
    </dataValidation>
    <dataValidation type="list" errorStyle="warning" allowBlank="1" showInputMessage="1" showErrorMessage="1" sqref="U3" xr:uid="{D664A129-0712-4551-9511-4182B2A54E06}">
      <formula1>$BW$7:$BW$30</formula1>
    </dataValidation>
    <dataValidation type="list" errorStyle="warning" allowBlank="1" showInputMessage="1" showErrorMessage="1" sqref="H3" xr:uid="{9060C80B-BBB4-4DC4-830F-F3882673563C}">
      <formula1>$BT$7:$BT$12</formula1>
    </dataValidation>
    <dataValidation type="list" errorStyle="warning" allowBlank="1" showInputMessage="1" showErrorMessage="1" sqref="B3" xr:uid="{91EEEAED-759A-4424-AC1E-923FFD16B032}">
      <formula1>$BR$7:$BR$13</formula1>
    </dataValidation>
    <dataValidation type="list" errorStyle="warning" allowBlank="1" showInputMessage="1" showErrorMessage="1" sqref="D3" xr:uid="{37C61B15-6224-4ADF-90B2-10534A19A304}">
      <formula1>$BS$7:$BS$9</formula1>
    </dataValidation>
    <dataValidation type="list" errorStyle="warning" allowBlank="1" showInputMessage="1" showErrorMessage="1" sqref="R3" xr:uid="{25DB4C14-BBA8-4C78-848F-6B1A8F9B5D0C}">
      <formula1>$BV$7:$BV$11</formula1>
    </dataValidation>
    <dataValidation type="list" errorStyle="information" allowBlank="1" showInputMessage="1" sqref="AB4 Q164 Q171" xr:uid="{517ECE4B-C84E-407F-B7A3-ED99AB51FF7C}">
      <formula1>$CA$7:$CA$26</formula1>
    </dataValidation>
    <dataValidation type="list" errorStyle="warning" allowBlank="1" showErrorMessage="1" sqref="F7:F157" xr:uid="{53FDF4CE-45DB-4C11-A1B7-2395CCBF8967}">
      <formula1>$BX$7:$BX$14</formula1>
    </dataValidation>
    <dataValidation type="list" errorStyle="warning" allowBlank="1" showErrorMessage="1" sqref="G7:G157" xr:uid="{29858155-29A9-44F0-8B8F-AAE5B0EAB6B1}">
      <formula1>$BY$7:$BY$18</formula1>
    </dataValidation>
    <dataValidation type="list" showInputMessage="1" showErrorMessage="1" sqref="AA7:AA157" xr:uid="{C42CEF94-63EB-415F-8802-997E9E7C5BB3}">
      <formula1>$CE$7:$CE$11</formula1>
    </dataValidation>
    <dataValidation type="list" allowBlank="1" showInputMessage="1" showErrorMessage="1" sqref="H7:H157" xr:uid="{00EEACEB-8E94-4AAE-BE56-B6B9A7BE2CB1}">
      <formula1>$BZ$7:$BZ$7</formula1>
    </dataValidation>
    <dataValidation type="list" errorStyle="warning" allowBlank="1" showInputMessage="1" sqref="AB7:AB157" xr:uid="{DFD3821A-1D56-4024-8CFF-01C043BBB3BB}">
      <formula1>$CB$7:$CB$14</formula1>
    </dataValidation>
    <dataValidation type="list" allowBlank="1" showInputMessage="1" showErrorMessage="1" sqref="X2:Y2" xr:uid="{5077024E-E948-4B2E-9A8A-45A1CD3FE1A3}">
      <formula1>$CH$7:$CH$8</formula1>
    </dataValidation>
    <dataValidation type="list" errorStyle="warning" allowBlank="1" showInputMessage="1" sqref="AC2" xr:uid="{CDC03311-29D6-4CE0-9B51-8BA143F7C450}">
      <formula1>$CA$7:$CA$26</formula1>
    </dataValidation>
    <dataValidation type="list" allowBlank="1" showInputMessage="1" showErrorMessage="1" sqref="Z2:AA2" xr:uid="{70C3D332-8F4D-4D6C-B6D9-4C361EC43101}">
      <formula1>$CI$7:$CI$9</formula1>
    </dataValidation>
    <dataValidation type="list" showInputMessage="1" showErrorMessage="1" sqref="Z7:Z157" xr:uid="{2268E2CC-46B2-4486-81EF-68ACE0D6ACEF}">
      <formula1>$CC$7:$CC$11</formula1>
    </dataValidation>
    <dataValidation type="list" errorStyle="warning" allowBlank="1" showErrorMessage="1" sqref="R7:S157" xr:uid="{99D47CC7-C9AD-43B5-95F1-BB572C51ABD6}">
      <formula1>$CK$7:$CK$154</formula1>
    </dataValidation>
  </dataValidations>
  <pageMargins left="0.7" right="0.7" top="0.75" bottom="0.75" header="0.3" footer="0.3"/>
  <pageSetup pageOrder="overThenDown" orientation="portrait" r:id="rId1"/>
  <legacyDrawing r:id="rId2"/>
  <tableParts count="1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F0B83-8F25-46CC-9CAF-CEA764C97E34}">
  <dimension ref="A1:CR195"/>
  <sheetViews>
    <sheetView topLeftCell="A14" zoomScaleNormal="100" workbookViewId="0">
      <selection activeCell="AD172" sqref="AD172"/>
    </sheetView>
  </sheetViews>
  <sheetFormatPr defaultColWidth="11.3984375" defaultRowHeight="11.1" customHeight="1" x14ac:dyDescent="0.45"/>
  <cols>
    <col min="1" max="1" width="9" style="1" bestFit="1" customWidth="1"/>
    <col min="2" max="2" width="9.265625" style="1" bestFit="1" customWidth="1"/>
    <col min="3" max="3" width="14.19921875" style="1" bestFit="1" customWidth="1"/>
    <col min="4" max="4" width="2.265625" style="1" customWidth="1"/>
    <col min="5" max="5" width="5.1328125" style="1" customWidth="1"/>
    <col min="6" max="6" width="4.33203125" style="1" customWidth="1"/>
    <col min="7" max="7" width="4.46484375" style="1" customWidth="1"/>
    <col min="8" max="8" width="6.19921875" style="1" bestFit="1" customWidth="1"/>
    <col min="9" max="10" width="5.3984375" style="1" customWidth="1"/>
    <col min="11" max="11" width="6.19921875" style="1" customWidth="1"/>
    <col min="12" max="12" width="7" style="1" bestFit="1" customWidth="1"/>
    <col min="13" max="15" width="5.6640625" style="1" customWidth="1"/>
    <col min="16" max="16" width="4.73046875" style="1" customWidth="1"/>
    <col min="17" max="17" width="8.33203125" style="1" bestFit="1" customWidth="1"/>
    <col min="18" max="18" width="9.3984375" style="1" customWidth="1"/>
    <col min="19" max="19" width="8.59765625" style="1" customWidth="1"/>
    <col min="20" max="20" width="9.1328125" style="1" customWidth="1"/>
    <col min="21" max="21" width="7.265625" style="1" customWidth="1"/>
    <col min="22" max="22" width="7" style="1" customWidth="1"/>
    <col min="23" max="23" width="7.3984375" style="1" customWidth="1"/>
    <col min="24" max="24" width="8.33203125" style="1" customWidth="1"/>
    <col min="25" max="25" width="9.6640625" style="1" customWidth="1"/>
    <col min="26" max="27" width="6.73046875" style="1" customWidth="1"/>
    <col min="28" max="28" width="14.3984375" style="1" customWidth="1"/>
    <col min="29" max="29" width="13.19921875" style="1" customWidth="1"/>
    <col min="30" max="30" width="12.3984375" style="1" customWidth="1"/>
    <col min="31" max="31" width="8.59765625" style="1" customWidth="1"/>
    <col min="32" max="32" width="8.59765625" style="1" hidden="1" customWidth="1"/>
    <col min="33" max="34" width="10.33203125" style="6" hidden="1" customWidth="1"/>
    <col min="35" max="35" width="20.73046875" style="6" hidden="1" customWidth="1"/>
    <col min="36" max="40" width="10.33203125" style="6" hidden="1" customWidth="1"/>
    <col min="41" max="42" width="13.33203125" style="1" hidden="1" customWidth="1"/>
    <col min="43" max="48" width="10.33203125" style="1" hidden="1" customWidth="1"/>
    <col min="49" max="49" width="10.59765625" style="1" hidden="1" customWidth="1"/>
    <col min="50" max="52" width="14.3984375" style="6" hidden="1" customWidth="1"/>
    <col min="53" max="53" width="8.59765625" style="1" hidden="1" customWidth="1"/>
    <col min="54" max="55" width="10.59765625" style="1" hidden="1" customWidth="1"/>
    <col min="56" max="56" width="14.3984375" style="6" hidden="1" customWidth="1"/>
    <col min="57" max="57" width="11.265625" style="1" hidden="1" customWidth="1"/>
    <col min="58" max="58" width="11.3984375" style="1" hidden="1" customWidth="1"/>
    <col min="59" max="60" width="14.3984375" style="1" hidden="1" customWidth="1"/>
    <col min="61" max="61" width="7.9296875" style="1" hidden="1" customWidth="1"/>
    <col min="62" max="63" width="11.3984375" style="1" hidden="1" customWidth="1"/>
    <col min="64" max="64" width="14" style="1" hidden="1" customWidth="1"/>
    <col min="65" max="65" width="12.6640625" style="1" hidden="1" customWidth="1"/>
    <col min="66" max="69" width="11.3984375" style="1" hidden="1" customWidth="1"/>
    <col min="70" max="71" width="14.3984375" style="1" hidden="1" customWidth="1"/>
    <col min="72" max="76" width="11.3984375" style="1" hidden="1" customWidth="1"/>
    <col min="77" max="77" width="14.6640625" style="1" hidden="1" customWidth="1"/>
    <col min="78" max="78" width="11.3984375" style="1" hidden="1" customWidth="1"/>
    <col min="79" max="81" width="20.33203125" style="1" hidden="1" customWidth="1"/>
    <col min="82" max="82" width="20.33203125" style="5" hidden="1" customWidth="1"/>
    <col min="83" max="83" width="20.33203125" style="1" hidden="1" customWidth="1"/>
    <col min="84" max="84" width="17.59765625" style="1" hidden="1" customWidth="1"/>
    <col min="85" max="87" width="20.33203125" style="4" hidden="1" customWidth="1"/>
    <col min="88" max="88" width="13.19921875" style="1" hidden="1" customWidth="1"/>
    <col min="89" max="89" width="31.59765625" style="1" hidden="1" customWidth="1"/>
    <col min="90" max="90" width="25.3984375" style="2" hidden="1" customWidth="1"/>
    <col min="91" max="91" width="18.6640625" style="3" hidden="1" customWidth="1"/>
    <col min="92" max="92" width="11.3984375" style="2" hidden="1" customWidth="1"/>
    <col min="93" max="94" width="11.3984375" style="1" customWidth="1"/>
    <col min="95" max="96" width="8.06640625" style="1" customWidth="1"/>
    <col min="97" max="119" width="11.3984375" style="1" customWidth="1"/>
    <col min="120" max="16384" width="11.3984375" style="1"/>
  </cols>
  <sheetData>
    <row r="1" spans="1:96" ht="11.25" x14ac:dyDescent="0.45">
      <c r="A1" s="304" t="s">
        <v>384</v>
      </c>
      <c r="B1" s="305"/>
      <c r="C1" s="283" t="s">
        <v>383</v>
      </c>
      <c r="D1" s="290" t="s">
        <v>382</v>
      </c>
      <c r="E1" s="290"/>
      <c r="F1" s="283" t="s">
        <v>381</v>
      </c>
      <c r="G1" s="283"/>
      <c r="H1" s="306" t="str" cm="1">
        <f t="array" aca="1" ref="H1" ca="1">SUBSTITUTE(MID(CELL("filename"),SEARCH("[",CELL("filename"))+1, SEARCH("]",CELL("filename"))-SEARCH("[",CELL("filename"))-1), ".xlsx", "")</f>
        <v>1aa Window Film Survey - 2024 V002</v>
      </c>
      <c r="I1" s="307"/>
      <c r="J1" s="307"/>
      <c r="K1" s="307"/>
      <c r="L1" s="283" t="s">
        <v>380</v>
      </c>
      <c r="M1" s="283"/>
      <c r="N1" s="298"/>
      <c r="O1" s="299"/>
      <c r="P1" s="300"/>
      <c r="Q1" s="283" t="s">
        <v>379</v>
      </c>
      <c r="R1" s="303"/>
      <c r="S1" s="290"/>
      <c r="T1" s="283" t="s">
        <v>378</v>
      </c>
      <c r="U1" s="290"/>
      <c r="V1" s="290"/>
      <c r="W1" s="290"/>
      <c r="X1" s="292" t="s">
        <v>377</v>
      </c>
      <c r="Y1" s="293"/>
      <c r="Z1" s="294" t="s">
        <v>376</v>
      </c>
      <c r="AA1" s="293"/>
      <c r="AB1" s="151" t="s">
        <v>375</v>
      </c>
      <c r="AC1" s="150" t="s">
        <v>374</v>
      </c>
      <c r="AD1" s="295" t="s">
        <v>373</v>
      </c>
    </row>
    <row r="2" spans="1:96" ht="12" customHeight="1" x14ac:dyDescent="0.35">
      <c r="A2" s="304"/>
      <c r="B2" s="305"/>
      <c r="C2" s="283"/>
      <c r="D2" s="290"/>
      <c r="E2" s="290"/>
      <c r="F2" s="283"/>
      <c r="G2" s="283"/>
      <c r="H2" s="308"/>
      <c r="I2" s="309"/>
      <c r="J2" s="309"/>
      <c r="K2" s="309"/>
      <c r="L2" s="283"/>
      <c r="M2" s="283"/>
      <c r="N2" s="301"/>
      <c r="O2" s="301"/>
      <c r="P2" s="302"/>
      <c r="Q2" s="283"/>
      <c r="R2" s="290"/>
      <c r="S2" s="290"/>
      <c r="T2" s="283"/>
      <c r="U2" s="290"/>
      <c r="V2" s="290"/>
      <c r="W2" s="290"/>
      <c r="X2" s="296" t="s">
        <v>270</v>
      </c>
      <c r="Y2" s="296"/>
      <c r="Z2" s="296" t="s">
        <v>270</v>
      </c>
      <c r="AA2" s="296"/>
      <c r="AB2" s="149">
        <f>IF($Z$2="No",(0),"$300")</f>
        <v>0</v>
      </c>
      <c r="AC2" s="148">
        <v>0</v>
      </c>
      <c r="AD2" s="295"/>
    </row>
    <row r="3" spans="1:96" ht="11.25" x14ac:dyDescent="0.45">
      <c r="A3" s="283" t="s">
        <v>372</v>
      </c>
      <c r="B3" s="297" t="s">
        <v>293</v>
      </c>
      <c r="C3" s="283" t="s">
        <v>371</v>
      </c>
      <c r="D3" s="297" t="s">
        <v>292</v>
      </c>
      <c r="E3" s="297"/>
      <c r="F3" s="283" t="s">
        <v>370</v>
      </c>
      <c r="G3" s="283"/>
      <c r="H3" s="290" t="s">
        <v>291</v>
      </c>
      <c r="I3" s="290"/>
      <c r="J3" s="283" t="s">
        <v>369</v>
      </c>
      <c r="K3" s="290" t="s">
        <v>290</v>
      </c>
      <c r="L3" s="290"/>
      <c r="M3" s="291" t="s">
        <v>368</v>
      </c>
      <c r="N3" s="291"/>
      <c r="O3" s="291"/>
      <c r="P3" s="291"/>
      <c r="Q3" s="283" t="s">
        <v>367</v>
      </c>
      <c r="R3" s="290" t="s">
        <v>289</v>
      </c>
      <c r="S3" s="290"/>
      <c r="T3" s="283" t="s">
        <v>366</v>
      </c>
      <c r="U3" s="284" t="s">
        <v>260</v>
      </c>
      <c r="V3" s="284"/>
      <c r="W3" s="284"/>
      <c r="X3" s="285" t="s">
        <v>365</v>
      </c>
      <c r="Y3" s="286"/>
      <c r="Z3" s="286"/>
      <c r="AA3" s="287"/>
      <c r="AB3" s="285" t="s">
        <v>364</v>
      </c>
      <c r="AC3" s="287"/>
      <c r="AD3" s="295"/>
      <c r="AE3" s="8"/>
      <c r="AF3" s="8"/>
      <c r="AG3" s="9"/>
      <c r="AH3" s="9"/>
      <c r="AI3" s="9"/>
      <c r="AJ3" s="9"/>
      <c r="AK3" s="9"/>
      <c r="AL3" s="9"/>
      <c r="AM3" s="9"/>
      <c r="AN3" s="9"/>
      <c r="AQ3" s="8"/>
      <c r="AR3" s="8"/>
      <c r="AX3" s="1"/>
      <c r="AY3" s="1"/>
      <c r="AZ3" s="1"/>
      <c r="BD3" s="1"/>
      <c r="BE3" s="6"/>
    </row>
    <row r="4" spans="1:96" ht="11.25" x14ac:dyDescent="0.45">
      <c r="A4" s="283"/>
      <c r="B4" s="297"/>
      <c r="C4" s="283"/>
      <c r="D4" s="297"/>
      <c r="E4" s="297"/>
      <c r="F4" s="283"/>
      <c r="G4" s="283"/>
      <c r="H4" s="290"/>
      <c r="I4" s="290"/>
      <c r="J4" s="283"/>
      <c r="K4" s="290"/>
      <c r="L4" s="290"/>
      <c r="M4" s="291"/>
      <c r="N4" s="291"/>
      <c r="O4" s="291"/>
      <c r="P4" s="291"/>
      <c r="Q4" s="283"/>
      <c r="R4" s="290"/>
      <c r="S4" s="290"/>
      <c r="T4" s="283"/>
      <c r="U4" s="284"/>
      <c r="V4" s="284"/>
      <c r="W4" s="284"/>
      <c r="X4" s="288"/>
      <c r="Y4" s="289"/>
      <c r="Z4" s="147"/>
      <c r="AA4" s="146"/>
      <c r="AB4" s="145"/>
      <c r="AC4" s="144"/>
      <c r="AD4" s="295"/>
      <c r="AE4" s="8"/>
      <c r="AF4" s="8"/>
      <c r="AG4" s="9"/>
      <c r="AH4" s="9"/>
      <c r="AI4" s="9"/>
      <c r="AJ4" s="9"/>
      <c r="AK4" s="9"/>
      <c r="AL4" s="9"/>
      <c r="AM4" s="9"/>
      <c r="AN4" s="9"/>
      <c r="AQ4" s="8"/>
      <c r="AR4" s="8"/>
      <c r="AW4" s="6"/>
      <c r="AX4" s="1"/>
      <c r="AY4" s="1"/>
      <c r="AZ4" s="1"/>
      <c r="BD4" s="1"/>
    </row>
    <row r="5" spans="1:96" ht="11.65" thickBot="1" x14ac:dyDescent="0.5">
      <c r="A5" s="210" t="s">
        <v>363</v>
      </c>
      <c r="B5" s="210" t="s">
        <v>362</v>
      </c>
      <c r="C5" s="210"/>
      <c r="D5" s="210"/>
      <c r="E5" s="210"/>
      <c r="F5" s="210" t="s">
        <v>361</v>
      </c>
      <c r="G5" s="210" t="s">
        <v>360</v>
      </c>
      <c r="H5" s="210" t="s">
        <v>306</v>
      </c>
      <c r="I5" s="210" t="s">
        <v>359</v>
      </c>
      <c r="J5" s="210" t="s">
        <v>358</v>
      </c>
      <c r="K5" s="210" t="s">
        <v>357</v>
      </c>
      <c r="L5" s="143" t="s">
        <v>356</v>
      </c>
      <c r="M5" s="281"/>
      <c r="N5" s="281"/>
      <c r="O5" s="281"/>
      <c r="P5" s="282"/>
      <c r="Q5" s="142">
        <v>0.2</v>
      </c>
      <c r="R5" s="210" t="s">
        <v>301</v>
      </c>
      <c r="S5" s="210"/>
      <c r="T5" s="210" t="s">
        <v>355</v>
      </c>
      <c r="U5" s="210"/>
      <c r="V5" s="210"/>
      <c r="W5" s="210"/>
      <c r="X5" s="275" t="s">
        <v>354</v>
      </c>
      <c r="Y5" s="275"/>
      <c r="Z5" s="276" t="s">
        <v>308</v>
      </c>
      <c r="AA5" s="276" t="s">
        <v>306</v>
      </c>
      <c r="AB5" s="277" t="s">
        <v>353</v>
      </c>
      <c r="AC5" s="278"/>
      <c r="AD5" s="295"/>
      <c r="AE5" s="8"/>
      <c r="AF5" s="8"/>
      <c r="AG5" s="9"/>
      <c r="AH5" s="9"/>
      <c r="AI5" s="9"/>
      <c r="AJ5" s="9"/>
      <c r="AK5" s="9"/>
      <c r="AL5" s="9"/>
      <c r="AM5" s="9"/>
      <c r="AN5" s="9"/>
      <c r="AQ5" s="8"/>
      <c r="AR5" s="8"/>
      <c r="AW5" s="6"/>
      <c r="AX5" s="1"/>
      <c r="AY5" s="1"/>
      <c r="AZ5" s="1"/>
      <c r="BD5" s="1"/>
      <c r="CO5" s="1" t="s">
        <v>352</v>
      </c>
    </row>
    <row r="6" spans="1:96" ht="14.65" thickBot="1" x14ac:dyDescent="0.5">
      <c r="A6" s="210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140" t="s">
        <v>351</v>
      </c>
      <c r="M6" s="141" t="s">
        <v>350</v>
      </c>
      <c r="N6" s="141" t="s">
        <v>349</v>
      </c>
      <c r="O6" s="141" t="s">
        <v>348</v>
      </c>
      <c r="P6" s="141" t="s">
        <v>347</v>
      </c>
      <c r="Q6" s="140" t="s">
        <v>346</v>
      </c>
      <c r="R6" s="210"/>
      <c r="S6" s="210"/>
      <c r="T6" s="210"/>
      <c r="U6" s="210"/>
      <c r="V6" s="210"/>
      <c r="W6" s="210"/>
      <c r="X6" s="275"/>
      <c r="Y6" s="275"/>
      <c r="Z6" s="276"/>
      <c r="AA6" s="276"/>
      <c r="AB6" s="279"/>
      <c r="AC6" s="280"/>
      <c r="AD6" s="295"/>
      <c r="AG6" s="103" t="s">
        <v>345</v>
      </c>
      <c r="AH6" s="9"/>
      <c r="AI6" s="104" t="s">
        <v>344</v>
      </c>
      <c r="AJ6" s="9"/>
      <c r="AK6" s="111" t="s">
        <v>343</v>
      </c>
      <c r="AL6" s="111" t="s">
        <v>342</v>
      </c>
      <c r="AM6" s="111" t="s">
        <v>341</v>
      </c>
      <c r="AN6" s="111" t="s">
        <v>340</v>
      </c>
      <c r="AO6" s="139" t="s">
        <v>339</v>
      </c>
      <c r="AP6" s="111" t="s">
        <v>338</v>
      </c>
      <c r="AQ6" s="133" t="s">
        <v>320</v>
      </c>
      <c r="AR6" s="138" t="s">
        <v>337</v>
      </c>
      <c r="AS6" s="133" t="s">
        <v>336</v>
      </c>
      <c r="AT6" s="103" t="s">
        <v>322</v>
      </c>
      <c r="AU6" s="103" t="s">
        <v>321</v>
      </c>
      <c r="AV6" s="9"/>
      <c r="AW6" s="137" t="s">
        <v>335</v>
      </c>
      <c r="AX6" s="136" t="s">
        <v>334</v>
      </c>
      <c r="AY6" s="136" t="s">
        <v>333</v>
      </c>
      <c r="AZ6" s="136" t="s">
        <v>332</v>
      </c>
      <c r="BA6" s="136" t="s">
        <v>331</v>
      </c>
      <c r="BB6" s="135" t="s">
        <v>330</v>
      </c>
      <c r="BC6" s="136" t="s">
        <v>329</v>
      </c>
      <c r="BD6" s="135" t="s">
        <v>328</v>
      </c>
      <c r="BE6" s="9"/>
      <c r="BF6" s="137" t="s">
        <v>327</v>
      </c>
      <c r="BG6" s="136" t="s">
        <v>326</v>
      </c>
      <c r="BH6" s="136" t="s">
        <v>325</v>
      </c>
      <c r="BI6" s="136" t="s">
        <v>324</v>
      </c>
      <c r="BJ6" s="135" t="s">
        <v>323</v>
      </c>
      <c r="BL6" s="134"/>
      <c r="BM6" s="103" t="s">
        <v>322</v>
      </c>
      <c r="BN6" s="103" t="s">
        <v>321</v>
      </c>
      <c r="BO6" s="133" t="s">
        <v>320</v>
      </c>
      <c r="BQ6" s="1" t="s">
        <v>319</v>
      </c>
      <c r="BR6" s="1" t="s">
        <v>318</v>
      </c>
      <c r="BS6" s="1" t="s">
        <v>317</v>
      </c>
      <c r="BT6" s="1" t="s">
        <v>316</v>
      </c>
      <c r="BU6" s="1" t="s">
        <v>315</v>
      </c>
      <c r="BV6" s="1" t="s">
        <v>314</v>
      </c>
      <c r="BW6" s="1" t="s">
        <v>313</v>
      </c>
      <c r="BX6" s="1" t="s">
        <v>312</v>
      </c>
      <c r="BY6" s="6" t="s">
        <v>311</v>
      </c>
      <c r="BZ6" s="132" t="s">
        <v>306</v>
      </c>
      <c r="CA6" s="131" t="s">
        <v>310</v>
      </c>
      <c r="CB6" s="131" t="s">
        <v>309</v>
      </c>
      <c r="CC6" s="131" t="s">
        <v>308</v>
      </c>
      <c r="CD6" s="130" t="s">
        <v>307</v>
      </c>
      <c r="CE6" s="129" t="s">
        <v>306</v>
      </c>
      <c r="CF6" s="129" t="s">
        <v>305</v>
      </c>
      <c r="CG6" s="128" t="s">
        <v>304</v>
      </c>
      <c r="CH6" s="128" t="s">
        <v>303</v>
      </c>
      <c r="CI6" s="128" t="s">
        <v>302</v>
      </c>
      <c r="CJ6" s="3"/>
      <c r="CK6" s="127" t="s">
        <v>301</v>
      </c>
      <c r="CL6" s="126" t="s">
        <v>300</v>
      </c>
      <c r="CM6" s="126" t="s">
        <v>299</v>
      </c>
      <c r="CN6" s="125" t="s">
        <v>298</v>
      </c>
      <c r="CO6" s="1" t="s">
        <v>297</v>
      </c>
      <c r="CQ6" s="124" t="s">
        <v>296</v>
      </c>
      <c r="CR6" s="123" t="s">
        <v>295</v>
      </c>
    </row>
    <row r="7" spans="1:96" ht="12" customHeight="1" thickBot="1" x14ac:dyDescent="0.5">
      <c r="A7" s="83"/>
      <c r="B7" s="266"/>
      <c r="C7" s="267"/>
      <c r="D7" s="267"/>
      <c r="E7" s="268"/>
      <c r="F7" s="64"/>
      <c r="G7" s="64"/>
      <c r="H7" s="82"/>
      <c r="I7" s="81"/>
      <c r="J7" s="64"/>
      <c r="K7" s="80"/>
      <c r="L7" s="79">
        <f t="shared" ref="L7:L38" si="0">(I7*J7*K7)/144</f>
        <v>0</v>
      </c>
      <c r="M7" s="64"/>
      <c r="N7" s="64"/>
      <c r="O7" s="64"/>
      <c r="P7" s="80"/>
      <c r="Q7" s="79">
        <f t="shared" ref="Q7:Q38" si="1">IF(P7&lt;&gt;"",M7*O7*P7/144,L7*(1+$Q$5))</f>
        <v>0</v>
      </c>
      <c r="R7" s="269"/>
      <c r="S7" s="270"/>
      <c r="T7" s="266"/>
      <c r="U7" s="267"/>
      <c r="V7" s="267"/>
      <c r="W7" s="268"/>
      <c r="X7" s="271" t="str">
        <f>IFERROR(INDEX(Table3941[],MATCH(R7,Table3941[Film Type],),3),"")</f>
        <v/>
      </c>
      <c r="Y7" s="271"/>
      <c r="Z7" s="78" t="s">
        <v>55</v>
      </c>
      <c r="AA7" s="78" t="s">
        <v>55</v>
      </c>
      <c r="AB7" s="77"/>
      <c r="AC7" s="76"/>
      <c r="AD7" s="75">
        <f t="shared" ref="AD7:AD38" si="2">SUM(AT7+AU7)</f>
        <v>0</v>
      </c>
      <c r="AG7" s="74">
        <f t="shared" ref="AG7:AG38" si="3">(((I7*2)+(J7*2))*K7)/12</f>
        <v>0</v>
      </c>
      <c r="AI7" s="100">
        <v>40</v>
      </c>
      <c r="AK7" s="65">
        <f t="shared" ref="AK7:AK38" si="4">IFERROR((Q7*X7),0)</f>
        <v>0</v>
      </c>
      <c r="AL7" s="65">
        <f t="shared" ref="AL7:AL38" si="5">IFERROR((AW7/$B$158)*$X$4,0)</f>
        <v>0</v>
      </c>
      <c r="AM7" s="65">
        <f t="shared" ref="AM7:AM38" si="6">BA7+BI7+BC7</f>
        <v>0</v>
      </c>
      <c r="AN7" s="73">
        <f t="shared" ref="AN7:AN38" si="7">IFERROR((AW7/$B$158)*(($AB$4*$AI$7)+($AC$2*$AI$7)),0)</f>
        <v>0</v>
      </c>
      <c r="AO7" s="65" t="str">
        <f t="shared" ref="AO7:AO38" si="8">IF(AND($X$2="Yes", $Z$2="No"), ((AM7+AN7)*0.25),"0.00")</f>
        <v>0.00</v>
      </c>
      <c r="AP7" s="65" t="str">
        <f t="shared" ref="AP7:AP38" si="9">IF($Z$2="No","0", (((AN7/$AI$7)+BD7+BG7)*$AI$13)-(AN7+BA7+BC7+BI7))</f>
        <v>0</v>
      </c>
      <c r="AQ7" s="71">
        <f t="shared" ref="AQ7:AQ38" si="10">(BD7+BG7)*$AI$10</f>
        <v>0</v>
      </c>
      <c r="AR7" s="72">
        <f t="shared" ref="AR7:AR38" si="11">AD7*$AB$163</f>
        <v>0</v>
      </c>
      <c r="AS7" s="71">
        <f t="shared" ref="AS7:AS38" si="12">AD7-AT7-AR7-AQ7</f>
        <v>0</v>
      </c>
      <c r="AT7" s="70">
        <f t="shared" ref="AT7:AT38" si="13">SUM(AK7+AL7+AM7+AN7+AO7+AP7)</f>
        <v>0</v>
      </c>
      <c r="AU7" s="70">
        <f t="shared" ref="AU7:AU38" si="14">AT7*$AB$167</f>
        <v>0</v>
      </c>
      <c r="AV7" s="2"/>
      <c r="AW7" s="66">
        <f t="shared" ref="AW7:AW38" si="15">IF(R7="removal only",0,((I7*J7*K7)/144))</f>
        <v>0</v>
      </c>
      <c r="AX7" s="68">
        <f>_xlfn.IFNA(INDEX(Table3941[I $ p/ft2],MATCH(R7,Table3941[Film Type],0)),1.75)</f>
        <v>1.75</v>
      </c>
      <c r="AY7" s="69">
        <f>VLOOKUP(Z7,Table1349[#All],2,FALSE)</f>
        <v>1</v>
      </c>
      <c r="AZ7" s="68">
        <f t="shared" ref="AZ7:AZ38" si="16">AX7*AY7</f>
        <v>1.75</v>
      </c>
      <c r="BA7" s="65">
        <f t="shared" ref="BA7:BA38" si="17">IF(R7="removal only",0,(AW7*AZ7))</f>
        <v>0</v>
      </c>
      <c r="BB7" s="64">
        <f t="shared" ref="BB7:BB38" si="18">IF(R7="removal only",0,K7)</f>
        <v>0</v>
      </c>
      <c r="BC7" s="67">
        <f t="shared" ref="BC7:BC38" si="19">(AB7/60)*$AI$7</f>
        <v>0</v>
      </c>
      <c r="BD7" s="66">
        <f t="shared" ref="BD7:BD38" si="20">IF(R7="removal only",0,(BA7+BC7)/$AI$7)</f>
        <v>0</v>
      </c>
      <c r="BE7" s="64"/>
      <c r="BF7" s="66">
        <f t="shared" ref="BF7:BF38" si="21">IF(H7="Yes",((I7*J7*K7)/144),0)</f>
        <v>0</v>
      </c>
      <c r="BG7" s="66">
        <f t="shared" ref="BG7:BG38" si="22">IF(BF7="0",0,BI7/$AI$7)</f>
        <v>0</v>
      </c>
      <c r="BH7" s="65">
        <f>VLOOKUP(AA7,Table1551[#All],2,FALSE)</f>
        <v>1</v>
      </c>
      <c r="BI7" s="65">
        <f t="shared" ref="BI7:BI38" si="23">IF(H7="Yes",BF7*BH7,0)</f>
        <v>0</v>
      </c>
      <c r="BJ7" s="64" t="str">
        <f t="shared" ref="BJ7:BJ38" si="24">IF(H7="Yes",K7,"0")</f>
        <v>0</v>
      </c>
      <c r="BL7" s="103" t="s">
        <v>242</v>
      </c>
      <c r="BM7" s="70">
        <f>IF($Z$2="No",(SUM(Q160:Q163)+(Q164*AI7)), (SUM(Q160:Q163)+(Q164*AI13)))</f>
        <v>0</v>
      </c>
      <c r="BN7" s="70">
        <f>BM7*T161</f>
        <v>0</v>
      </c>
      <c r="BO7" s="65">
        <f>((Q163+Q164)/AI7)*$AI$10</f>
        <v>0</v>
      </c>
      <c r="BQ7" s="1" t="s">
        <v>294</v>
      </c>
      <c r="BR7" s="1" t="s">
        <v>293</v>
      </c>
      <c r="BS7" s="1" t="s">
        <v>292</v>
      </c>
      <c r="BT7" s="1" t="s">
        <v>291</v>
      </c>
      <c r="BU7" s="1" t="s">
        <v>290</v>
      </c>
      <c r="BV7" s="1" t="s">
        <v>289</v>
      </c>
      <c r="BW7" s="6" t="s">
        <v>288</v>
      </c>
      <c r="BX7" s="6" t="s">
        <v>287</v>
      </c>
      <c r="BY7" s="6" t="s">
        <v>286</v>
      </c>
      <c r="BZ7" s="93" t="s">
        <v>283</v>
      </c>
      <c r="CA7" s="110">
        <v>0</v>
      </c>
      <c r="CB7" s="118">
        <v>10</v>
      </c>
      <c r="CC7" s="99" t="s">
        <v>285</v>
      </c>
      <c r="CD7" s="98">
        <v>0</v>
      </c>
      <c r="CE7" s="114" t="s">
        <v>272</v>
      </c>
      <c r="CF7" s="113">
        <v>0.5</v>
      </c>
      <c r="CG7" s="122" t="s">
        <v>284</v>
      </c>
      <c r="CH7" s="107" t="s">
        <v>283</v>
      </c>
      <c r="CI7" s="107" t="s">
        <v>270</v>
      </c>
      <c r="CJ7" s="3"/>
      <c r="CK7" s="112" t="s">
        <v>282</v>
      </c>
      <c r="CL7" s="2">
        <v>0</v>
      </c>
      <c r="CM7" s="2">
        <f t="shared" ref="CM7:CM38" si="25">CL7*1.1</f>
        <v>0</v>
      </c>
      <c r="CN7" s="95">
        <v>1.75</v>
      </c>
      <c r="CO7" s="84">
        <f t="shared" ref="CO7:CO38" si="26">ROUNDUP(MAX((P7*O7)/12)*(K7*J7)/12,0)</f>
        <v>0</v>
      </c>
      <c r="CQ7" s="121">
        <v>0</v>
      </c>
      <c r="CR7" s="120">
        <v>0</v>
      </c>
    </row>
    <row r="8" spans="1:96" ht="12" customHeight="1" thickBot="1" x14ac:dyDescent="0.5">
      <c r="A8" s="83"/>
      <c r="B8" s="266"/>
      <c r="C8" s="267"/>
      <c r="D8" s="267"/>
      <c r="E8" s="268"/>
      <c r="F8" s="64"/>
      <c r="G8" s="64"/>
      <c r="H8" s="82"/>
      <c r="I8" s="81"/>
      <c r="J8" s="64"/>
      <c r="K8" s="80"/>
      <c r="L8" s="79">
        <f t="shared" si="0"/>
        <v>0</v>
      </c>
      <c r="M8" s="64"/>
      <c r="N8" s="64"/>
      <c r="O8" s="64"/>
      <c r="P8" s="80"/>
      <c r="Q8" s="79">
        <f t="shared" si="1"/>
        <v>0</v>
      </c>
      <c r="R8" s="269"/>
      <c r="S8" s="270"/>
      <c r="T8" s="266"/>
      <c r="U8" s="267"/>
      <c r="V8" s="267"/>
      <c r="W8" s="268"/>
      <c r="X8" s="271" t="str">
        <f>IFERROR(INDEX(Table3941[],MATCH(R8,Table3941[Film Type],),3),"")</f>
        <v/>
      </c>
      <c r="Y8" s="271"/>
      <c r="Z8" s="78" t="s">
        <v>55</v>
      </c>
      <c r="AA8" s="78" t="s">
        <v>55</v>
      </c>
      <c r="AB8" s="77"/>
      <c r="AC8" s="76"/>
      <c r="AD8" s="75">
        <f t="shared" si="2"/>
        <v>0</v>
      </c>
      <c r="AG8" s="74">
        <f t="shared" si="3"/>
        <v>0</v>
      </c>
      <c r="AI8" s="119"/>
      <c r="AK8" s="65">
        <f t="shared" si="4"/>
        <v>0</v>
      </c>
      <c r="AL8" s="65">
        <f t="shared" si="5"/>
        <v>0</v>
      </c>
      <c r="AM8" s="65">
        <f t="shared" si="6"/>
        <v>0</v>
      </c>
      <c r="AN8" s="73">
        <f t="shared" si="7"/>
        <v>0</v>
      </c>
      <c r="AO8" s="65" t="str">
        <f t="shared" si="8"/>
        <v>0.00</v>
      </c>
      <c r="AP8" s="65" t="str">
        <f t="shared" si="9"/>
        <v>0</v>
      </c>
      <c r="AQ8" s="71">
        <f t="shared" si="10"/>
        <v>0</v>
      </c>
      <c r="AR8" s="72">
        <f t="shared" si="11"/>
        <v>0</v>
      </c>
      <c r="AS8" s="71">
        <f t="shared" si="12"/>
        <v>0</v>
      </c>
      <c r="AT8" s="70">
        <f t="shared" si="13"/>
        <v>0</v>
      </c>
      <c r="AU8" s="70">
        <f t="shared" si="14"/>
        <v>0</v>
      </c>
      <c r="AV8" s="2"/>
      <c r="AW8" s="66">
        <f t="shared" si="15"/>
        <v>0</v>
      </c>
      <c r="AX8" s="68">
        <f>_xlfn.IFNA(INDEX(Table3941[I $ p/ft2],MATCH(R8,Table3941[Film Type],0)),1.75)</f>
        <v>1.75</v>
      </c>
      <c r="AY8" s="69">
        <f>VLOOKUP(Z8,Table1349[#All],2,FALSE)</f>
        <v>1</v>
      </c>
      <c r="AZ8" s="68">
        <f t="shared" si="16"/>
        <v>1.75</v>
      </c>
      <c r="BA8" s="65">
        <f t="shared" si="17"/>
        <v>0</v>
      </c>
      <c r="BB8" s="64">
        <f t="shared" si="18"/>
        <v>0</v>
      </c>
      <c r="BC8" s="67">
        <f t="shared" si="19"/>
        <v>0</v>
      </c>
      <c r="BD8" s="66">
        <f t="shared" si="20"/>
        <v>0</v>
      </c>
      <c r="BE8" s="64"/>
      <c r="BF8" s="66">
        <f t="shared" si="21"/>
        <v>0</v>
      </c>
      <c r="BG8" s="66">
        <f t="shared" si="22"/>
        <v>0</v>
      </c>
      <c r="BH8" s="65">
        <f>VLOOKUP(AA8,Table1551[#All],2,FALSE)</f>
        <v>1</v>
      </c>
      <c r="BI8" s="65">
        <f t="shared" si="23"/>
        <v>0</v>
      </c>
      <c r="BJ8" s="64" t="str">
        <f t="shared" si="24"/>
        <v>0</v>
      </c>
      <c r="BL8" s="103" t="s">
        <v>228</v>
      </c>
      <c r="BM8" s="70">
        <f>IF($Z$2="No",(SUM(Q167:Q170)+(Q171*AI7)), (SUM(Q167:Q170)+(Q171*AI13)))</f>
        <v>0</v>
      </c>
      <c r="BN8" s="70">
        <f>BM8*T168</f>
        <v>0</v>
      </c>
      <c r="BO8" s="65">
        <f>((Q170+Q171)/AI7)*$AI$10</f>
        <v>0</v>
      </c>
      <c r="BQ8" s="1" t="s">
        <v>281</v>
      </c>
      <c r="BR8" s="1" t="s">
        <v>280</v>
      </c>
      <c r="BS8" s="1" t="s">
        <v>279</v>
      </c>
      <c r="BT8" s="1" t="s">
        <v>278</v>
      </c>
      <c r="BU8" s="1" t="s">
        <v>277</v>
      </c>
      <c r="BV8" s="1" t="s">
        <v>276</v>
      </c>
      <c r="BW8" s="6" t="s">
        <v>275</v>
      </c>
      <c r="BX8" s="6" t="s">
        <v>274</v>
      </c>
      <c r="BY8" s="6" t="s">
        <v>273</v>
      </c>
      <c r="BZ8" s="93"/>
      <c r="CA8" s="99">
        <v>1</v>
      </c>
      <c r="CB8" s="99">
        <v>15</v>
      </c>
      <c r="CC8" s="118" t="s">
        <v>272</v>
      </c>
      <c r="CD8" s="117">
        <v>0.5</v>
      </c>
      <c r="CE8" s="109" t="s">
        <v>55</v>
      </c>
      <c r="CF8" s="108">
        <v>1</v>
      </c>
      <c r="CG8" s="101" t="s">
        <v>271</v>
      </c>
      <c r="CH8" s="101" t="s">
        <v>270</v>
      </c>
      <c r="CI8" s="101" t="s">
        <v>269</v>
      </c>
      <c r="CJ8" s="3"/>
      <c r="CK8" s="112"/>
      <c r="CM8" s="2">
        <f t="shared" si="25"/>
        <v>0</v>
      </c>
      <c r="CN8" s="95"/>
      <c r="CO8" s="84">
        <f t="shared" si="26"/>
        <v>0</v>
      </c>
      <c r="CQ8" s="116" t="s">
        <v>268</v>
      </c>
      <c r="CR8" s="115" cm="1">
        <f t="array" aca="1" ref="CR8" ca="1">IFERROR(CQ7*12,0)+SUM(MID(0&amp;CR7,LARGE(ISNUMBER(--MID(CR7,ROW(INDIRECT("1:"&amp;LEN(CR7))),1))*ROW(INDIRECT("1:"&amp;LEN(CR7))),ROW(INDIRECT("1:"&amp;LEN(CR7))))+1,1)*10^ROW(INDIRECT("1:"&amp;LEN(CR7)))/10)</f>
        <v>0</v>
      </c>
    </row>
    <row r="9" spans="1:96" ht="12" customHeight="1" thickBot="1" x14ac:dyDescent="0.5">
      <c r="A9" s="83"/>
      <c r="B9" s="266"/>
      <c r="C9" s="267"/>
      <c r="D9" s="267"/>
      <c r="E9" s="268"/>
      <c r="F9" s="64"/>
      <c r="G9" s="64"/>
      <c r="H9" s="82"/>
      <c r="I9" s="81"/>
      <c r="J9" s="64"/>
      <c r="K9" s="80"/>
      <c r="L9" s="79">
        <f t="shared" si="0"/>
        <v>0</v>
      </c>
      <c r="M9" s="64"/>
      <c r="N9" s="64"/>
      <c r="O9" s="64"/>
      <c r="P9" s="80"/>
      <c r="Q9" s="79">
        <f t="shared" si="1"/>
        <v>0</v>
      </c>
      <c r="R9" s="269"/>
      <c r="S9" s="270"/>
      <c r="T9" s="266"/>
      <c r="U9" s="267"/>
      <c r="V9" s="267"/>
      <c r="W9" s="268"/>
      <c r="X9" s="271" t="str">
        <f>IFERROR(INDEX(Table3941[],MATCH(R9,Table3941[Film Type],),3),"")</f>
        <v/>
      </c>
      <c r="Y9" s="271"/>
      <c r="Z9" s="78" t="s">
        <v>55</v>
      </c>
      <c r="AA9" s="78" t="s">
        <v>55</v>
      </c>
      <c r="AB9" s="77"/>
      <c r="AC9" s="76"/>
      <c r="AD9" s="75">
        <f t="shared" si="2"/>
        <v>0</v>
      </c>
      <c r="AG9" s="74">
        <f t="shared" si="3"/>
        <v>0</v>
      </c>
      <c r="AI9" s="104" t="s">
        <v>267</v>
      </c>
      <c r="AK9" s="65">
        <f t="shared" si="4"/>
        <v>0</v>
      </c>
      <c r="AL9" s="65">
        <f t="shared" si="5"/>
        <v>0</v>
      </c>
      <c r="AM9" s="65">
        <f t="shared" si="6"/>
        <v>0</v>
      </c>
      <c r="AN9" s="73">
        <f t="shared" si="7"/>
        <v>0</v>
      </c>
      <c r="AO9" s="65" t="str">
        <f t="shared" si="8"/>
        <v>0.00</v>
      </c>
      <c r="AP9" s="65" t="str">
        <f t="shared" si="9"/>
        <v>0</v>
      </c>
      <c r="AQ9" s="71">
        <f t="shared" si="10"/>
        <v>0</v>
      </c>
      <c r="AR9" s="72">
        <f t="shared" si="11"/>
        <v>0</v>
      </c>
      <c r="AS9" s="71">
        <f t="shared" si="12"/>
        <v>0</v>
      </c>
      <c r="AT9" s="70">
        <f t="shared" si="13"/>
        <v>0</v>
      </c>
      <c r="AU9" s="70">
        <f t="shared" si="14"/>
        <v>0</v>
      </c>
      <c r="AV9" s="2"/>
      <c r="AW9" s="66">
        <f t="shared" si="15"/>
        <v>0</v>
      </c>
      <c r="AX9" s="68">
        <f>_xlfn.IFNA(INDEX(Table3941[I $ p/ft2],MATCH(R9,Table3941[Film Type],0)),1.75)</f>
        <v>1.75</v>
      </c>
      <c r="AY9" s="69">
        <f>VLOOKUP(Z9,Table1349[#All],2,FALSE)</f>
        <v>1</v>
      </c>
      <c r="AZ9" s="68">
        <f t="shared" si="16"/>
        <v>1.75</v>
      </c>
      <c r="BA9" s="65">
        <f t="shared" si="17"/>
        <v>0</v>
      </c>
      <c r="BB9" s="64">
        <f t="shared" si="18"/>
        <v>0</v>
      </c>
      <c r="BC9" s="67">
        <f t="shared" si="19"/>
        <v>0</v>
      </c>
      <c r="BD9" s="66">
        <f t="shared" si="20"/>
        <v>0</v>
      </c>
      <c r="BE9" s="64"/>
      <c r="BF9" s="66">
        <f t="shared" si="21"/>
        <v>0</v>
      </c>
      <c r="BG9" s="66">
        <f t="shared" si="22"/>
        <v>0</v>
      </c>
      <c r="BH9" s="65">
        <f>VLOOKUP(AA9,Table1551[#All],2,FALSE)</f>
        <v>1</v>
      </c>
      <c r="BI9" s="65">
        <f t="shared" si="23"/>
        <v>0</v>
      </c>
      <c r="BJ9" s="64" t="str">
        <f t="shared" si="24"/>
        <v>0</v>
      </c>
      <c r="BQ9" s="1" t="s">
        <v>266</v>
      </c>
      <c r="BR9" s="1" t="s">
        <v>265</v>
      </c>
      <c r="BS9" s="1" t="s">
        <v>264</v>
      </c>
      <c r="BT9" s="1" t="s">
        <v>263</v>
      </c>
      <c r="BU9" s="1" t="s">
        <v>262</v>
      </c>
      <c r="BV9" s="1" t="s">
        <v>261</v>
      </c>
      <c r="BW9" s="6" t="s">
        <v>260</v>
      </c>
      <c r="BX9" s="6" t="s">
        <v>259</v>
      </c>
      <c r="BY9" s="6" t="s">
        <v>258</v>
      </c>
      <c r="BZ9" s="93"/>
      <c r="CA9" s="110">
        <v>1.5</v>
      </c>
      <c r="CB9" s="99">
        <v>20</v>
      </c>
      <c r="CC9" s="99" t="s">
        <v>55</v>
      </c>
      <c r="CD9" s="98">
        <v>1</v>
      </c>
      <c r="CE9" s="114" t="s">
        <v>245</v>
      </c>
      <c r="CF9" s="113">
        <v>1.5</v>
      </c>
      <c r="CG9" s="107" t="s">
        <v>257</v>
      </c>
      <c r="CH9" s="101"/>
      <c r="CI9" s="101" t="s">
        <v>256</v>
      </c>
      <c r="CJ9" s="3"/>
      <c r="CK9" s="112" t="s">
        <v>255</v>
      </c>
      <c r="CL9" s="2">
        <v>0</v>
      </c>
      <c r="CM9" s="2">
        <f t="shared" si="25"/>
        <v>0</v>
      </c>
      <c r="CN9" s="95">
        <v>0</v>
      </c>
      <c r="CO9" s="84">
        <f t="shared" si="26"/>
        <v>0</v>
      </c>
    </row>
    <row r="10" spans="1:96" ht="12" customHeight="1" thickBot="1" x14ac:dyDescent="0.5">
      <c r="A10" s="83"/>
      <c r="B10" s="266"/>
      <c r="C10" s="267"/>
      <c r="D10" s="267"/>
      <c r="E10" s="268"/>
      <c r="F10" s="64"/>
      <c r="G10" s="64"/>
      <c r="H10" s="82"/>
      <c r="I10" s="81"/>
      <c r="J10" s="64"/>
      <c r="K10" s="80"/>
      <c r="L10" s="79">
        <f t="shared" si="0"/>
        <v>0</v>
      </c>
      <c r="M10" s="64"/>
      <c r="N10" s="64"/>
      <c r="O10" s="64"/>
      <c r="P10" s="80"/>
      <c r="Q10" s="79">
        <f t="shared" si="1"/>
        <v>0</v>
      </c>
      <c r="R10" s="269"/>
      <c r="S10" s="270"/>
      <c r="T10" s="266"/>
      <c r="U10" s="267"/>
      <c r="V10" s="267"/>
      <c r="W10" s="268"/>
      <c r="X10" s="271" t="str">
        <f>IFERROR(INDEX(Table3941[],MATCH(R10,Table3941[Film Type],),3),"")</f>
        <v/>
      </c>
      <c r="Y10" s="271"/>
      <c r="Z10" s="78" t="s">
        <v>55</v>
      </c>
      <c r="AA10" s="78" t="s">
        <v>55</v>
      </c>
      <c r="AB10" s="77"/>
      <c r="AC10" s="76"/>
      <c r="AD10" s="75">
        <f t="shared" si="2"/>
        <v>0</v>
      </c>
      <c r="AG10" s="74">
        <f t="shared" si="3"/>
        <v>0</v>
      </c>
      <c r="AI10" s="100">
        <v>45</v>
      </c>
      <c r="AK10" s="65">
        <f t="shared" si="4"/>
        <v>0</v>
      </c>
      <c r="AL10" s="65">
        <f t="shared" si="5"/>
        <v>0</v>
      </c>
      <c r="AM10" s="65">
        <f t="shared" si="6"/>
        <v>0</v>
      </c>
      <c r="AN10" s="73">
        <f t="shared" si="7"/>
        <v>0</v>
      </c>
      <c r="AO10" s="65" t="str">
        <f t="shared" si="8"/>
        <v>0.00</v>
      </c>
      <c r="AP10" s="65" t="str">
        <f t="shared" si="9"/>
        <v>0</v>
      </c>
      <c r="AQ10" s="71">
        <f t="shared" si="10"/>
        <v>0</v>
      </c>
      <c r="AR10" s="72">
        <f t="shared" si="11"/>
        <v>0</v>
      </c>
      <c r="AS10" s="71">
        <f t="shared" si="12"/>
        <v>0</v>
      </c>
      <c r="AT10" s="70">
        <f t="shared" si="13"/>
        <v>0</v>
      </c>
      <c r="AU10" s="70">
        <f t="shared" si="14"/>
        <v>0</v>
      </c>
      <c r="AV10" s="2"/>
      <c r="AW10" s="66">
        <f t="shared" si="15"/>
        <v>0</v>
      </c>
      <c r="AX10" s="68">
        <f>_xlfn.IFNA(INDEX(Table3941[I $ p/ft2],MATCH(R10,Table3941[Film Type],0)),1.75)</f>
        <v>1.75</v>
      </c>
      <c r="AY10" s="69">
        <f>VLOOKUP(Z10,Table1349[#All],2,FALSE)</f>
        <v>1</v>
      </c>
      <c r="AZ10" s="68">
        <f t="shared" si="16"/>
        <v>1.75</v>
      </c>
      <c r="BA10" s="65">
        <f t="shared" si="17"/>
        <v>0</v>
      </c>
      <c r="BB10" s="64">
        <f t="shared" si="18"/>
        <v>0</v>
      </c>
      <c r="BC10" s="67">
        <f t="shared" si="19"/>
        <v>0</v>
      </c>
      <c r="BD10" s="66">
        <f t="shared" si="20"/>
        <v>0</v>
      </c>
      <c r="BE10" s="64"/>
      <c r="BF10" s="66">
        <f t="shared" si="21"/>
        <v>0</v>
      </c>
      <c r="BG10" s="66">
        <f t="shared" si="22"/>
        <v>0</v>
      </c>
      <c r="BH10" s="65">
        <f>VLOOKUP(AA10,Table1551[#All],2,FALSE)</f>
        <v>1</v>
      </c>
      <c r="BI10" s="65">
        <f t="shared" si="23"/>
        <v>0</v>
      </c>
      <c r="BJ10" s="64" t="str">
        <f t="shared" si="24"/>
        <v>0</v>
      </c>
      <c r="BL10" s="69"/>
      <c r="BM10" s="69" t="s">
        <v>254</v>
      </c>
      <c r="BQ10" s="1" t="s">
        <v>253</v>
      </c>
      <c r="BR10" s="1" t="s">
        <v>252</v>
      </c>
      <c r="BT10" s="1" t="s">
        <v>251</v>
      </c>
      <c r="BU10" s="1" t="s">
        <v>250</v>
      </c>
      <c r="BV10" s="1" t="s">
        <v>249</v>
      </c>
      <c r="BW10" s="6" t="s">
        <v>248</v>
      </c>
      <c r="BX10" s="6" t="s">
        <v>247</v>
      </c>
      <c r="BY10" s="6" t="s">
        <v>246</v>
      </c>
      <c r="BZ10" s="93"/>
      <c r="CA10" s="99">
        <v>2</v>
      </c>
      <c r="CB10" s="99">
        <v>30</v>
      </c>
      <c r="CC10" s="99" t="s">
        <v>245</v>
      </c>
      <c r="CD10" s="98">
        <v>1.5</v>
      </c>
      <c r="CE10" s="99" t="s">
        <v>233</v>
      </c>
      <c r="CF10" s="108">
        <v>2</v>
      </c>
      <c r="CG10" s="101" t="s">
        <v>244</v>
      </c>
      <c r="CH10" s="101"/>
      <c r="CI10" s="101"/>
      <c r="CJ10" s="94"/>
      <c r="CK10" s="86"/>
      <c r="CM10" s="2">
        <f t="shared" si="25"/>
        <v>0</v>
      </c>
      <c r="CN10" s="95"/>
      <c r="CO10" s="84">
        <f t="shared" si="26"/>
        <v>0</v>
      </c>
      <c r="CQ10" s="273" t="s">
        <v>243</v>
      </c>
      <c r="CR10" s="274"/>
    </row>
    <row r="11" spans="1:96" ht="12" customHeight="1" thickBot="1" x14ac:dyDescent="0.5">
      <c r="A11" s="83"/>
      <c r="B11" s="266"/>
      <c r="C11" s="267"/>
      <c r="D11" s="267"/>
      <c r="E11" s="268"/>
      <c r="F11" s="64"/>
      <c r="G11" s="64"/>
      <c r="H11" s="82"/>
      <c r="I11" s="81"/>
      <c r="J11" s="64"/>
      <c r="K11" s="80"/>
      <c r="L11" s="79">
        <f t="shared" si="0"/>
        <v>0</v>
      </c>
      <c r="M11" s="64"/>
      <c r="N11" s="64"/>
      <c r="O11" s="64"/>
      <c r="P11" s="80"/>
      <c r="Q11" s="79">
        <f t="shared" si="1"/>
        <v>0</v>
      </c>
      <c r="R11" s="269"/>
      <c r="S11" s="270"/>
      <c r="T11" s="266"/>
      <c r="U11" s="267"/>
      <c r="V11" s="267"/>
      <c r="W11" s="268"/>
      <c r="X11" s="271" t="str">
        <f>IFERROR(INDEX(Table3941[],MATCH(R11,Table3941[Film Type],),3),"")</f>
        <v/>
      </c>
      <c r="Y11" s="271"/>
      <c r="Z11" s="78" t="s">
        <v>55</v>
      </c>
      <c r="AA11" s="78" t="s">
        <v>55</v>
      </c>
      <c r="AB11" s="77"/>
      <c r="AC11" s="76"/>
      <c r="AD11" s="75">
        <f t="shared" si="2"/>
        <v>0</v>
      </c>
      <c r="AG11" s="74">
        <f t="shared" si="3"/>
        <v>0</v>
      </c>
      <c r="AK11" s="65">
        <f t="shared" si="4"/>
        <v>0</v>
      </c>
      <c r="AL11" s="65">
        <f t="shared" si="5"/>
        <v>0</v>
      </c>
      <c r="AM11" s="65">
        <f t="shared" si="6"/>
        <v>0</v>
      </c>
      <c r="AN11" s="73">
        <f t="shared" si="7"/>
        <v>0</v>
      </c>
      <c r="AO11" s="65" t="str">
        <f t="shared" si="8"/>
        <v>0.00</v>
      </c>
      <c r="AP11" s="65" t="str">
        <f t="shared" si="9"/>
        <v>0</v>
      </c>
      <c r="AQ11" s="71">
        <f t="shared" si="10"/>
        <v>0</v>
      </c>
      <c r="AR11" s="72">
        <f t="shared" si="11"/>
        <v>0</v>
      </c>
      <c r="AS11" s="71">
        <f t="shared" si="12"/>
        <v>0</v>
      </c>
      <c r="AT11" s="70">
        <f t="shared" si="13"/>
        <v>0</v>
      </c>
      <c r="AU11" s="70">
        <f t="shared" si="14"/>
        <v>0</v>
      </c>
      <c r="AV11" s="2"/>
      <c r="AW11" s="66">
        <f t="shared" si="15"/>
        <v>0</v>
      </c>
      <c r="AX11" s="68">
        <f>_xlfn.IFNA(INDEX(Table3941[I $ p/ft2],MATCH(R11,Table3941[Film Type],0)),1.75)</f>
        <v>1.75</v>
      </c>
      <c r="AY11" s="69">
        <f>VLOOKUP(Z11,Table1349[#All],2,FALSE)</f>
        <v>1</v>
      </c>
      <c r="AZ11" s="68">
        <f t="shared" si="16"/>
        <v>1.75</v>
      </c>
      <c r="BA11" s="65">
        <f t="shared" si="17"/>
        <v>0</v>
      </c>
      <c r="BB11" s="64">
        <f t="shared" si="18"/>
        <v>0</v>
      </c>
      <c r="BC11" s="67">
        <f t="shared" si="19"/>
        <v>0</v>
      </c>
      <c r="BD11" s="66">
        <f t="shared" si="20"/>
        <v>0</v>
      </c>
      <c r="BE11" s="64"/>
      <c r="BF11" s="66">
        <f t="shared" si="21"/>
        <v>0</v>
      </c>
      <c r="BG11" s="66">
        <f t="shared" si="22"/>
        <v>0</v>
      </c>
      <c r="BH11" s="65">
        <f>VLOOKUP(AA11,Table1551[#All],2,FALSE)</f>
        <v>1</v>
      </c>
      <c r="BI11" s="65">
        <f t="shared" si="23"/>
        <v>0</v>
      </c>
      <c r="BJ11" s="64" t="str">
        <f t="shared" si="24"/>
        <v>0</v>
      </c>
      <c r="BL11" s="111" t="s">
        <v>242</v>
      </c>
      <c r="BM11" s="65">
        <f>IF(W164&lt;&gt;"",W164,W163)</f>
        <v>0</v>
      </c>
      <c r="BQ11" s="1" t="s">
        <v>241</v>
      </c>
      <c r="BR11" s="1" t="s">
        <v>240</v>
      </c>
      <c r="BT11" s="1" t="s">
        <v>239</v>
      </c>
      <c r="BU11" s="1" t="s">
        <v>238</v>
      </c>
      <c r="BV11" s="1" t="s">
        <v>237</v>
      </c>
      <c r="BW11" s="6" t="s">
        <v>236</v>
      </c>
      <c r="BX11" s="6" t="s">
        <v>235</v>
      </c>
      <c r="BY11" s="6" t="s">
        <v>234</v>
      </c>
      <c r="BZ11" s="93"/>
      <c r="CA11" s="110">
        <v>2.5</v>
      </c>
      <c r="CB11" s="99">
        <v>45</v>
      </c>
      <c r="CC11" s="99" t="s">
        <v>233</v>
      </c>
      <c r="CD11" s="98">
        <v>2</v>
      </c>
      <c r="CE11" s="109" t="s">
        <v>232</v>
      </c>
      <c r="CF11" s="108">
        <v>2</v>
      </c>
      <c r="CG11" s="107" t="s">
        <v>231</v>
      </c>
      <c r="CH11" s="101"/>
      <c r="CI11" s="101"/>
      <c r="CJ11" s="94"/>
      <c r="CK11" s="86" t="s">
        <v>230</v>
      </c>
      <c r="CL11" s="2">
        <v>1</v>
      </c>
      <c r="CM11" s="2">
        <f t="shared" si="25"/>
        <v>1.1000000000000001</v>
      </c>
      <c r="CN11" s="87">
        <v>1.5</v>
      </c>
      <c r="CO11" s="84">
        <f t="shared" si="26"/>
        <v>0</v>
      </c>
      <c r="CQ11" s="106"/>
      <c r="CR11" s="105">
        <f>(CQ11+50)*1.0755</f>
        <v>53.774999999999991</v>
      </c>
    </row>
    <row r="12" spans="1:96" ht="12" customHeight="1" x14ac:dyDescent="0.45">
      <c r="A12" s="83"/>
      <c r="B12" s="266"/>
      <c r="C12" s="267"/>
      <c r="D12" s="267"/>
      <c r="E12" s="268"/>
      <c r="F12" s="64"/>
      <c r="G12" s="64"/>
      <c r="H12" s="82"/>
      <c r="I12" s="81"/>
      <c r="J12" s="64"/>
      <c r="K12" s="80"/>
      <c r="L12" s="79">
        <f t="shared" si="0"/>
        <v>0</v>
      </c>
      <c r="M12" s="64"/>
      <c r="N12" s="64"/>
      <c r="O12" s="64"/>
      <c r="P12" s="80"/>
      <c r="Q12" s="79">
        <f t="shared" si="1"/>
        <v>0</v>
      </c>
      <c r="R12" s="269"/>
      <c r="S12" s="270"/>
      <c r="T12" s="266"/>
      <c r="U12" s="267"/>
      <c r="V12" s="267"/>
      <c r="W12" s="268"/>
      <c r="X12" s="271" t="str">
        <f>IFERROR(INDEX(Table3941[],MATCH(R12,Table3941[Film Type],),3),"")</f>
        <v/>
      </c>
      <c r="Y12" s="271"/>
      <c r="Z12" s="78" t="s">
        <v>55</v>
      </c>
      <c r="AA12" s="78" t="s">
        <v>55</v>
      </c>
      <c r="AB12" s="77"/>
      <c r="AC12" s="76"/>
      <c r="AD12" s="75">
        <f t="shared" si="2"/>
        <v>0</v>
      </c>
      <c r="AG12" s="74">
        <f t="shared" si="3"/>
        <v>0</v>
      </c>
      <c r="AI12" s="104" t="s">
        <v>229</v>
      </c>
      <c r="AK12" s="65">
        <f t="shared" si="4"/>
        <v>0</v>
      </c>
      <c r="AL12" s="65">
        <f t="shared" si="5"/>
        <v>0</v>
      </c>
      <c r="AM12" s="65">
        <f t="shared" si="6"/>
        <v>0</v>
      </c>
      <c r="AN12" s="73">
        <f t="shared" si="7"/>
        <v>0</v>
      </c>
      <c r="AO12" s="65" t="str">
        <f t="shared" si="8"/>
        <v>0.00</v>
      </c>
      <c r="AP12" s="65" t="str">
        <f t="shared" si="9"/>
        <v>0</v>
      </c>
      <c r="AQ12" s="71">
        <f t="shared" si="10"/>
        <v>0</v>
      </c>
      <c r="AR12" s="72">
        <f t="shared" si="11"/>
        <v>0</v>
      </c>
      <c r="AS12" s="71">
        <f t="shared" si="12"/>
        <v>0</v>
      </c>
      <c r="AT12" s="70">
        <f t="shared" si="13"/>
        <v>0</v>
      </c>
      <c r="AU12" s="70">
        <f t="shared" si="14"/>
        <v>0</v>
      </c>
      <c r="AV12" s="2"/>
      <c r="AW12" s="66">
        <f t="shared" si="15"/>
        <v>0</v>
      </c>
      <c r="AX12" s="68">
        <f>_xlfn.IFNA(INDEX(Table3941[I $ p/ft2],MATCH(R12,Table3941[Film Type],0)),1.75)</f>
        <v>1.75</v>
      </c>
      <c r="AY12" s="69">
        <f>VLOOKUP(Z12,Table1349[#All],2,FALSE)</f>
        <v>1</v>
      </c>
      <c r="AZ12" s="68">
        <f t="shared" si="16"/>
        <v>1.75</v>
      </c>
      <c r="BA12" s="65">
        <f t="shared" si="17"/>
        <v>0</v>
      </c>
      <c r="BB12" s="64">
        <f t="shared" si="18"/>
        <v>0</v>
      </c>
      <c r="BC12" s="67">
        <f t="shared" si="19"/>
        <v>0</v>
      </c>
      <c r="BD12" s="66">
        <f t="shared" si="20"/>
        <v>0</v>
      </c>
      <c r="BE12" s="64"/>
      <c r="BF12" s="66">
        <f t="shared" si="21"/>
        <v>0</v>
      </c>
      <c r="BG12" s="66">
        <f t="shared" si="22"/>
        <v>0</v>
      </c>
      <c r="BH12" s="65">
        <f>VLOOKUP(AA12,Table1551[#All],2,FALSE)</f>
        <v>1</v>
      </c>
      <c r="BI12" s="65">
        <f t="shared" si="23"/>
        <v>0</v>
      </c>
      <c r="BJ12" s="64" t="str">
        <f t="shared" si="24"/>
        <v>0</v>
      </c>
      <c r="BL12" s="103" t="s">
        <v>228</v>
      </c>
      <c r="BM12" s="65">
        <f>IF(W171&lt;&gt;"",W171,W170)</f>
        <v>0</v>
      </c>
      <c r="BQ12" s="1" t="s">
        <v>227</v>
      </c>
      <c r="BR12" s="1" t="s">
        <v>226</v>
      </c>
      <c r="BT12" s="1" t="s">
        <v>225</v>
      </c>
      <c r="BW12" s="6" t="s">
        <v>224</v>
      </c>
      <c r="BX12" s="6" t="s">
        <v>223</v>
      </c>
      <c r="BY12" s="6" t="s">
        <v>222</v>
      </c>
      <c r="BZ12" s="93"/>
      <c r="CA12" s="102">
        <v>3</v>
      </c>
      <c r="CB12" s="102">
        <v>60</v>
      </c>
      <c r="CC12" s="99"/>
      <c r="CD12" s="98"/>
      <c r="CE12" s="6"/>
      <c r="CF12" s="6"/>
      <c r="CG12" s="101" t="s">
        <v>221</v>
      </c>
      <c r="CH12" s="101"/>
      <c r="CI12" s="101"/>
      <c r="CK12" s="86" t="s">
        <v>220</v>
      </c>
      <c r="CL12" s="2">
        <v>1.25</v>
      </c>
      <c r="CM12" s="2">
        <f t="shared" si="25"/>
        <v>1.375</v>
      </c>
      <c r="CN12" s="87">
        <v>1.5</v>
      </c>
      <c r="CO12" s="84">
        <f t="shared" si="26"/>
        <v>0</v>
      </c>
    </row>
    <row r="13" spans="1:96" ht="12" customHeight="1" thickBot="1" x14ac:dyDescent="0.5">
      <c r="A13" s="83"/>
      <c r="B13" s="266"/>
      <c r="C13" s="267"/>
      <c r="D13" s="267"/>
      <c r="E13" s="268"/>
      <c r="F13" s="64"/>
      <c r="G13" s="64"/>
      <c r="H13" s="82"/>
      <c r="I13" s="81"/>
      <c r="J13" s="64"/>
      <c r="K13" s="80"/>
      <c r="L13" s="79">
        <f t="shared" si="0"/>
        <v>0</v>
      </c>
      <c r="M13" s="64"/>
      <c r="N13" s="64"/>
      <c r="O13" s="64"/>
      <c r="P13" s="80"/>
      <c r="Q13" s="79">
        <f t="shared" si="1"/>
        <v>0</v>
      </c>
      <c r="R13" s="269"/>
      <c r="S13" s="270"/>
      <c r="T13" s="266"/>
      <c r="U13" s="267"/>
      <c r="V13" s="267"/>
      <c r="W13" s="268"/>
      <c r="X13" s="271" t="str">
        <f>IFERROR(INDEX(Table3941[],MATCH(R13,Table3941[Film Type],),3),"")</f>
        <v/>
      </c>
      <c r="Y13" s="271"/>
      <c r="Z13" s="78" t="s">
        <v>55</v>
      </c>
      <c r="AA13" s="78" t="s">
        <v>55</v>
      </c>
      <c r="AB13" s="77"/>
      <c r="AC13" s="76"/>
      <c r="AD13" s="75">
        <f t="shared" si="2"/>
        <v>0</v>
      </c>
      <c r="AG13" s="74">
        <f t="shared" si="3"/>
        <v>0</v>
      </c>
      <c r="AI13" s="100" t="b">
        <f>IF(Z2="Riverside/San B/Orange","$100",IF(Z2="San Diego","$88"))</f>
        <v>0</v>
      </c>
      <c r="AK13" s="65">
        <f t="shared" si="4"/>
        <v>0</v>
      </c>
      <c r="AL13" s="65">
        <f t="shared" si="5"/>
        <v>0</v>
      </c>
      <c r="AM13" s="65">
        <f t="shared" si="6"/>
        <v>0</v>
      </c>
      <c r="AN13" s="73">
        <f t="shared" si="7"/>
        <v>0</v>
      </c>
      <c r="AO13" s="65" t="str">
        <f t="shared" si="8"/>
        <v>0.00</v>
      </c>
      <c r="AP13" s="65" t="str">
        <f t="shared" si="9"/>
        <v>0</v>
      </c>
      <c r="AQ13" s="71">
        <f t="shared" si="10"/>
        <v>0</v>
      </c>
      <c r="AR13" s="72">
        <f t="shared" si="11"/>
        <v>0</v>
      </c>
      <c r="AS13" s="71">
        <f t="shared" si="12"/>
        <v>0</v>
      </c>
      <c r="AT13" s="70">
        <f t="shared" si="13"/>
        <v>0</v>
      </c>
      <c r="AU13" s="70">
        <f t="shared" si="14"/>
        <v>0</v>
      </c>
      <c r="AV13" s="2"/>
      <c r="AW13" s="66">
        <f t="shared" si="15"/>
        <v>0</v>
      </c>
      <c r="AX13" s="68">
        <f>_xlfn.IFNA(INDEX(Table3941[I $ p/ft2],MATCH(R13,Table3941[Film Type],0)),1.75)</f>
        <v>1.75</v>
      </c>
      <c r="AY13" s="69">
        <f>VLOOKUP(Z13,Table1349[#All],2,FALSE)</f>
        <v>1</v>
      </c>
      <c r="AZ13" s="68">
        <f t="shared" si="16"/>
        <v>1.75</v>
      </c>
      <c r="BA13" s="65">
        <f t="shared" si="17"/>
        <v>0</v>
      </c>
      <c r="BB13" s="64">
        <f t="shared" si="18"/>
        <v>0</v>
      </c>
      <c r="BC13" s="67">
        <f t="shared" si="19"/>
        <v>0</v>
      </c>
      <c r="BD13" s="66">
        <f t="shared" si="20"/>
        <v>0</v>
      </c>
      <c r="BE13" s="64"/>
      <c r="BF13" s="66">
        <f t="shared" si="21"/>
        <v>0</v>
      </c>
      <c r="BG13" s="66">
        <f t="shared" si="22"/>
        <v>0</v>
      </c>
      <c r="BH13" s="65">
        <f>VLOOKUP(AA13,Table1551[#All],2,FALSE)</f>
        <v>1</v>
      </c>
      <c r="BI13" s="65">
        <f t="shared" si="23"/>
        <v>0</v>
      </c>
      <c r="BJ13" s="64" t="str">
        <f t="shared" si="24"/>
        <v>0</v>
      </c>
      <c r="BM13" s="89"/>
      <c r="BQ13" s="1" t="s">
        <v>219</v>
      </c>
      <c r="BR13" s="1" t="s">
        <v>218</v>
      </c>
      <c r="BW13" s="6" t="s">
        <v>217</v>
      </c>
      <c r="BX13" s="6" t="s">
        <v>216</v>
      </c>
      <c r="BY13" s="6" t="s">
        <v>215</v>
      </c>
      <c r="BZ13" s="93"/>
      <c r="CA13" s="90">
        <v>3.5</v>
      </c>
      <c r="CB13" s="90">
        <v>90</v>
      </c>
      <c r="CC13" s="99"/>
      <c r="CD13" s="98"/>
      <c r="CE13" s="6"/>
      <c r="CF13" s="6"/>
      <c r="CG13" s="97"/>
      <c r="CH13" s="97"/>
      <c r="CI13" s="97"/>
      <c r="CJ13" s="6"/>
      <c r="CK13" s="86" t="s">
        <v>214</v>
      </c>
      <c r="CL13" s="2">
        <v>1.25</v>
      </c>
      <c r="CM13" s="2">
        <f t="shared" si="25"/>
        <v>1.375</v>
      </c>
      <c r="CN13" s="87">
        <v>1.5</v>
      </c>
      <c r="CO13" s="84">
        <f t="shared" si="26"/>
        <v>0</v>
      </c>
    </row>
    <row r="14" spans="1:96" ht="12" customHeight="1" x14ac:dyDescent="0.45">
      <c r="A14" s="83"/>
      <c r="B14" s="266"/>
      <c r="C14" s="267"/>
      <c r="D14" s="267"/>
      <c r="E14" s="268"/>
      <c r="F14" s="64"/>
      <c r="G14" s="64"/>
      <c r="H14" s="82"/>
      <c r="I14" s="81"/>
      <c r="J14" s="64"/>
      <c r="K14" s="80"/>
      <c r="L14" s="79">
        <f t="shared" si="0"/>
        <v>0</v>
      </c>
      <c r="M14" s="64"/>
      <c r="N14" s="64"/>
      <c r="O14" s="64"/>
      <c r="P14" s="80"/>
      <c r="Q14" s="79">
        <f t="shared" si="1"/>
        <v>0</v>
      </c>
      <c r="R14" s="269"/>
      <c r="S14" s="270"/>
      <c r="T14" s="266"/>
      <c r="U14" s="267"/>
      <c r="V14" s="267"/>
      <c r="W14" s="268"/>
      <c r="X14" s="271" t="str">
        <f>IFERROR(INDEX(Table3941[],MATCH(R14,Table3941[Film Type],),3),"")</f>
        <v/>
      </c>
      <c r="Y14" s="271"/>
      <c r="Z14" s="78" t="s">
        <v>55</v>
      </c>
      <c r="AA14" s="78" t="s">
        <v>55</v>
      </c>
      <c r="AB14" s="77"/>
      <c r="AC14" s="76"/>
      <c r="AD14" s="75">
        <f t="shared" si="2"/>
        <v>0</v>
      </c>
      <c r="AG14" s="74">
        <f t="shared" si="3"/>
        <v>0</v>
      </c>
      <c r="AK14" s="65">
        <f t="shared" si="4"/>
        <v>0</v>
      </c>
      <c r="AL14" s="65">
        <f t="shared" si="5"/>
        <v>0</v>
      </c>
      <c r="AM14" s="65">
        <f t="shared" si="6"/>
        <v>0</v>
      </c>
      <c r="AN14" s="73">
        <f t="shared" si="7"/>
        <v>0</v>
      </c>
      <c r="AO14" s="65" t="str">
        <f t="shared" si="8"/>
        <v>0.00</v>
      </c>
      <c r="AP14" s="65" t="str">
        <f t="shared" si="9"/>
        <v>0</v>
      </c>
      <c r="AQ14" s="71">
        <f t="shared" si="10"/>
        <v>0</v>
      </c>
      <c r="AR14" s="72">
        <f t="shared" si="11"/>
        <v>0</v>
      </c>
      <c r="AS14" s="71">
        <f t="shared" si="12"/>
        <v>0</v>
      </c>
      <c r="AT14" s="70">
        <f t="shared" si="13"/>
        <v>0</v>
      </c>
      <c r="AU14" s="70">
        <f t="shared" si="14"/>
        <v>0</v>
      </c>
      <c r="AV14" s="2"/>
      <c r="AW14" s="66">
        <f t="shared" si="15"/>
        <v>0</v>
      </c>
      <c r="AX14" s="68">
        <f>_xlfn.IFNA(INDEX(Table3941[I $ p/ft2],MATCH(R14,Table3941[Film Type],0)),1.75)</f>
        <v>1.75</v>
      </c>
      <c r="AY14" s="69">
        <f>VLOOKUP(Z14,Table1349[#All],2,FALSE)</f>
        <v>1</v>
      </c>
      <c r="AZ14" s="68">
        <f t="shared" si="16"/>
        <v>1.75</v>
      </c>
      <c r="BA14" s="65">
        <f t="shared" si="17"/>
        <v>0</v>
      </c>
      <c r="BB14" s="64">
        <f t="shared" si="18"/>
        <v>0</v>
      </c>
      <c r="BC14" s="67">
        <f t="shared" si="19"/>
        <v>0</v>
      </c>
      <c r="BD14" s="66">
        <f t="shared" si="20"/>
        <v>0</v>
      </c>
      <c r="BE14" s="64"/>
      <c r="BF14" s="66">
        <f t="shared" si="21"/>
        <v>0</v>
      </c>
      <c r="BG14" s="66">
        <f t="shared" si="22"/>
        <v>0</v>
      </c>
      <c r="BH14" s="65">
        <f>VLOOKUP(AA14,Table1551[#All],2,FALSE)</f>
        <v>1</v>
      </c>
      <c r="BI14" s="65">
        <f t="shared" si="23"/>
        <v>0</v>
      </c>
      <c r="BJ14" s="64" t="str">
        <f t="shared" si="24"/>
        <v>0</v>
      </c>
      <c r="BL14" s="89"/>
      <c r="BM14" s="89"/>
      <c r="BQ14" s="1" t="s">
        <v>213</v>
      </c>
      <c r="BW14" s="6" t="s">
        <v>212</v>
      </c>
      <c r="BX14" s="6" t="s">
        <v>211</v>
      </c>
      <c r="BY14" s="6" t="s">
        <v>210</v>
      </c>
      <c r="BZ14" s="93"/>
      <c r="CA14" s="90">
        <v>4</v>
      </c>
      <c r="CB14" s="90">
        <v>120</v>
      </c>
      <c r="CC14" s="94"/>
      <c r="CD14" s="96"/>
      <c r="CE14" s="6"/>
      <c r="CF14" s="6"/>
      <c r="CG14" s="92"/>
      <c r="CH14" s="92"/>
      <c r="CI14" s="92"/>
      <c r="CJ14" s="6"/>
      <c r="CK14" s="86" t="s">
        <v>209</v>
      </c>
      <c r="CL14" s="2">
        <v>1.25</v>
      </c>
      <c r="CM14" s="2">
        <f t="shared" si="25"/>
        <v>1.375</v>
      </c>
      <c r="CN14" s="87">
        <v>1.5</v>
      </c>
      <c r="CO14" s="84">
        <f t="shared" si="26"/>
        <v>0</v>
      </c>
    </row>
    <row r="15" spans="1:96" ht="12" customHeight="1" x14ac:dyDescent="0.45">
      <c r="A15" s="83"/>
      <c r="B15" s="266"/>
      <c r="C15" s="267"/>
      <c r="D15" s="267"/>
      <c r="E15" s="268"/>
      <c r="F15" s="64"/>
      <c r="G15" s="64"/>
      <c r="H15" s="82"/>
      <c r="I15" s="81"/>
      <c r="J15" s="64"/>
      <c r="K15" s="80"/>
      <c r="L15" s="79">
        <f t="shared" si="0"/>
        <v>0</v>
      </c>
      <c r="M15" s="64"/>
      <c r="N15" s="64"/>
      <c r="O15" s="64"/>
      <c r="P15" s="80"/>
      <c r="Q15" s="79">
        <f t="shared" si="1"/>
        <v>0</v>
      </c>
      <c r="R15" s="269"/>
      <c r="S15" s="270"/>
      <c r="T15" s="266"/>
      <c r="U15" s="267"/>
      <c r="V15" s="267"/>
      <c r="W15" s="268"/>
      <c r="X15" s="271" t="str">
        <f>IFERROR(INDEX(Table3941[],MATCH(R15,Table3941[Film Type],),3),"")</f>
        <v/>
      </c>
      <c r="Y15" s="271"/>
      <c r="Z15" s="78" t="s">
        <v>55</v>
      </c>
      <c r="AA15" s="78" t="s">
        <v>55</v>
      </c>
      <c r="AB15" s="77"/>
      <c r="AC15" s="76"/>
      <c r="AD15" s="75">
        <f t="shared" si="2"/>
        <v>0</v>
      </c>
      <c r="AG15" s="74">
        <f t="shared" si="3"/>
        <v>0</v>
      </c>
      <c r="AK15" s="65">
        <f t="shared" si="4"/>
        <v>0</v>
      </c>
      <c r="AL15" s="65">
        <f t="shared" si="5"/>
        <v>0</v>
      </c>
      <c r="AM15" s="65">
        <f t="shared" si="6"/>
        <v>0</v>
      </c>
      <c r="AN15" s="73">
        <f t="shared" si="7"/>
        <v>0</v>
      </c>
      <c r="AO15" s="65" t="str">
        <f t="shared" si="8"/>
        <v>0.00</v>
      </c>
      <c r="AP15" s="65" t="str">
        <f t="shared" si="9"/>
        <v>0</v>
      </c>
      <c r="AQ15" s="71">
        <f t="shared" si="10"/>
        <v>0</v>
      </c>
      <c r="AR15" s="72">
        <f t="shared" si="11"/>
        <v>0</v>
      </c>
      <c r="AS15" s="71">
        <f t="shared" si="12"/>
        <v>0</v>
      </c>
      <c r="AT15" s="70">
        <f t="shared" si="13"/>
        <v>0</v>
      </c>
      <c r="AU15" s="70">
        <f t="shared" si="14"/>
        <v>0</v>
      </c>
      <c r="AV15" s="2"/>
      <c r="AW15" s="66">
        <f t="shared" si="15"/>
        <v>0</v>
      </c>
      <c r="AX15" s="68">
        <f>_xlfn.IFNA(INDEX(Table3941[I $ p/ft2],MATCH(R15,Table3941[Film Type],0)),1.75)</f>
        <v>1.75</v>
      </c>
      <c r="AY15" s="69">
        <f>VLOOKUP(Z15,Table1349[#All],2,FALSE)</f>
        <v>1</v>
      </c>
      <c r="AZ15" s="68">
        <f t="shared" si="16"/>
        <v>1.75</v>
      </c>
      <c r="BA15" s="65">
        <f t="shared" si="17"/>
        <v>0</v>
      </c>
      <c r="BB15" s="64">
        <f t="shared" si="18"/>
        <v>0</v>
      </c>
      <c r="BC15" s="67">
        <f t="shared" si="19"/>
        <v>0</v>
      </c>
      <c r="BD15" s="66">
        <f t="shared" si="20"/>
        <v>0</v>
      </c>
      <c r="BE15" s="64"/>
      <c r="BF15" s="66">
        <f t="shared" si="21"/>
        <v>0</v>
      </c>
      <c r="BG15" s="66">
        <f t="shared" si="22"/>
        <v>0</v>
      </c>
      <c r="BH15" s="65">
        <f>VLOOKUP(AA15,Table1551[#All],2,FALSE)</f>
        <v>1</v>
      </c>
      <c r="BI15" s="65">
        <f t="shared" si="23"/>
        <v>0</v>
      </c>
      <c r="BJ15" s="64" t="str">
        <f t="shared" si="24"/>
        <v>0</v>
      </c>
      <c r="BL15" s="89"/>
      <c r="BM15" s="89"/>
      <c r="BQ15" s="1" t="s">
        <v>208</v>
      </c>
      <c r="BW15" s="6" t="s">
        <v>207</v>
      </c>
      <c r="BY15" s="6" t="s">
        <v>206</v>
      </c>
      <c r="BZ15" s="93"/>
      <c r="CA15" s="90">
        <v>4.5</v>
      </c>
      <c r="CB15" s="6"/>
      <c r="CC15" s="6"/>
      <c r="CE15" s="6"/>
      <c r="CF15" s="6"/>
      <c r="CG15" s="92"/>
      <c r="CH15" s="92"/>
      <c r="CI15" s="92"/>
      <c r="CJ15" s="6"/>
      <c r="CK15" s="86"/>
      <c r="CM15" s="2">
        <f t="shared" si="25"/>
        <v>0</v>
      </c>
      <c r="CN15" s="95"/>
      <c r="CO15" s="84">
        <f t="shared" si="26"/>
        <v>0</v>
      </c>
    </row>
    <row r="16" spans="1:96" ht="12" customHeight="1" x14ac:dyDescent="0.45">
      <c r="A16" s="83"/>
      <c r="B16" s="266"/>
      <c r="C16" s="267"/>
      <c r="D16" s="267"/>
      <c r="E16" s="268"/>
      <c r="F16" s="64"/>
      <c r="G16" s="64"/>
      <c r="H16" s="82"/>
      <c r="I16" s="81"/>
      <c r="J16" s="64"/>
      <c r="K16" s="80"/>
      <c r="L16" s="79">
        <f t="shared" si="0"/>
        <v>0</v>
      </c>
      <c r="M16" s="64"/>
      <c r="N16" s="64"/>
      <c r="O16" s="64"/>
      <c r="P16" s="80"/>
      <c r="Q16" s="79">
        <f t="shared" si="1"/>
        <v>0</v>
      </c>
      <c r="R16" s="269"/>
      <c r="S16" s="270"/>
      <c r="T16" s="266"/>
      <c r="U16" s="267"/>
      <c r="V16" s="267"/>
      <c r="W16" s="268"/>
      <c r="X16" s="271" t="str">
        <f>IFERROR(INDEX(Table3941[],MATCH(R16,Table3941[Film Type],),3),"")</f>
        <v/>
      </c>
      <c r="Y16" s="271"/>
      <c r="Z16" s="78" t="s">
        <v>55</v>
      </c>
      <c r="AA16" s="78" t="s">
        <v>55</v>
      </c>
      <c r="AB16" s="77"/>
      <c r="AC16" s="76"/>
      <c r="AD16" s="75">
        <f t="shared" si="2"/>
        <v>0</v>
      </c>
      <c r="AG16" s="74">
        <f t="shared" si="3"/>
        <v>0</v>
      </c>
      <c r="AK16" s="65">
        <f t="shared" si="4"/>
        <v>0</v>
      </c>
      <c r="AL16" s="65">
        <f t="shared" si="5"/>
        <v>0</v>
      </c>
      <c r="AM16" s="65">
        <f t="shared" si="6"/>
        <v>0</v>
      </c>
      <c r="AN16" s="73">
        <f t="shared" si="7"/>
        <v>0</v>
      </c>
      <c r="AO16" s="65" t="str">
        <f t="shared" si="8"/>
        <v>0.00</v>
      </c>
      <c r="AP16" s="65" t="str">
        <f t="shared" si="9"/>
        <v>0</v>
      </c>
      <c r="AQ16" s="71">
        <f t="shared" si="10"/>
        <v>0</v>
      </c>
      <c r="AR16" s="72">
        <f t="shared" si="11"/>
        <v>0</v>
      </c>
      <c r="AS16" s="71">
        <f t="shared" si="12"/>
        <v>0</v>
      </c>
      <c r="AT16" s="70">
        <f t="shared" si="13"/>
        <v>0</v>
      </c>
      <c r="AU16" s="70">
        <f t="shared" si="14"/>
        <v>0</v>
      </c>
      <c r="AV16" s="2"/>
      <c r="AW16" s="66">
        <f t="shared" si="15"/>
        <v>0</v>
      </c>
      <c r="AX16" s="68">
        <f>_xlfn.IFNA(INDEX(Table3941[I $ p/ft2],MATCH(R16,Table3941[Film Type],0)),1.75)</f>
        <v>1.75</v>
      </c>
      <c r="AY16" s="69">
        <f>VLOOKUP(Z16,Table1349[#All],2,FALSE)</f>
        <v>1</v>
      </c>
      <c r="AZ16" s="68">
        <f t="shared" si="16"/>
        <v>1.75</v>
      </c>
      <c r="BA16" s="65">
        <f t="shared" si="17"/>
        <v>0</v>
      </c>
      <c r="BB16" s="64">
        <f t="shared" si="18"/>
        <v>0</v>
      </c>
      <c r="BC16" s="67">
        <f t="shared" si="19"/>
        <v>0</v>
      </c>
      <c r="BD16" s="66">
        <f t="shared" si="20"/>
        <v>0</v>
      </c>
      <c r="BE16" s="64"/>
      <c r="BF16" s="66">
        <f t="shared" si="21"/>
        <v>0</v>
      </c>
      <c r="BG16" s="66">
        <f t="shared" si="22"/>
        <v>0</v>
      </c>
      <c r="BH16" s="65">
        <f>VLOOKUP(AA16,Table1551[#All],2,FALSE)</f>
        <v>1</v>
      </c>
      <c r="BI16" s="65">
        <f t="shared" si="23"/>
        <v>0</v>
      </c>
      <c r="BJ16" s="64" t="str">
        <f t="shared" si="24"/>
        <v>0</v>
      </c>
      <c r="BL16" s="89"/>
      <c r="BM16" s="89"/>
      <c r="BW16" s="6" t="s">
        <v>205</v>
      </c>
      <c r="BY16" s="6" t="s">
        <v>204</v>
      </c>
      <c r="BZ16" s="93"/>
      <c r="CA16" s="90">
        <v>5</v>
      </c>
      <c r="CB16" s="6"/>
      <c r="CC16" s="6"/>
      <c r="CE16" s="6"/>
      <c r="CF16" s="6"/>
      <c r="CG16" s="92"/>
      <c r="CH16" s="92"/>
      <c r="CI16" s="92"/>
      <c r="CJ16" s="6"/>
      <c r="CK16" s="86" t="s">
        <v>203</v>
      </c>
      <c r="CL16" s="2">
        <v>2.33</v>
      </c>
      <c r="CM16" s="2">
        <f t="shared" si="25"/>
        <v>2.5630000000000002</v>
      </c>
      <c r="CN16" s="87">
        <v>1.5</v>
      </c>
      <c r="CO16" s="84">
        <f t="shared" si="26"/>
        <v>0</v>
      </c>
    </row>
    <row r="17" spans="1:93" ht="12" customHeight="1" x14ac:dyDescent="0.45">
      <c r="A17" s="83"/>
      <c r="B17" s="266"/>
      <c r="C17" s="267"/>
      <c r="D17" s="267"/>
      <c r="E17" s="268"/>
      <c r="F17" s="64"/>
      <c r="G17" s="64"/>
      <c r="H17" s="82"/>
      <c r="I17" s="81"/>
      <c r="J17" s="64"/>
      <c r="K17" s="80"/>
      <c r="L17" s="79">
        <f t="shared" si="0"/>
        <v>0</v>
      </c>
      <c r="M17" s="64"/>
      <c r="N17" s="64"/>
      <c r="O17" s="64"/>
      <c r="P17" s="80"/>
      <c r="Q17" s="79">
        <f t="shared" si="1"/>
        <v>0</v>
      </c>
      <c r="R17" s="269"/>
      <c r="S17" s="270"/>
      <c r="T17" s="266"/>
      <c r="U17" s="267"/>
      <c r="V17" s="267"/>
      <c r="W17" s="268"/>
      <c r="X17" s="271" t="str">
        <f>IFERROR(INDEX(Table3941[],MATCH(R17,Table3941[Film Type],),3),"")</f>
        <v/>
      </c>
      <c r="Y17" s="271"/>
      <c r="Z17" s="78" t="s">
        <v>55</v>
      </c>
      <c r="AA17" s="78" t="s">
        <v>55</v>
      </c>
      <c r="AB17" s="77"/>
      <c r="AC17" s="76"/>
      <c r="AD17" s="75">
        <f t="shared" si="2"/>
        <v>0</v>
      </c>
      <c r="AG17" s="74">
        <f t="shared" si="3"/>
        <v>0</v>
      </c>
      <c r="AK17" s="65">
        <f t="shared" si="4"/>
        <v>0</v>
      </c>
      <c r="AL17" s="65">
        <f t="shared" si="5"/>
        <v>0</v>
      </c>
      <c r="AM17" s="65">
        <f t="shared" si="6"/>
        <v>0</v>
      </c>
      <c r="AN17" s="73">
        <f t="shared" si="7"/>
        <v>0</v>
      </c>
      <c r="AO17" s="65" t="str">
        <f t="shared" si="8"/>
        <v>0.00</v>
      </c>
      <c r="AP17" s="65" t="str">
        <f t="shared" si="9"/>
        <v>0</v>
      </c>
      <c r="AQ17" s="71">
        <f t="shared" si="10"/>
        <v>0</v>
      </c>
      <c r="AR17" s="72">
        <f t="shared" si="11"/>
        <v>0</v>
      </c>
      <c r="AS17" s="71">
        <f t="shared" si="12"/>
        <v>0</v>
      </c>
      <c r="AT17" s="70">
        <f t="shared" si="13"/>
        <v>0</v>
      </c>
      <c r="AU17" s="70">
        <f t="shared" si="14"/>
        <v>0</v>
      </c>
      <c r="AV17" s="2"/>
      <c r="AW17" s="66">
        <f t="shared" si="15"/>
        <v>0</v>
      </c>
      <c r="AX17" s="68">
        <f>_xlfn.IFNA(INDEX(Table3941[I $ p/ft2],MATCH(R17,Table3941[Film Type],0)),1.75)</f>
        <v>1.75</v>
      </c>
      <c r="AY17" s="69">
        <f>VLOOKUP(Z17,Table1349[#All],2,FALSE)</f>
        <v>1</v>
      </c>
      <c r="AZ17" s="68">
        <f t="shared" si="16"/>
        <v>1.75</v>
      </c>
      <c r="BA17" s="65">
        <f t="shared" si="17"/>
        <v>0</v>
      </c>
      <c r="BB17" s="64">
        <f t="shared" si="18"/>
        <v>0</v>
      </c>
      <c r="BC17" s="67">
        <f t="shared" si="19"/>
        <v>0</v>
      </c>
      <c r="BD17" s="66">
        <f t="shared" si="20"/>
        <v>0</v>
      </c>
      <c r="BE17" s="64"/>
      <c r="BF17" s="66">
        <f t="shared" si="21"/>
        <v>0</v>
      </c>
      <c r="BG17" s="66">
        <f t="shared" si="22"/>
        <v>0</v>
      </c>
      <c r="BH17" s="65">
        <f>VLOOKUP(AA17,Table1551[#All],2,FALSE)</f>
        <v>1</v>
      </c>
      <c r="BI17" s="65">
        <f t="shared" si="23"/>
        <v>0</v>
      </c>
      <c r="BJ17" s="64" t="str">
        <f t="shared" si="24"/>
        <v>0</v>
      </c>
      <c r="BL17" s="89"/>
      <c r="BM17" s="89"/>
      <c r="BW17" s="6" t="s">
        <v>202</v>
      </c>
      <c r="BY17" s="6" t="s">
        <v>201</v>
      </c>
      <c r="BZ17" s="93"/>
      <c r="CA17" s="90">
        <v>5.5</v>
      </c>
      <c r="CB17" s="6"/>
      <c r="CC17" s="6"/>
      <c r="CE17" s="6"/>
      <c r="CF17" s="6"/>
      <c r="CG17" s="94"/>
      <c r="CH17" s="94"/>
      <c r="CI17" s="94"/>
      <c r="CJ17" s="6"/>
      <c r="CK17" s="86" t="s">
        <v>200</v>
      </c>
      <c r="CL17" s="2">
        <v>2.21</v>
      </c>
      <c r="CM17" s="2">
        <f t="shared" si="25"/>
        <v>2.431</v>
      </c>
      <c r="CN17" s="87">
        <v>1.5</v>
      </c>
      <c r="CO17" s="84">
        <f t="shared" si="26"/>
        <v>0</v>
      </c>
    </row>
    <row r="18" spans="1:93" ht="12" customHeight="1" x14ac:dyDescent="0.45">
      <c r="A18" s="83"/>
      <c r="B18" s="266"/>
      <c r="C18" s="267"/>
      <c r="D18" s="267"/>
      <c r="E18" s="268"/>
      <c r="F18" s="64"/>
      <c r="G18" s="64"/>
      <c r="H18" s="82"/>
      <c r="I18" s="81"/>
      <c r="J18" s="64"/>
      <c r="K18" s="80"/>
      <c r="L18" s="79">
        <f t="shared" si="0"/>
        <v>0</v>
      </c>
      <c r="M18" s="64"/>
      <c r="N18" s="64"/>
      <c r="O18" s="64"/>
      <c r="P18" s="80"/>
      <c r="Q18" s="79">
        <f t="shared" si="1"/>
        <v>0</v>
      </c>
      <c r="R18" s="269"/>
      <c r="S18" s="270"/>
      <c r="T18" s="266"/>
      <c r="U18" s="267"/>
      <c r="V18" s="267"/>
      <c r="W18" s="268"/>
      <c r="X18" s="271" t="str">
        <f>IFERROR(INDEX(Table3941[],MATCH(R18,Table3941[Film Type],),3),"")</f>
        <v/>
      </c>
      <c r="Y18" s="271"/>
      <c r="Z18" s="78" t="s">
        <v>55</v>
      </c>
      <c r="AA18" s="78" t="s">
        <v>55</v>
      </c>
      <c r="AB18" s="77"/>
      <c r="AC18" s="76"/>
      <c r="AD18" s="75">
        <f t="shared" si="2"/>
        <v>0</v>
      </c>
      <c r="AG18" s="74">
        <f t="shared" si="3"/>
        <v>0</v>
      </c>
      <c r="AK18" s="65">
        <f t="shared" si="4"/>
        <v>0</v>
      </c>
      <c r="AL18" s="65">
        <f t="shared" si="5"/>
        <v>0</v>
      </c>
      <c r="AM18" s="65">
        <f t="shared" si="6"/>
        <v>0</v>
      </c>
      <c r="AN18" s="73">
        <f t="shared" si="7"/>
        <v>0</v>
      </c>
      <c r="AO18" s="65" t="str">
        <f t="shared" si="8"/>
        <v>0.00</v>
      </c>
      <c r="AP18" s="65" t="str">
        <f t="shared" si="9"/>
        <v>0</v>
      </c>
      <c r="AQ18" s="71">
        <f t="shared" si="10"/>
        <v>0</v>
      </c>
      <c r="AR18" s="72">
        <f t="shared" si="11"/>
        <v>0</v>
      </c>
      <c r="AS18" s="71">
        <f t="shared" si="12"/>
        <v>0</v>
      </c>
      <c r="AT18" s="70">
        <f t="shared" si="13"/>
        <v>0</v>
      </c>
      <c r="AU18" s="70">
        <f t="shared" si="14"/>
        <v>0</v>
      </c>
      <c r="AV18" s="2"/>
      <c r="AW18" s="66">
        <f t="shared" si="15"/>
        <v>0</v>
      </c>
      <c r="AX18" s="68">
        <f>_xlfn.IFNA(INDEX(Table3941[I $ p/ft2],MATCH(R18,Table3941[Film Type],0)),1.75)</f>
        <v>1.75</v>
      </c>
      <c r="AY18" s="69">
        <f>VLOOKUP(Z18,Table1349[#All],2,FALSE)</f>
        <v>1</v>
      </c>
      <c r="AZ18" s="68">
        <f t="shared" si="16"/>
        <v>1.75</v>
      </c>
      <c r="BA18" s="65">
        <f t="shared" si="17"/>
        <v>0</v>
      </c>
      <c r="BB18" s="64">
        <f t="shared" si="18"/>
        <v>0</v>
      </c>
      <c r="BC18" s="67">
        <f t="shared" si="19"/>
        <v>0</v>
      </c>
      <c r="BD18" s="66">
        <f t="shared" si="20"/>
        <v>0</v>
      </c>
      <c r="BE18" s="64"/>
      <c r="BF18" s="66">
        <f t="shared" si="21"/>
        <v>0</v>
      </c>
      <c r="BG18" s="66">
        <f t="shared" si="22"/>
        <v>0</v>
      </c>
      <c r="BH18" s="65">
        <f>VLOOKUP(AA18,Table1551[#All],2,FALSE)</f>
        <v>1</v>
      </c>
      <c r="BI18" s="65">
        <f t="shared" si="23"/>
        <v>0</v>
      </c>
      <c r="BJ18" s="64" t="str">
        <f t="shared" si="24"/>
        <v>0</v>
      </c>
      <c r="BL18" s="89"/>
      <c r="BM18" s="89"/>
      <c r="BW18" s="6" t="s">
        <v>199</v>
      </c>
      <c r="BY18" s="6" t="s">
        <v>198</v>
      </c>
      <c r="BZ18" s="93"/>
      <c r="CA18" s="90">
        <v>6</v>
      </c>
      <c r="CB18" s="6"/>
      <c r="CC18" s="6"/>
      <c r="CE18" s="6"/>
      <c r="CF18" s="6"/>
      <c r="CG18" s="92"/>
      <c r="CH18" s="92"/>
      <c r="CI18" s="92"/>
      <c r="CJ18" s="6"/>
      <c r="CK18" s="86" t="s">
        <v>197</v>
      </c>
      <c r="CL18" s="2">
        <v>2.15</v>
      </c>
      <c r="CM18" s="2">
        <f t="shared" si="25"/>
        <v>2.3650000000000002</v>
      </c>
      <c r="CN18" s="87">
        <v>1.5</v>
      </c>
      <c r="CO18" s="84">
        <f t="shared" si="26"/>
        <v>0</v>
      </c>
    </row>
    <row r="19" spans="1:93" ht="12" customHeight="1" x14ac:dyDescent="0.45">
      <c r="A19" s="83"/>
      <c r="B19" s="266"/>
      <c r="C19" s="267"/>
      <c r="D19" s="267"/>
      <c r="E19" s="268"/>
      <c r="F19" s="64"/>
      <c r="G19" s="64"/>
      <c r="H19" s="82"/>
      <c r="I19" s="81"/>
      <c r="J19" s="64"/>
      <c r="K19" s="80"/>
      <c r="L19" s="79">
        <f t="shared" si="0"/>
        <v>0</v>
      </c>
      <c r="M19" s="64"/>
      <c r="N19" s="64"/>
      <c r="O19" s="64"/>
      <c r="P19" s="80"/>
      <c r="Q19" s="79">
        <f t="shared" si="1"/>
        <v>0</v>
      </c>
      <c r="R19" s="269"/>
      <c r="S19" s="270"/>
      <c r="T19" s="266"/>
      <c r="U19" s="267"/>
      <c r="V19" s="267"/>
      <c r="W19" s="268"/>
      <c r="X19" s="271" t="str">
        <f>IFERROR(INDEX(Table3941[],MATCH(R19,Table3941[Film Type],),3),"")</f>
        <v/>
      </c>
      <c r="Y19" s="271"/>
      <c r="Z19" s="78" t="s">
        <v>55</v>
      </c>
      <c r="AA19" s="78" t="s">
        <v>55</v>
      </c>
      <c r="AB19" s="77"/>
      <c r="AC19" s="76"/>
      <c r="AD19" s="75">
        <f t="shared" si="2"/>
        <v>0</v>
      </c>
      <c r="AG19" s="74">
        <f t="shared" si="3"/>
        <v>0</v>
      </c>
      <c r="AK19" s="65">
        <f t="shared" si="4"/>
        <v>0</v>
      </c>
      <c r="AL19" s="65">
        <f t="shared" si="5"/>
        <v>0</v>
      </c>
      <c r="AM19" s="65">
        <f t="shared" si="6"/>
        <v>0</v>
      </c>
      <c r="AN19" s="73">
        <f t="shared" si="7"/>
        <v>0</v>
      </c>
      <c r="AO19" s="65" t="str">
        <f t="shared" si="8"/>
        <v>0.00</v>
      </c>
      <c r="AP19" s="65" t="str">
        <f t="shared" si="9"/>
        <v>0</v>
      </c>
      <c r="AQ19" s="71">
        <f t="shared" si="10"/>
        <v>0</v>
      </c>
      <c r="AR19" s="72">
        <f t="shared" si="11"/>
        <v>0</v>
      </c>
      <c r="AS19" s="71">
        <f t="shared" si="12"/>
        <v>0</v>
      </c>
      <c r="AT19" s="70">
        <f t="shared" si="13"/>
        <v>0</v>
      </c>
      <c r="AU19" s="70">
        <f t="shared" si="14"/>
        <v>0</v>
      </c>
      <c r="AV19" s="2"/>
      <c r="AW19" s="66">
        <f t="shared" si="15"/>
        <v>0</v>
      </c>
      <c r="AX19" s="68">
        <f>_xlfn.IFNA(INDEX(Table3941[I $ p/ft2],MATCH(R19,Table3941[Film Type],0)),1.75)</f>
        <v>1.75</v>
      </c>
      <c r="AY19" s="69">
        <f>VLOOKUP(Z19,Table1349[#All],2,FALSE)</f>
        <v>1</v>
      </c>
      <c r="AZ19" s="68">
        <f t="shared" si="16"/>
        <v>1.75</v>
      </c>
      <c r="BA19" s="65">
        <f t="shared" si="17"/>
        <v>0</v>
      </c>
      <c r="BB19" s="64">
        <f t="shared" si="18"/>
        <v>0</v>
      </c>
      <c r="BC19" s="67">
        <f t="shared" si="19"/>
        <v>0</v>
      </c>
      <c r="BD19" s="66">
        <f t="shared" si="20"/>
        <v>0</v>
      </c>
      <c r="BE19" s="64"/>
      <c r="BF19" s="66">
        <f t="shared" si="21"/>
        <v>0</v>
      </c>
      <c r="BG19" s="66">
        <f t="shared" si="22"/>
        <v>0</v>
      </c>
      <c r="BH19" s="65">
        <f>VLOOKUP(AA19,Table1551[#All],2,FALSE)</f>
        <v>1</v>
      </c>
      <c r="BI19" s="65">
        <f t="shared" si="23"/>
        <v>0</v>
      </c>
      <c r="BJ19" s="64" t="str">
        <f t="shared" si="24"/>
        <v>0</v>
      </c>
      <c r="BL19" s="89"/>
      <c r="BM19" s="89"/>
      <c r="BW19" s="6" t="s">
        <v>196</v>
      </c>
      <c r="BY19" s="6"/>
      <c r="BZ19" s="6"/>
      <c r="CA19" s="90">
        <v>6.5</v>
      </c>
      <c r="CB19" s="6"/>
      <c r="CC19" s="6"/>
      <c r="CG19" s="92"/>
      <c r="CH19" s="92"/>
      <c r="CI19" s="92"/>
      <c r="CJ19" s="6"/>
      <c r="CK19" s="86" t="s">
        <v>195</v>
      </c>
      <c r="CL19" s="2">
        <v>2.06</v>
      </c>
      <c r="CM19" s="2">
        <f t="shared" si="25"/>
        <v>2.2660000000000005</v>
      </c>
      <c r="CN19" s="87">
        <v>1.5</v>
      </c>
      <c r="CO19" s="84">
        <f t="shared" si="26"/>
        <v>0</v>
      </c>
    </row>
    <row r="20" spans="1:93" ht="12" customHeight="1" x14ac:dyDescent="0.45">
      <c r="A20" s="83"/>
      <c r="B20" s="266"/>
      <c r="C20" s="267"/>
      <c r="D20" s="267"/>
      <c r="E20" s="268"/>
      <c r="F20" s="64"/>
      <c r="G20" s="64"/>
      <c r="H20" s="82"/>
      <c r="I20" s="81"/>
      <c r="J20" s="64"/>
      <c r="K20" s="80"/>
      <c r="L20" s="79">
        <f t="shared" si="0"/>
        <v>0</v>
      </c>
      <c r="M20" s="64"/>
      <c r="N20" s="64"/>
      <c r="O20" s="64"/>
      <c r="P20" s="80"/>
      <c r="Q20" s="79">
        <f t="shared" si="1"/>
        <v>0</v>
      </c>
      <c r="R20" s="269"/>
      <c r="S20" s="270"/>
      <c r="T20" s="266"/>
      <c r="U20" s="267"/>
      <c r="V20" s="267"/>
      <c r="W20" s="268"/>
      <c r="X20" s="271" t="str">
        <f>IFERROR(INDEX(Table3941[],MATCH(R20,Table3941[Film Type],),3),"")</f>
        <v/>
      </c>
      <c r="Y20" s="271"/>
      <c r="Z20" s="78" t="s">
        <v>55</v>
      </c>
      <c r="AA20" s="78" t="s">
        <v>55</v>
      </c>
      <c r="AB20" s="77"/>
      <c r="AC20" s="76"/>
      <c r="AD20" s="75">
        <f t="shared" si="2"/>
        <v>0</v>
      </c>
      <c r="AG20" s="74">
        <f t="shared" si="3"/>
        <v>0</v>
      </c>
      <c r="AK20" s="65">
        <f t="shared" si="4"/>
        <v>0</v>
      </c>
      <c r="AL20" s="65">
        <f t="shared" si="5"/>
        <v>0</v>
      </c>
      <c r="AM20" s="65">
        <f t="shared" si="6"/>
        <v>0</v>
      </c>
      <c r="AN20" s="73">
        <f t="shared" si="7"/>
        <v>0</v>
      </c>
      <c r="AO20" s="65" t="str">
        <f t="shared" si="8"/>
        <v>0.00</v>
      </c>
      <c r="AP20" s="65" t="str">
        <f t="shared" si="9"/>
        <v>0</v>
      </c>
      <c r="AQ20" s="71">
        <f t="shared" si="10"/>
        <v>0</v>
      </c>
      <c r="AR20" s="72">
        <f t="shared" si="11"/>
        <v>0</v>
      </c>
      <c r="AS20" s="71">
        <f t="shared" si="12"/>
        <v>0</v>
      </c>
      <c r="AT20" s="70">
        <f t="shared" si="13"/>
        <v>0</v>
      </c>
      <c r="AU20" s="70">
        <f t="shared" si="14"/>
        <v>0</v>
      </c>
      <c r="AV20" s="2"/>
      <c r="AW20" s="66">
        <f t="shared" si="15"/>
        <v>0</v>
      </c>
      <c r="AX20" s="68">
        <f>_xlfn.IFNA(INDEX(Table3941[I $ p/ft2],MATCH(R20,Table3941[Film Type],0)),1.75)</f>
        <v>1.75</v>
      </c>
      <c r="AY20" s="69">
        <f>VLOOKUP(Z20,Table1349[#All],2,FALSE)</f>
        <v>1</v>
      </c>
      <c r="AZ20" s="68">
        <f t="shared" si="16"/>
        <v>1.75</v>
      </c>
      <c r="BA20" s="65">
        <f t="shared" si="17"/>
        <v>0</v>
      </c>
      <c r="BB20" s="64">
        <f t="shared" si="18"/>
        <v>0</v>
      </c>
      <c r="BC20" s="67">
        <f t="shared" si="19"/>
        <v>0</v>
      </c>
      <c r="BD20" s="66">
        <f t="shared" si="20"/>
        <v>0</v>
      </c>
      <c r="BE20" s="64"/>
      <c r="BF20" s="66">
        <f t="shared" si="21"/>
        <v>0</v>
      </c>
      <c r="BG20" s="66">
        <f t="shared" si="22"/>
        <v>0</v>
      </c>
      <c r="BH20" s="65">
        <f>VLOOKUP(AA20,Table1551[#All],2,FALSE)</f>
        <v>1</v>
      </c>
      <c r="BI20" s="65">
        <f t="shared" si="23"/>
        <v>0</v>
      </c>
      <c r="BJ20" s="64" t="str">
        <f t="shared" si="24"/>
        <v>0</v>
      </c>
      <c r="BM20" s="89"/>
      <c r="BW20" s="6" t="s">
        <v>194</v>
      </c>
      <c r="CA20" s="90">
        <v>7</v>
      </c>
      <c r="CB20" s="6"/>
      <c r="CC20" s="6"/>
      <c r="CG20" s="92"/>
      <c r="CH20" s="92"/>
      <c r="CI20" s="92"/>
      <c r="CK20" s="86" t="s">
        <v>193</v>
      </c>
      <c r="CL20" s="2">
        <v>1.87</v>
      </c>
      <c r="CM20" s="2">
        <f t="shared" si="25"/>
        <v>2.0570000000000004</v>
      </c>
      <c r="CN20" s="87">
        <v>1.5</v>
      </c>
      <c r="CO20" s="84">
        <f t="shared" si="26"/>
        <v>0</v>
      </c>
    </row>
    <row r="21" spans="1:93" ht="12" customHeight="1" x14ac:dyDescent="0.45">
      <c r="A21" s="83"/>
      <c r="B21" s="266"/>
      <c r="C21" s="267"/>
      <c r="D21" s="267"/>
      <c r="E21" s="268"/>
      <c r="F21" s="64"/>
      <c r="G21" s="64"/>
      <c r="H21" s="82"/>
      <c r="I21" s="81"/>
      <c r="J21" s="64"/>
      <c r="K21" s="80"/>
      <c r="L21" s="79">
        <f t="shared" si="0"/>
        <v>0</v>
      </c>
      <c r="M21" s="64"/>
      <c r="N21" s="64"/>
      <c r="O21" s="64"/>
      <c r="P21" s="80"/>
      <c r="Q21" s="79">
        <f t="shared" si="1"/>
        <v>0</v>
      </c>
      <c r="R21" s="269"/>
      <c r="S21" s="270"/>
      <c r="T21" s="266"/>
      <c r="U21" s="267"/>
      <c r="V21" s="267"/>
      <c r="W21" s="268"/>
      <c r="X21" s="271" t="str">
        <f>IFERROR(INDEX(Table3941[],MATCH(R21,Table3941[Film Type],),3),"")</f>
        <v/>
      </c>
      <c r="Y21" s="271"/>
      <c r="Z21" s="78" t="s">
        <v>55</v>
      </c>
      <c r="AA21" s="78" t="s">
        <v>55</v>
      </c>
      <c r="AB21" s="77"/>
      <c r="AC21" s="76"/>
      <c r="AD21" s="75">
        <f t="shared" si="2"/>
        <v>0</v>
      </c>
      <c r="AG21" s="74">
        <f t="shared" si="3"/>
        <v>0</v>
      </c>
      <c r="AK21" s="65">
        <f t="shared" si="4"/>
        <v>0</v>
      </c>
      <c r="AL21" s="65">
        <f t="shared" si="5"/>
        <v>0</v>
      </c>
      <c r="AM21" s="65">
        <f t="shared" si="6"/>
        <v>0</v>
      </c>
      <c r="AN21" s="73">
        <f t="shared" si="7"/>
        <v>0</v>
      </c>
      <c r="AO21" s="65" t="str">
        <f t="shared" si="8"/>
        <v>0.00</v>
      </c>
      <c r="AP21" s="65" t="str">
        <f t="shared" si="9"/>
        <v>0</v>
      </c>
      <c r="AQ21" s="71">
        <f t="shared" si="10"/>
        <v>0</v>
      </c>
      <c r="AR21" s="72">
        <f t="shared" si="11"/>
        <v>0</v>
      </c>
      <c r="AS21" s="71">
        <f t="shared" si="12"/>
        <v>0</v>
      </c>
      <c r="AT21" s="70">
        <f t="shared" si="13"/>
        <v>0</v>
      </c>
      <c r="AU21" s="70">
        <f t="shared" si="14"/>
        <v>0</v>
      </c>
      <c r="AV21" s="2"/>
      <c r="AW21" s="66">
        <f t="shared" si="15"/>
        <v>0</v>
      </c>
      <c r="AX21" s="68">
        <f>_xlfn.IFNA(INDEX(Table3941[I $ p/ft2],MATCH(R21,Table3941[Film Type],0)),1.75)</f>
        <v>1.75</v>
      </c>
      <c r="AY21" s="69">
        <f>VLOOKUP(Z21,Table1349[#All],2,FALSE)</f>
        <v>1</v>
      </c>
      <c r="AZ21" s="68">
        <f t="shared" si="16"/>
        <v>1.75</v>
      </c>
      <c r="BA21" s="65">
        <f t="shared" si="17"/>
        <v>0</v>
      </c>
      <c r="BB21" s="64">
        <f t="shared" si="18"/>
        <v>0</v>
      </c>
      <c r="BC21" s="67">
        <f t="shared" si="19"/>
        <v>0</v>
      </c>
      <c r="BD21" s="66">
        <f t="shared" si="20"/>
        <v>0</v>
      </c>
      <c r="BE21" s="64"/>
      <c r="BF21" s="66">
        <f t="shared" si="21"/>
        <v>0</v>
      </c>
      <c r="BG21" s="66">
        <f t="shared" si="22"/>
        <v>0</v>
      </c>
      <c r="BH21" s="65">
        <f>VLOOKUP(AA21,Table1551[#All],2,FALSE)</f>
        <v>1</v>
      </c>
      <c r="BI21" s="65">
        <f t="shared" si="23"/>
        <v>0</v>
      </c>
      <c r="BJ21" s="64" t="str">
        <f t="shared" si="24"/>
        <v>0</v>
      </c>
      <c r="BL21" s="89"/>
      <c r="BM21" s="89"/>
      <c r="BW21" s="6" t="s">
        <v>192</v>
      </c>
      <c r="CA21" s="90">
        <v>7.5</v>
      </c>
      <c r="CB21" s="6"/>
      <c r="CC21" s="6"/>
      <c r="CK21" s="86" t="s">
        <v>191</v>
      </c>
      <c r="CL21" s="2">
        <v>2.4900000000000002</v>
      </c>
      <c r="CM21" s="2">
        <f t="shared" si="25"/>
        <v>2.7390000000000003</v>
      </c>
      <c r="CN21" s="87">
        <v>1.5</v>
      </c>
      <c r="CO21" s="84">
        <f t="shared" si="26"/>
        <v>0</v>
      </c>
    </row>
    <row r="22" spans="1:93" ht="12" customHeight="1" x14ac:dyDescent="0.45">
      <c r="A22" s="83"/>
      <c r="B22" s="266"/>
      <c r="C22" s="267"/>
      <c r="D22" s="267"/>
      <c r="E22" s="268"/>
      <c r="F22" s="64"/>
      <c r="G22" s="64"/>
      <c r="H22" s="82"/>
      <c r="I22" s="81"/>
      <c r="J22" s="64"/>
      <c r="K22" s="80"/>
      <c r="L22" s="79">
        <f t="shared" si="0"/>
        <v>0</v>
      </c>
      <c r="M22" s="64"/>
      <c r="N22" s="64"/>
      <c r="O22" s="64"/>
      <c r="P22" s="80"/>
      <c r="Q22" s="79">
        <f t="shared" si="1"/>
        <v>0</v>
      </c>
      <c r="R22" s="269"/>
      <c r="S22" s="270"/>
      <c r="T22" s="266"/>
      <c r="U22" s="267"/>
      <c r="V22" s="267"/>
      <c r="W22" s="268"/>
      <c r="X22" s="271" t="str">
        <f>IFERROR(INDEX(Table3941[],MATCH(R22,Table3941[Film Type],),3),"")</f>
        <v/>
      </c>
      <c r="Y22" s="271"/>
      <c r="Z22" s="78" t="s">
        <v>55</v>
      </c>
      <c r="AA22" s="78" t="s">
        <v>55</v>
      </c>
      <c r="AB22" s="77"/>
      <c r="AC22" s="76"/>
      <c r="AD22" s="75">
        <f t="shared" si="2"/>
        <v>0</v>
      </c>
      <c r="AG22" s="74">
        <f t="shared" si="3"/>
        <v>0</v>
      </c>
      <c r="AK22" s="65">
        <f t="shared" si="4"/>
        <v>0</v>
      </c>
      <c r="AL22" s="65">
        <f t="shared" si="5"/>
        <v>0</v>
      </c>
      <c r="AM22" s="65">
        <f t="shared" si="6"/>
        <v>0</v>
      </c>
      <c r="AN22" s="73">
        <f t="shared" si="7"/>
        <v>0</v>
      </c>
      <c r="AO22" s="65" t="str">
        <f t="shared" si="8"/>
        <v>0.00</v>
      </c>
      <c r="AP22" s="65" t="str">
        <f t="shared" si="9"/>
        <v>0</v>
      </c>
      <c r="AQ22" s="71">
        <f t="shared" si="10"/>
        <v>0</v>
      </c>
      <c r="AR22" s="72">
        <f t="shared" si="11"/>
        <v>0</v>
      </c>
      <c r="AS22" s="71">
        <f t="shared" si="12"/>
        <v>0</v>
      </c>
      <c r="AT22" s="70">
        <f t="shared" si="13"/>
        <v>0</v>
      </c>
      <c r="AU22" s="70">
        <f t="shared" si="14"/>
        <v>0</v>
      </c>
      <c r="AV22" s="2"/>
      <c r="AW22" s="66">
        <f t="shared" si="15"/>
        <v>0</v>
      </c>
      <c r="AX22" s="68">
        <f>_xlfn.IFNA(INDEX(Table3941[I $ p/ft2],MATCH(R22,Table3941[Film Type],0)),1.75)</f>
        <v>1.75</v>
      </c>
      <c r="AY22" s="69">
        <f>VLOOKUP(Z22,Table1349[#All],2,FALSE)</f>
        <v>1</v>
      </c>
      <c r="AZ22" s="68">
        <f t="shared" si="16"/>
        <v>1.75</v>
      </c>
      <c r="BA22" s="65">
        <f t="shared" si="17"/>
        <v>0</v>
      </c>
      <c r="BB22" s="64">
        <f t="shared" si="18"/>
        <v>0</v>
      </c>
      <c r="BC22" s="67">
        <f t="shared" si="19"/>
        <v>0</v>
      </c>
      <c r="BD22" s="66">
        <f t="shared" si="20"/>
        <v>0</v>
      </c>
      <c r="BE22" s="64"/>
      <c r="BF22" s="66">
        <f t="shared" si="21"/>
        <v>0</v>
      </c>
      <c r="BG22" s="66">
        <f t="shared" si="22"/>
        <v>0</v>
      </c>
      <c r="BH22" s="65">
        <f>VLOOKUP(AA22,Table1551[#All],2,FALSE)</f>
        <v>1</v>
      </c>
      <c r="BI22" s="65">
        <f t="shared" si="23"/>
        <v>0</v>
      </c>
      <c r="BJ22" s="64" t="str">
        <f t="shared" si="24"/>
        <v>0</v>
      </c>
      <c r="BL22" s="89"/>
      <c r="BM22" s="89"/>
      <c r="BW22" s="6" t="s">
        <v>190</v>
      </c>
      <c r="CA22" s="90">
        <v>8</v>
      </c>
      <c r="CB22" s="6"/>
      <c r="CK22" s="86" t="s">
        <v>189</v>
      </c>
      <c r="CL22" s="2">
        <v>2.4900000000000002</v>
      </c>
      <c r="CM22" s="2">
        <f t="shared" si="25"/>
        <v>2.7390000000000003</v>
      </c>
      <c r="CN22" s="87">
        <v>1.5</v>
      </c>
      <c r="CO22" s="84">
        <f t="shared" si="26"/>
        <v>0</v>
      </c>
    </row>
    <row r="23" spans="1:93" ht="12" customHeight="1" x14ac:dyDescent="0.45">
      <c r="A23" s="83"/>
      <c r="B23" s="266"/>
      <c r="C23" s="267"/>
      <c r="D23" s="267"/>
      <c r="E23" s="268"/>
      <c r="F23" s="64"/>
      <c r="G23" s="64"/>
      <c r="H23" s="82"/>
      <c r="I23" s="81"/>
      <c r="J23" s="64"/>
      <c r="K23" s="80"/>
      <c r="L23" s="79">
        <f t="shared" si="0"/>
        <v>0</v>
      </c>
      <c r="M23" s="64"/>
      <c r="N23" s="64"/>
      <c r="O23" s="64"/>
      <c r="P23" s="80"/>
      <c r="Q23" s="79">
        <f t="shared" si="1"/>
        <v>0</v>
      </c>
      <c r="R23" s="269"/>
      <c r="S23" s="270"/>
      <c r="T23" s="266"/>
      <c r="U23" s="267"/>
      <c r="V23" s="267"/>
      <c r="W23" s="268"/>
      <c r="X23" s="271" t="str">
        <f>IFERROR(INDEX(Table3941[],MATCH(R23,Table3941[Film Type],),3),"")</f>
        <v/>
      </c>
      <c r="Y23" s="271"/>
      <c r="Z23" s="78" t="s">
        <v>55</v>
      </c>
      <c r="AA23" s="78" t="s">
        <v>55</v>
      </c>
      <c r="AB23" s="77"/>
      <c r="AC23" s="76"/>
      <c r="AD23" s="75">
        <f t="shared" si="2"/>
        <v>0</v>
      </c>
      <c r="AG23" s="74">
        <f t="shared" si="3"/>
        <v>0</v>
      </c>
      <c r="AK23" s="65">
        <f t="shared" si="4"/>
        <v>0</v>
      </c>
      <c r="AL23" s="65">
        <f t="shared" si="5"/>
        <v>0</v>
      </c>
      <c r="AM23" s="65">
        <f t="shared" si="6"/>
        <v>0</v>
      </c>
      <c r="AN23" s="73">
        <f t="shared" si="7"/>
        <v>0</v>
      </c>
      <c r="AO23" s="65" t="str">
        <f t="shared" si="8"/>
        <v>0.00</v>
      </c>
      <c r="AP23" s="65" t="str">
        <f t="shared" si="9"/>
        <v>0</v>
      </c>
      <c r="AQ23" s="71">
        <f t="shared" si="10"/>
        <v>0</v>
      </c>
      <c r="AR23" s="72">
        <f t="shared" si="11"/>
        <v>0</v>
      </c>
      <c r="AS23" s="71">
        <f t="shared" si="12"/>
        <v>0</v>
      </c>
      <c r="AT23" s="70">
        <f t="shared" si="13"/>
        <v>0</v>
      </c>
      <c r="AU23" s="70">
        <f t="shared" si="14"/>
        <v>0</v>
      </c>
      <c r="AV23" s="2"/>
      <c r="AW23" s="66">
        <f t="shared" si="15"/>
        <v>0</v>
      </c>
      <c r="AX23" s="68">
        <f>_xlfn.IFNA(INDEX(Table3941[I $ p/ft2],MATCH(R23,Table3941[Film Type],0)),1.75)</f>
        <v>1.75</v>
      </c>
      <c r="AY23" s="69">
        <f>VLOOKUP(Z23,Table1349[#All],2,FALSE)</f>
        <v>1</v>
      </c>
      <c r="AZ23" s="68">
        <f t="shared" si="16"/>
        <v>1.75</v>
      </c>
      <c r="BA23" s="65">
        <f t="shared" si="17"/>
        <v>0</v>
      </c>
      <c r="BB23" s="64">
        <f t="shared" si="18"/>
        <v>0</v>
      </c>
      <c r="BC23" s="67">
        <f t="shared" si="19"/>
        <v>0</v>
      </c>
      <c r="BD23" s="66">
        <f t="shared" si="20"/>
        <v>0</v>
      </c>
      <c r="BE23" s="64"/>
      <c r="BF23" s="66">
        <f t="shared" si="21"/>
        <v>0</v>
      </c>
      <c r="BG23" s="66">
        <f t="shared" si="22"/>
        <v>0</v>
      </c>
      <c r="BH23" s="65">
        <f>VLOOKUP(AA23,Table1551[#All],2,FALSE)</f>
        <v>1</v>
      </c>
      <c r="BI23" s="65">
        <f t="shared" si="23"/>
        <v>0</v>
      </c>
      <c r="BJ23" s="64" t="str">
        <f t="shared" si="24"/>
        <v>0</v>
      </c>
      <c r="BL23" s="89"/>
      <c r="BM23" s="89"/>
      <c r="BW23" s="6" t="s">
        <v>188</v>
      </c>
      <c r="CA23" s="91">
        <v>8.5</v>
      </c>
      <c r="CK23" s="86" t="s">
        <v>187</v>
      </c>
      <c r="CL23" s="2">
        <v>2.4900000000000002</v>
      </c>
      <c r="CM23" s="2">
        <f t="shared" si="25"/>
        <v>2.7390000000000003</v>
      </c>
      <c r="CN23" s="87">
        <v>1.5</v>
      </c>
      <c r="CO23" s="84">
        <f t="shared" si="26"/>
        <v>0</v>
      </c>
    </row>
    <row r="24" spans="1:93" ht="12" customHeight="1" x14ac:dyDescent="0.45">
      <c r="A24" s="83"/>
      <c r="B24" s="266"/>
      <c r="C24" s="267"/>
      <c r="D24" s="267"/>
      <c r="E24" s="268"/>
      <c r="F24" s="64"/>
      <c r="G24" s="64"/>
      <c r="H24" s="82"/>
      <c r="I24" s="81"/>
      <c r="J24" s="64"/>
      <c r="K24" s="80"/>
      <c r="L24" s="79">
        <f t="shared" si="0"/>
        <v>0</v>
      </c>
      <c r="M24" s="64"/>
      <c r="N24" s="64"/>
      <c r="O24" s="64"/>
      <c r="P24" s="80"/>
      <c r="Q24" s="79">
        <f t="shared" si="1"/>
        <v>0</v>
      </c>
      <c r="R24" s="269"/>
      <c r="S24" s="270"/>
      <c r="T24" s="266"/>
      <c r="U24" s="267"/>
      <c r="V24" s="267"/>
      <c r="W24" s="268"/>
      <c r="X24" s="271" t="str">
        <f>IFERROR(INDEX(Table3941[],MATCH(R24,Table3941[Film Type],),3),"")</f>
        <v/>
      </c>
      <c r="Y24" s="271"/>
      <c r="Z24" s="78" t="s">
        <v>55</v>
      </c>
      <c r="AA24" s="78" t="s">
        <v>55</v>
      </c>
      <c r="AB24" s="77"/>
      <c r="AC24" s="76"/>
      <c r="AD24" s="75">
        <f t="shared" si="2"/>
        <v>0</v>
      </c>
      <c r="AG24" s="74">
        <f t="shared" si="3"/>
        <v>0</v>
      </c>
      <c r="AK24" s="65">
        <f t="shared" si="4"/>
        <v>0</v>
      </c>
      <c r="AL24" s="65">
        <f t="shared" si="5"/>
        <v>0</v>
      </c>
      <c r="AM24" s="65">
        <f t="shared" si="6"/>
        <v>0</v>
      </c>
      <c r="AN24" s="73">
        <f t="shared" si="7"/>
        <v>0</v>
      </c>
      <c r="AO24" s="65" t="str">
        <f t="shared" si="8"/>
        <v>0.00</v>
      </c>
      <c r="AP24" s="65" t="str">
        <f t="shared" si="9"/>
        <v>0</v>
      </c>
      <c r="AQ24" s="71">
        <f t="shared" si="10"/>
        <v>0</v>
      </c>
      <c r="AR24" s="72">
        <f t="shared" si="11"/>
        <v>0</v>
      </c>
      <c r="AS24" s="71">
        <f t="shared" si="12"/>
        <v>0</v>
      </c>
      <c r="AT24" s="70">
        <f t="shared" si="13"/>
        <v>0</v>
      </c>
      <c r="AU24" s="70">
        <f t="shared" si="14"/>
        <v>0</v>
      </c>
      <c r="AV24" s="2"/>
      <c r="AW24" s="66">
        <f t="shared" si="15"/>
        <v>0</v>
      </c>
      <c r="AX24" s="68">
        <f>_xlfn.IFNA(INDEX(Table3941[I $ p/ft2],MATCH(R24,Table3941[Film Type],0)),1.75)</f>
        <v>1.75</v>
      </c>
      <c r="AY24" s="69">
        <f>VLOOKUP(Z24,Table1349[#All],2,FALSE)</f>
        <v>1</v>
      </c>
      <c r="AZ24" s="68">
        <f t="shared" si="16"/>
        <v>1.75</v>
      </c>
      <c r="BA24" s="65">
        <f t="shared" si="17"/>
        <v>0</v>
      </c>
      <c r="BB24" s="64">
        <f t="shared" si="18"/>
        <v>0</v>
      </c>
      <c r="BC24" s="67">
        <f t="shared" si="19"/>
        <v>0</v>
      </c>
      <c r="BD24" s="66">
        <f t="shared" si="20"/>
        <v>0</v>
      </c>
      <c r="BE24" s="64"/>
      <c r="BF24" s="66">
        <f t="shared" si="21"/>
        <v>0</v>
      </c>
      <c r="BG24" s="66">
        <f t="shared" si="22"/>
        <v>0</v>
      </c>
      <c r="BH24" s="65">
        <f>VLOOKUP(AA24,Table1551[#All],2,FALSE)</f>
        <v>1</v>
      </c>
      <c r="BI24" s="65">
        <f t="shared" si="23"/>
        <v>0</v>
      </c>
      <c r="BJ24" s="64" t="str">
        <f t="shared" si="24"/>
        <v>0</v>
      </c>
      <c r="BL24" s="89"/>
      <c r="BM24" s="89"/>
      <c r="BW24" s="6" t="s">
        <v>186</v>
      </c>
      <c r="CA24" s="90">
        <v>9</v>
      </c>
      <c r="CK24" s="86" t="s">
        <v>185</v>
      </c>
      <c r="CL24" s="2">
        <v>3.28</v>
      </c>
      <c r="CM24" s="2">
        <f t="shared" si="25"/>
        <v>3.6080000000000001</v>
      </c>
      <c r="CN24" s="87">
        <v>1.5</v>
      </c>
      <c r="CO24" s="84">
        <f t="shared" si="26"/>
        <v>0</v>
      </c>
    </row>
    <row r="25" spans="1:93" ht="12" customHeight="1" x14ac:dyDescent="0.45">
      <c r="A25" s="83"/>
      <c r="B25" s="266"/>
      <c r="C25" s="267"/>
      <c r="D25" s="267"/>
      <c r="E25" s="268"/>
      <c r="F25" s="64"/>
      <c r="G25" s="64"/>
      <c r="H25" s="82"/>
      <c r="I25" s="81"/>
      <c r="J25" s="64"/>
      <c r="K25" s="80"/>
      <c r="L25" s="79">
        <f t="shared" si="0"/>
        <v>0</v>
      </c>
      <c r="M25" s="64"/>
      <c r="N25" s="64"/>
      <c r="O25" s="64"/>
      <c r="P25" s="80"/>
      <c r="Q25" s="79">
        <f t="shared" si="1"/>
        <v>0</v>
      </c>
      <c r="R25" s="269"/>
      <c r="S25" s="270"/>
      <c r="T25" s="266"/>
      <c r="U25" s="267"/>
      <c r="V25" s="267"/>
      <c r="W25" s="268"/>
      <c r="X25" s="271" t="str">
        <f>IFERROR(INDEX(Table3941[],MATCH(R25,Table3941[Film Type],),3),"")</f>
        <v/>
      </c>
      <c r="Y25" s="271"/>
      <c r="Z25" s="78" t="s">
        <v>55</v>
      </c>
      <c r="AA25" s="78" t="s">
        <v>55</v>
      </c>
      <c r="AB25" s="77"/>
      <c r="AC25" s="76"/>
      <c r="AD25" s="75">
        <f t="shared" si="2"/>
        <v>0</v>
      </c>
      <c r="AG25" s="74">
        <f t="shared" si="3"/>
        <v>0</v>
      </c>
      <c r="AK25" s="65">
        <f t="shared" si="4"/>
        <v>0</v>
      </c>
      <c r="AL25" s="65">
        <f t="shared" si="5"/>
        <v>0</v>
      </c>
      <c r="AM25" s="65">
        <f t="shared" si="6"/>
        <v>0</v>
      </c>
      <c r="AN25" s="73">
        <f t="shared" si="7"/>
        <v>0</v>
      </c>
      <c r="AO25" s="65" t="str">
        <f t="shared" si="8"/>
        <v>0.00</v>
      </c>
      <c r="AP25" s="65" t="str">
        <f t="shared" si="9"/>
        <v>0</v>
      </c>
      <c r="AQ25" s="71">
        <f t="shared" si="10"/>
        <v>0</v>
      </c>
      <c r="AR25" s="72">
        <f t="shared" si="11"/>
        <v>0</v>
      </c>
      <c r="AS25" s="71">
        <f t="shared" si="12"/>
        <v>0</v>
      </c>
      <c r="AT25" s="70">
        <f t="shared" si="13"/>
        <v>0</v>
      </c>
      <c r="AU25" s="70">
        <f t="shared" si="14"/>
        <v>0</v>
      </c>
      <c r="AV25" s="2"/>
      <c r="AW25" s="66">
        <f t="shared" si="15"/>
        <v>0</v>
      </c>
      <c r="AX25" s="68">
        <f>_xlfn.IFNA(INDEX(Table3941[I $ p/ft2],MATCH(R25,Table3941[Film Type],0)),1.75)</f>
        <v>1.75</v>
      </c>
      <c r="AY25" s="69">
        <f>VLOOKUP(Z25,Table1349[#All],2,FALSE)</f>
        <v>1</v>
      </c>
      <c r="AZ25" s="68">
        <f t="shared" si="16"/>
        <v>1.75</v>
      </c>
      <c r="BA25" s="65">
        <f t="shared" si="17"/>
        <v>0</v>
      </c>
      <c r="BB25" s="64">
        <f t="shared" si="18"/>
        <v>0</v>
      </c>
      <c r="BC25" s="67">
        <f t="shared" si="19"/>
        <v>0</v>
      </c>
      <c r="BD25" s="66">
        <f t="shared" si="20"/>
        <v>0</v>
      </c>
      <c r="BE25" s="64"/>
      <c r="BF25" s="66">
        <f t="shared" si="21"/>
        <v>0</v>
      </c>
      <c r="BG25" s="66">
        <f t="shared" si="22"/>
        <v>0</v>
      </c>
      <c r="BH25" s="65">
        <f>VLOOKUP(AA25,Table1551[#All],2,FALSE)</f>
        <v>1</v>
      </c>
      <c r="BI25" s="65">
        <f t="shared" si="23"/>
        <v>0</v>
      </c>
      <c r="BJ25" s="64" t="str">
        <f t="shared" si="24"/>
        <v>0</v>
      </c>
      <c r="BL25" s="89"/>
      <c r="BM25" s="89"/>
      <c r="BW25" s="6" t="s">
        <v>184</v>
      </c>
      <c r="CA25" s="91">
        <v>9.5</v>
      </c>
      <c r="CK25" s="86" t="s">
        <v>183</v>
      </c>
      <c r="CL25" s="2">
        <v>3.28</v>
      </c>
      <c r="CM25" s="2">
        <f t="shared" si="25"/>
        <v>3.6080000000000001</v>
      </c>
      <c r="CN25" s="87">
        <v>1.5</v>
      </c>
      <c r="CO25" s="84">
        <f t="shared" si="26"/>
        <v>0</v>
      </c>
    </row>
    <row r="26" spans="1:93" ht="12" customHeight="1" x14ac:dyDescent="0.45">
      <c r="A26" s="83"/>
      <c r="B26" s="266"/>
      <c r="C26" s="267"/>
      <c r="D26" s="267"/>
      <c r="E26" s="268"/>
      <c r="F26" s="64"/>
      <c r="G26" s="64"/>
      <c r="H26" s="82"/>
      <c r="I26" s="81"/>
      <c r="J26" s="64"/>
      <c r="K26" s="80"/>
      <c r="L26" s="79">
        <f t="shared" si="0"/>
        <v>0</v>
      </c>
      <c r="M26" s="64"/>
      <c r="N26" s="64"/>
      <c r="O26" s="64"/>
      <c r="P26" s="80"/>
      <c r="Q26" s="79">
        <f t="shared" si="1"/>
        <v>0</v>
      </c>
      <c r="R26" s="269"/>
      <c r="S26" s="270"/>
      <c r="T26" s="266"/>
      <c r="U26" s="267"/>
      <c r="V26" s="267"/>
      <c r="W26" s="268"/>
      <c r="X26" s="271" t="str">
        <f>IFERROR(INDEX(Table3941[],MATCH(R26,Table3941[Film Type],),3),"")</f>
        <v/>
      </c>
      <c r="Y26" s="271"/>
      <c r="Z26" s="78" t="s">
        <v>55</v>
      </c>
      <c r="AA26" s="78" t="s">
        <v>55</v>
      </c>
      <c r="AB26" s="77"/>
      <c r="AC26" s="76"/>
      <c r="AD26" s="75">
        <f t="shared" si="2"/>
        <v>0</v>
      </c>
      <c r="AG26" s="74">
        <f t="shared" si="3"/>
        <v>0</v>
      </c>
      <c r="AK26" s="65">
        <f t="shared" si="4"/>
        <v>0</v>
      </c>
      <c r="AL26" s="65">
        <f t="shared" si="5"/>
        <v>0</v>
      </c>
      <c r="AM26" s="65">
        <f t="shared" si="6"/>
        <v>0</v>
      </c>
      <c r="AN26" s="73">
        <f t="shared" si="7"/>
        <v>0</v>
      </c>
      <c r="AO26" s="65" t="str">
        <f t="shared" si="8"/>
        <v>0.00</v>
      </c>
      <c r="AP26" s="65" t="str">
        <f t="shared" si="9"/>
        <v>0</v>
      </c>
      <c r="AQ26" s="71">
        <f t="shared" si="10"/>
        <v>0</v>
      </c>
      <c r="AR26" s="72">
        <f t="shared" si="11"/>
        <v>0</v>
      </c>
      <c r="AS26" s="71">
        <f t="shared" si="12"/>
        <v>0</v>
      </c>
      <c r="AT26" s="70">
        <f t="shared" si="13"/>
        <v>0</v>
      </c>
      <c r="AU26" s="70">
        <f t="shared" si="14"/>
        <v>0</v>
      </c>
      <c r="AV26" s="2"/>
      <c r="AW26" s="66">
        <f t="shared" si="15"/>
        <v>0</v>
      </c>
      <c r="AX26" s="68">
        <f>_xlfn.IFNA(INDEX(Table3941[I $ p/ft2],MATCH(R26,Table3941[Film Type],0)),1.75)</f>
        <v>1.75</v>
      </c>
      <c r="AY26" s="69">
        <f>VLOOKUP(Z26,Table1349[#All],2,FALSE)</f>
        <v>1</v>
      </c>
      <c r="AZ26" s="68">
        <f t="shared" si="16"/>
        <v>1.75</v>
      </c>
      <c r="BA26" s="65">
        <f t="shared" si="17"/>
        <v>0</v>
      </c>
      <c r="BB26" s="64">
        <f t="shared" si="18"/>
        <v>0</v>
      </c>
      <c r="BC26" s="67">
        <f t="shared" si="19"/>
        <v>0</v>
      </c>
      <c r="BD26" s="66">
        <f t="shared" si="20"/>
        <v>0</v>
      </c>
      <c r="BE26" s="64"/>
      <c r="BF26" s="66">
        <f t="shared" si="21"/>
        <v>0</v>
      </c>
      <c r="BG26" s="66">
        <f t="shared" si="22"/>
        <v>0</v>
      </c>
      <c r="BH26" s="65">
        <f>VLOOKUP(AA26,Table1551[#All],2,FALSE)</f>
        <v>1</v>
      </c>
      <c r="BI26" s="65">
        <f t="shared" si="23"/>
        <v>0</v>
      </c>
      <c r="BJ26" s="64" t="str">
        <f t="shared" si="24"/>
        <v>0</v>
      </c>
      <c r="BL26" s="89"/>
      <c r="BM26" s="89"/>
      <c r="BQ26" s="6"/>
      <c r="BR26" s="6"/>
      <c r="BS26" s="6"/>
      <c r="BT26" s="6"/>
      <c r="BU26" s="6"/>
      <c r="BV26" s="6"/>
      <c r="BW26" s="6" t="s">
        <v>182</v>
      </c>
      <c r="BX26" s="2"/>
      <c r="CA26" s="90">
        <v>10</v>
      </c>
      <c r="CK26" s="86" t="s">
        <v>181</v>
      </c>
      <c r="CL26" s="2">
        <v>3.28</v>
      </c>
      <c r="CM26" s="2">
        <f t="shared" si="25"/>
        <v>3.6080000000000001</v>
      </c>
      <c r="CN26" s="87">
        <v>1.5</v>
      </c>
      <c r="CO26" s="84">
        <f t="shared" si="26"/>
        <v>0</v>
      </c>
    </row>
    <row r="27" spans="1:93" ht="12" customHeight="1" x14ac:dyDescent="0.45">
      <c r="A27" s="83"/>
      <c r="B27" s="266"/>
      <c r="C27" s="267"/>
      <c r="D27" s="267"/>
      <c r="E27" s="268"/>
      <c r="F27" s="64"/>
      <c r="G27" s="64"/>
      <c r="H27" s="82"/>
      <c r="I27" s="81"/>
      <c r="J27" s="64"/>
      <c r="K27" s="80"/>
      <c r="L27" s="79">
        <f t="shared" si="0"/>
        <v>0</v>
      </c>
      <c r="M27" s="64"/>
      <c r="N27" s="64"/>
      <c r="O27" s="64"/>
      <c r="P27" s="80"/>
      <c r="Q27" s="79">
        <f t="shared" si="1"/>
        <v>0</v>
      </c>
      <c r="R27" s="269"/>
      <c r="S27" s="270"/>
      <c r="T27" s="266"/>
      <c r="U27" s="267"/>
      <c r="V27" s="267"/>
      <c r="W27" s="268"/>
      <c r="X27" s="271" t="str">
        <f>IFERROR(INDEX(Table3941[],MATCH(R27,Table3941[Film Type],),3),"")</f>
        <v/>
      </c>
      <c r="Y27" s="271"/>
      <c r="Z27" s="78" t="s">
        <v>55</v>
      </c>
      <c r="AA27" s="78" t="s">
        <v>55</v>
      </c>
      <c r="AB27" s="77"/>
      <c r="AC27" s="76"/>
      <c r="AD27" s="75">
        <f t="shared" si="2"/>
        <v>0</v>
      </c>
      <c r="AG27" s="74">
        <f t="shared" si="3"/>
        <v>0</v>
      </c>
      <c r="AK27" s="65">
        <f t="shared" si="4"/>
        <v>0</v>
      </c>
      <c r="AL27" s="65">
        <f t="shared" si="5"/>
        <v>0</v>
      </c>
      <c r="AM27" s="65">
        <f t="shared" si="6"/>
        <v>0</v>
      </c>
      <c r="AN27" s="73">
        <f t="shared" si="7"/>
        <v>0</v>
      </c>
      <c r="AO27" s="65" t="str">
        <f t="shared" si="8"/>
        <v>0.00</v>
      </c>
      <c r="AP27" s="65" t="str">
        <f t="shared" si="9"/>
        <v>0</v>
      </c>
      <c r="AQ27" s="71">
        <f t="shared" si="10"/>
        <v>0</v>
      </c>
      <c r="AR27" s="72">
        <f t="shared" si="11"/>
        <v>0</v>
      </c>
      <c r="AS27" s="71">
        <f t="shared" si="12"/>
        <v>0</v>
      </c>
      <c r="AT27" s="70">
        <f t="shared" si="13"/>
        <v>0</v>
      </c>
      <c r="AU27" s="70">
        <f t="shared" si="14"/>
        <v>0</v>
      </c>
      <c r="AV27" s="2"/>
      <c r="AW27" s="66">
        <f t="shared" si="15"/>
        <v>0</v>
      </c>
      <c r="AX27" s="68">
        <f>_xlfn.IFNA(INDEX(Table3941[I $ p/ft2],MATCH(R27,Table3941[Film Type],0)),1.75)</f>
        <v>1.75</v>
      </c>
      <c r="AY27" s="69">
        <f>VLOOKUP(Z27,Table1349[#All],2,FALSE)</f>
        <v>1</v>
      </c>
      <c r="AZ27" s="68">
        <f t="shared" si="16"/>
        <v>1.75</v>
      </c>
      <c r="BA27" s="65">
        <f t="shared" si="17"/>
        <v>0</v>
      </c>
      <c r="BB27" s="64">
        <f t="shared" si="18"/>
        <v>0</v>
      </c>
      <c r="BC27" s="67">
        <f t="shared" si="19"/>
        <v>0</v>
      </c>
      <c r="BD27" s="66">
        <f t="shared" si="20"/>
        <v>0</v>
      </c>
      <c r="BE27" s="64"/>
      <c r="BF27" s="66">
        <f t="shared" si="21"/>
        <v>0</v>
      </c>
      <c r="BG27" s="66">
        <f t="shared" si="22"/>
        <v>0</v>
      </c>
      <c r="BH27" s="65">
        <f>VLOOKUP(AA27,Table1551[#All],2,FALSE)</f>
        <v>1</v>
      </c>
      <c r="BI27" s="65">
        <f t="shared" si="23"/>
        <v>0</v>
      </c>
      <c r="BJ27" s="64" t="str">
        <f t="shared" si="24"/>
        <v>0</v>
      </c>
      <c r="BL27" s="89"/>
      <c r="BM27" s="89"/>
      <c r="BQ27" s="6"/>
      <c r="BR27" s="6"/>
      <c r="BS27" s="6"/>
      <c r="BT27" s="6"/>
      <c r="BU27" s="6"/>
      <c r="BV27" s="6"/>
      <c r="BW27" s="6" t="s">
        <v>180</v>
      </c>
      <c r="BX27" s="2"/>
      <c r="CK27" s="86" t="s">
        <v>179</v>
      </c>
      <c r="CL27" s="2">
        <v>4.8099999999999996</v>
      </c>
      <c r="CM27" s="2">
        <f t="shared" si="25"/>
        <v>5.2910000000000004</v>
      </c>
      <c r="CN27" s="87">
        <v>1.5</v>
      </c>
      <c r="CO27" s="84">
        <f t="shared" si="26"/>
        <v>0</v>
      </c>
    </row>
    <row r="28" spans="1:93" ht="13.35" customHeight="1" x14ac:dyDescent="0.45">
      <c r="A28" s="83"/>
      <c r="B28" s="266"/>
      <c r="C28" s="267"/>
      <c r="D28" s="267"/>
      <c r="E28" s="268"/>
      <c r="F28" s="64"/>
      <c r="G28" s="64"/>
      <c r="H28" s="82"/>
      <c r="I28" s="81"/>
      <c r="J28" s="64"/>
      <c r="K28" s="80"/>
      <c r="L28" s="79">
        <f t="shared" si="0"/>
        <v>0</v>
      </c>
      <c r="M28" s="64"/>
      <c r="N28" s="64"/>
      <c r="O28" s="64"/>
      <c r="P28" s="80"/>
      <c r="Q28" s="79">
        <f t="shared" si="1"/>
        <v>0</v>
      </c>
      <c r="R28" s="269"/>
      <c r="S28" s="270"/>
      <c r="T28" s="266"/>
      <c r="U28" s="267"/>
      <c r="V28" s="267"/>
      <c r="W28" s="268"/>
      <c r="X28" s="271" t="str">
        <f>IFERROR(INDEX(Table3941[],MATCH(R28,Table3941[Film Type],),3),"")</f>
        <v/>
      </c>
      <c r="Y28" s="271"/>
      <c r="Z28" s="78" t="s">
        <v>55</v>
      </c>
      <c r="AA28" s="78" t="s">
        <v>55</v>
      </c>
      <c r="AB28" s="77"/>
      <c r="AC28" s="76"/>
      <c r="AD28" s="75">
        <f t="shared" si="2"/>
        <v>0</v>
      </c>
      <c r="AG28" s="74">
        <f t="shared" si="3"/>
        <v>0</v>
      </c>
      <c r="AK28" s="65">
        <f t="shared" si="4"/>
        <v>0</v>
      </c>
      <c r="AL28" s="65">
        <f t="shared" si="5"/>
        <v>0</v>
      </c>
      <c r="AM28" s="65">
        <f t="shared" si="6"/>
        <v>0</v>
      </c>
      <c r="AN28" s="73">
        <f t="shared" si="7"/>
        <v>0</v>
      </c>
      <c r="AO28" s="65" t="str">
        <f t="shared" si="8"/>
        <v>0.00</v>
      </c>
      <c r="AP28" s="65" t="str">
        <f t="shared" si="9"/>
        <v>0</v>
      </c>
      <c r="AQ28" s="71">
        <f t="shared" si="10"/>
        <v>0</v>
      </c>
      <c r="AR28" s="72">
        <f t="shared" si="11"/>
        <v>0</v>
      </c>
      <c r="AS28" s="71">
        <f t="shared" si="12"/>
        <v>0</v>
      </c>
      <c r="AT28" s="70">
        <f t="shared" si="13"/>
        <v>0</v>
      </c>
      <c r="AU28" s="70">
        <f t="shared" si="14"/>
        <v>0</v>
      </c>
      <c r="AV28" s="2"/>
      <c r="AW28" s="66">
        <f t="shared" si="15"/>
        <v>0</v>
      </c>
      <c r="AX28" s="68">
        <f>_xlfn.IFNA(INDEX(Table3941[I $ p/ft2],MATCH(R28,Table3941[Film Type],0)),1.75)</f>
        <v>1.75</v>
      </c>
      <c r="AY28" s="69">
        <f>VLOOKUP(Z28,Table1349[#All],2,FALSE)</f>
        <v>1</v>
      </c>
      <c r="AZ28" s="68">
        <f t="shared" si="16"/>
        <v>1.75</v>
      </c>
      <c r="BA28" s="65">
        <f t="shared" si="17"/>
        <v>0</v>
      </c>
      <c r="BB28" s="64">
        <f t="shared" si="18"/>
        <v>0</v>
      </c>
      <c r="BC28" s="67">
        <f t="shared" si="19"/>
        <v>0</v>
      </c>
      <c r="BD28" s="66">
        <f t="shared" si="20"/>
        <v>0</v>
      </c>
      <c r="BE28" s="64"/>
      <c r="BF28" s="66">
        <f t="shared" si="21"/>
        <v>0</v>
      </c>
      <c r="BG28" s="66">
        <f t="shared" si="22"/>
        <v>0</v>
      </c>
      <c r="BH28" s="65">
        <f>VLOOKUP(AA28,Table1551[#All],2,FALSE)</f>
        <v>1</v>
      </c>
      <c r="BI28" s="65">
        <f t="shared" si="23"/>
        <v>0</v>
      </c>
      <c r="BJ28" s="64" t="str">
        <f t="shared" si="24"/>
        <v>0</v>
      </c>
      <c r="BL28" s="89"/>
      <c r="BM28" s="89"/>
      <c r="BQ28" s="6"/>
      <c r="BR28" s="6"/>
      <c r="BS28" s="6"/>
      <c r="BT28" s="6"/>
      <c r="BU28" s="6"/>
      <c r="BV28" s="6"/>
      <c r="BW28" s="6" t="s">
        <v>178</v>
      </c>
      <c r="BX28" s="2"/>
      <c r="CK28" s="86" t="s">
        <v>177</v>
      </c>
      <c r="CL28" s="2">
        <v>4.8099999999999996</v>
      </c>
      <c r="CM28" s="2">
        <f t="shared" si="25"/>
        <v>5.2910000000000004</v>
      </c>
      <c r="CN28" s="87">
        <v>1.5</v>
      </c>
      <c r="CO28" s="84">
        <f t="shared" si="26"/>
        <v>0</v>
      </c>
    </row>
    <row r="29" spans="1:93" ht="12" customHeight="1" x14ac:dyDescent="0.45">
      <c r="A29" s="83"/>
      <c r="B29" s="173"/>
      <c r="C29" s="174"/>
      <c r="D29" s="174"/>
      <c r="E29" s="175"/>
      <c r="F29" s="157"/>
      <c r="G29" s="157"/>
      <c r="H29" s="158"/>
      <c r="I29" s="159"/>
      <c r="J29" s="157"/>
      <c r="K29" s="160"/>
      <c r="L29" s="79">
        <f t="shared" si="0"/>
        <v>0</v>
      </c>
      <c r="M29" s="64"/>
      <c r="N29" s="64"/>
      <c r="O29" s="64"/>
      <c r="P29" s="80"/>
      <c r="Q29" s="79">
        <f t="shared" si="1"/>
        <v>0</v>
      </c>
      <c r="R29" s="269"/>
      <c r="S29" s="270"/>
      <c r="T29" s="266"/>
      <c r="U29" s="267"/>
      <c r="V29" s="267"/>
      <c r="W29" s="268"/>
      <c r="X29" s="271" t="str">
        <f>IFERROR(INDEX(Table3941[],MATCH(R29,Table3941[Film Type],),3),"")</f>
        <v/>
      </c>
      <c r="Y29" s="271"/>
      <c r="Z29" s="78" t="s">
        <v>55</v>
      </c>
      <c r="AA29" s="78" t="s">
        <v>55</v>
      </c>
      <c r="AB29" s="77"/>
      <c r="AC29" s="76"/>
      <c r="AD29" s="75">
        <f t="shared" si="2"/>
        <v>0</v>
      </c>
      <c r="AG29" s="74">
        <f t="shared" si="3"/>
        <v>0</v>
      </c>
      <c r="AK29" s="65">
        <f t="shared" si="4"/>
        <v>0</v>
      </c>
      <c r="AL29" s="65">
        <f t="shared" si="5"/>
        <v>0</v>
      </c>
      <c r="AM29" s="65">
        <f t="shared" si="6"/>
        <v>0</v>
      </c>
      <c r="AN29" s="73">
        <f t="shared" si="7"/>
        <v>0</v>
      </c>
      <c r="AO29" s="65" t="str">
        <f t="shared" si="8"/>
        <v>0.00</v>
      </c>
      <c r="AP29" s="65" t="str">
        <f t="shared" si="9"/>
        <v>0</v>
      </c>
      <c r="AQ29" s="71">
        <f t="shared" si="10"/>
        <v>0</v>
      </c>
      <c r="AR29" s="72">
        <f t="shared" si="11"/>
        <v>0</v>
      </c>
      <c r="AS29" s="71">
        <f t="shared" si="12"/>
        <v>0</v>
      </c>
      <c r="AT29" s="70">
        <f t="shared" si="13"/>
        <v>0</v>
      </c>
      <c r="AU29" s="70">
        <f t="shared" si="14"/>
        <v>0</v>
      </c>
      <c r="AV29" s="2"/>
      <c r="AW29" s="66">
        <f t="shared" si="15"/>
        <v>0</v>
      </c>
      <c r="AX29" s="68">
        <f>_xlfn.IFNA(INDEX(Table3941[I $ p/ft2],MATCH(R29,Table3941[Film Type],0)),1.75)</f>
        <v>1.75</v>
      </c>
      <c r="AY29" s="69">
        <f>VLOOKUP(Z29,Table1349[#All],2,FALSE)</f>
        <v>1</v>
      </c>
      <c r="AZ29" s="68">
        <f t="shared" si="16"/>
        <v>1.75</v>
      </c>
      <c r="BA29" s="65">
        <f t="shared" si="17"/>
        <v>0</v>
      </c>
      <c r="BB29" s="64">
        <f t="shared" si="18"/>
        <v>0</v>
      </c>
      <c r="BC29" s="67">
        <f t="shared" si="19"/>
        <v>0</v>
      </c>
      <c r="BD29" s="66">
        <f t="shared" si="20"/>
        <v>0</v>
      </c>
      <c r="BE29" s="64"/>
      <c r="BF29" s="66">
        <f t="shared" si="21"/>
        <v>0</v>
      </c>
      <c r="BG29" s="66">
        <f t="shared" si="22"/>
        <v>0</v>
      </c>
      <c r="BH29" s="65">
        <f>VLOOKUP(AA29,Table1551[#All],2,FALSE)</f>
        <v>1</v>
      </c>
      <c r="BI29" s="65">
        <f t="shared" si="23"/>
        <v>0</v>
      </c>
      <c r="BJ29" s="64" t="str">
        <f t="shared" si="24"/>
        <v>0</v>
      </c>
      <c r="BL29" s="89"/>
      <c r="BM29" s="89"/>
      <c r="BQ29" s="6"/>
      <c r="BR29" s="6"/>
      <c r="BS29" s="6"/>
      <c r="BT29" s="6"/>
      <c r="BU29" s="6"/>
      <c r="BV29" s="6"/>
      <c r="BW29" s="6" t="s">
        <v>176</v>
      </c>
      <c r="BX29" s="2"/>
      <c r="CK29" s="86" t="s">
        <v>175</v>
      </c>
      <c r="CL29" s="2">
        <v>4.8099999999999996</v>
      </c>
      <c r="CM29" s="2">
        <f t="shared" si="25"/>
        <v>5.2910000000000004</v>
      </c>
      <c r="CN29" s="87">
        <v>1.5</v>
      </c>
      <c r="CO29" s="84">
        <f t="shared" si="26"/>
        <v>0</v>
      </c>
    </row>
    <row r="30" spans="1:93" ht="12" customHeight="1" x14ac:dyDescent="0.45">
      <c r="A30" s="83"/>
      <c r="B30" s="272"/>
      <c r="C30" s="272"/>
      <c r="D30" s="272"/>
      <c r="E30" s="272"/>
      <c r="F30" s="64"/>
      <c r="G30" s="64"/>
      <c r="H30" s="82"/>
      <c r="I30" s="81"/>
      <c r="J30" s="64"/>
      <c r="K30" s="80"/>
      <c r="L30" s="156">
        <f t="shared" si="0"/>
        <v>0</v>
      </c>
      <c r="M30" s="64"/>
      <c r="N30" s="64"/>
      <c r="O30" s="64"/>
      <c r="P30" s="80"/>
      <c r="Q30" s="79">
        <f t="shared" si="1"/>
        <v>0</v>
      </c>
      <c r="R30" s="269"/>
      <c r="S30" s="270"/>
      <c r="T30" s="266"/>
      <c r="U30" s="267"/>
      <c r="V30" s="267"/>
      <c r="W30" s="268"/>
      <c r="X30" s="271" t="str">
        <f>IFERROR(INDEX(Table3941[],MATCH(R30,Table3941[Film Type],),3),"")</f>
        <v/>
      </c>
      <c r="Y30" s="271"/>
      <c r="Z30" s="78" t="s">
        <v>55</v>
      </c>
      <c r="AA30" s="78" t="s">
        <v>55</v>
      </c>
      <c r="AB30" s="77"/>
      <c r="AC30" s="76"/>
      <c r="AD30" s="75">
        <f t="shared" si="2"/>
        <v>0</v>
      </c>
      <c r="AG30" s="74">
        <f t="shared" si="3"/>
        <v>0</v>
      </c>
      <c r="AK30" s="65">
        <f t="shared" si="4"/>
        <v>0</v>
      </c>
      <c r="AL30" s="65">
        <f t="shared" si="5"/>
        <v>0</v>
      </c>
      <c r="AM30" s="65">
        <f t="shared" si="6"/>
        <v>0</v>
      </c>
      <c r="AN30" s="73">
        <f t="shared" si="7"/>
        <v>0</v>
      </c>
      <c r="AO30" s="65" t="str">
        <f t="shared" si="8"/>
        <v>0.00</v>
      </c>
      <c r="AP30" s="65" t="str">
        <f t="shared" si="9"/>
        <v>0</v>
      </c>
      <c r="AQ30" s="71">
        <f t="shared" si="10"/>
        <v>0</v>
      </c>
      <c r="AR30" s="72">
        <f t="shared" si="11"/>
        <v>0</v>
      </c>
      <c r="AS30" s="71">
        <f t="shared" si="12"/>
        <v>0</v>
      </c>
      <c r="AT30" s="70">
        <f t="shared" si="13"/>
        <v>0</v>
      </c>
      <c r="AU30" s="70">
        <f t="shared" si="14"/>
        <v>0</v>
      </c>
      <c r="AV30" s="2"/>
      <c r="AW30" s="66">
        <f t="shared" si="15"/>
        <v>0</v>
      </c>
      <c r="AX30" s="68">
        <f>_xlfn.IFNA(INDEX(Table3941[I $ p/ft2],MATCH(R30,Table3941[Film Type],0)),1.75)</f>
        <v>1.75</v>
      </c>
      <c r="AY30" s="69">
        <f>VLOOKUP(Z30,Table1349[#All],2,FALSE)</f>
        <v>1</v>
      </c>
      <c r="AZ30" s="68">
        <f t="shared" si="16"/>
        <v>1.75</v>
      </c>
      <c r="BA30" s="65">
        <f t="shared" si="17"/>
        <v>0</v>
      </c>
      <c r="BB30" s="64">
        <f t="shared" si="18"/>
        <v>0</v>
      </c>
      <c r="BC30" s="67">
        <f t="shared" si="19"/>
        <v>0</v>
      </c>
      <c r="BD30" s="66">
        <f t="shared" si="20"/>
        <v>0</v>
      </c>
      <c r="BE30" s="64"/>
      <c r="BF30" s="66">
        <f t="shared" si="21"/>
        <v>0</v>
      </c>
      <c r="BG30" s="66">
        <f t="shared" si="22"/>
        <v>0</v>
      </c>
      <c r="BH30" s="65">
        <f>VLOOKUP(AA30,Table1551[#All],2,FALSE)</f>
        <v>1</v>
      </c>
      <c r="BI30" s="65">
        <f t="shared" si="23"/>
        <v>0</v>
      </c>
      <c r="BJ30" s="64" t="str">
        <f t="shared" si="24"/>
        <v>0</v>
      </c>
      <c r="BL30" s="89"/>
      <c r="BM30" s="89"/>
      <c r="BQ30" s="6"/>
      <c r="BR30" s="6"/>
      <c r="BS30" s="6"/>
      <c r="BT30" s="6"/>
      <c r="BU30" s="6"/>
      <c r="BV30" s="6"/>
      <c r="BW30" s="6" t="s">
        <v>174</v>
      </c>
      <c r="BX30" s="2"/>
      <c r="CK30" s="86" t="s">
        <v>173</v>
      </c>
      <c r="CL30" s="2">
        <v>5.36</v>
      </c>
      <c r="CM30" s="2">
        <f t="shared" si="25"/>
        <v>5.8960000000000008</v>
      </c>
      <c r="CN30" s="87">
        <v>1.5</v>
      </c>
      <c r="CO30" s="84">
        <f t="shared" si="26"/>
        <v>0</v>
      </c>
    </row>
    <row r="31" spans="1:93" ht="12" customHeight="1" x14ac:dyDescent="0.45">
      <c r="A31" s="83"/>
      <c r="B31" s="272"/>
      <c r="C31" s="272"/>
      <c r="D31" s="272"/>
      <c r="E31" s="272"/>
      <c r="F31" s="64"/>
      <c r="G31" s="64"/>
      <c r="H31" s="82"/>
      <c r="I31" s="81"/>
      <c r="J31" s="64"/>
      <c r="K31" s="80"/>
      <c r="L31" s="156">
        <f t="shared" si="0"/>
        <v>0</v>
      </c>
      <c r="M31" s="64"/>
      <c r="N31" s="64"/>
      <c r="O31" s="64"/>
      <c r="P31" s="80"/>
      <c r="Q31" s="79">
        <f t="shared" si="1"/>
        <v>0</v>
      </c>
      <c r="R31" s="269"/>
      <c r="S31" s="270"/>
      <c r="T31" s="266"/>
      <c r="U31" s="267"/>
      <c r="V31" s="267"/>
      <c r="W31" s="268"/>
      <c r="X31" s="271" t="str">
        <f>IFERROR(INDEX(Table3941[],MATCH(R31,Table3941[Film Type],),3),"")</f>
        <v/>
      </c>
      <c r="Y31" s="271"/>
      <c r="Z31" s="78" t="s">
        <v>55</v>
      </c>
      <c r="AA31" s="78" t="s">
        <v>55</v>
      </c>
      <c r="AB31" s="77"/>
      <c r="AC31" s="76"/>
      <c r="AD31" s="75">
        <f t="shared" si="2"/>
        <v>0</v>
      </c>
      <c r="AG31" s="74">
        <f t="shared" si="3"/>
        <v>0</v>
      </c>
      <c r="AK31" s="65">
        <f t="shared" si="4"/>
        <v>0</v>
      </c>
      <c r="AL31" s="65">
        <f t="shared" si="5"/>
        <v>0</v>
      </c>
      <c r="AM31" s="65">
        <f t="shared" si="6"/>
        <v>0</v>
      </c>
      <c r="AN31" s="73">
        <f t="shared" si="7"/>
        <v>0</v>
      </c>
      <c r="AO31" s="65" t="str">
        <f t="shared" si="8"/>
        <v>0.00</v>
      </c>
      <c r="AP31" s="65" t="str">
        <f t="shared" si="9"/>
        <v>0</v>
      </c>
      <c r="AQ31" s="71">
        <f t="shared" si="10"/>
        <v>0</v>
      </c>
      <c r="AR31" s="72">
        <f t="shared" si="11"/>
        <v>0</v>
      </c>
      <c r="AS31" s="71">
        <f t="shared" si="12"/>
        <v>0</v>
      </c>
      <c r="AT31" s="70">
        <f t="shared" si="13"/>
        <v>0</v>
      </c>
      <c r="AU31" s="70">
        <f t="shared" si="14"/>
        <v>0</v>
      </c>
      <c r="AV31" s="2"/>
      <c r="AW31" s="66">
        <f t="shared" si="15"/>
        <v>0</v>
      </c>
      <c r="AX31" s="68">
        <f>_xlfn.IFNA(INDEX(Table3941[I $ p/ft2],MATCH(R31,Table3941[Film Type],0)),1.75)</f>
        <v>1.75</v>
      </c>
      <c r="AY31" s="69">
        <f>VLOOKUP(Z31,Table1349[#All],2,FALSE)</f>
        <v>1</v>
      </c>
      <c r="AZ31" s="68">
        <f t="shared" si="16"/>
        <v>1.75</v>
      </c>
      <c r="BA31" s="65">
        <f t="shared" si="17"/>
        <v>0</v>
      </c>
      <c r="BB31" s="64">
        <f t="shared" si="18"/>
        <v>0</v>
      </c>
      <c r="BC31" s="67">
        <f t="shared" si="19"/>
        <v>0</v>
      </c>
      <c r="BD31" s="66">
        <f t="shared" si="20"/>
        <v>0</v>
      </c>
      <c r="BE31" s="64"/>
      <c r="BF31" s="66">
        <f t="shared" si="21"/>
        <v>0</v>
      </c>
      <c r="BG31" s="66">
        <f t="shared" si="22"/>
        <v>0</v>
      </c>
      <c r="BH31" s="65">
        <f>VLOOKUP(AA31,Table1551[#All],2,FALSE)</f>
        <v>1</v>
      </c>
      <c r="BI31" s="65">
        <f t="shared" si="23"/>
        <v>0</v>
      </c>
      <c r="BJ31" s="64" t="str">
        <f t="shared" si="24"/>
        <v>0</v>
      </c>
      <c r="BL31" s="89"/>
      <c r="BM31" s="89"/>
      <c r="BQ31" s="6"/>
      <c r="BR31" s="6"/>
      <c r="BS31" s="6"/>
      <c r="BT31" s="6"/>
      <c r="BU31" s="6"/>
      <c r="BV31" s="6"/>
      <c r="BX31" s="2"/>
      <c r="CK31" s="86" t="s">
        <v>172</v>
      </c>
      <c r="CL31" s="2">
        <v>5.36</v>
      </c>
      <c r="CM31" s="2">
        <f t="shared" si="25"/>
        <v>5.8960000000000008</v>
      </c>
      <c r="CN31" s="87">
        <v>1.5</v>
      </c>
      <c r="CO31" s="84">
        <f t="shared" si="26"/>
        <v>0</v>
      </c>
    </row>
    <row r="32" spans="1:93" ht="12" customHeight="1" x14ac:dyDescent="0.45">
      <c r="A32" s="83"/>
      <c r="B32" s="272"/>
      <c r="C32" s="272"/>
      <c r="D32" s="272"/>
      <c r="E32" s="272"/>
      <c r="F32" s="64"/>
      <c r="G32" s="64"/>
      <c r="H32" s="82"/>
      <c r="I32" s="81"/>
      <c r="J32" s="64"/>
      <c r="K32" s="80"/>
      <c r="L32" s="156">
        <f t="shared" si="0"/>
        <v>0</v>
      </c>
      <c r="M32" s="64"/>
      <c r="N32" s="64"/>
      <c r="O32" s="64"/>
      <c r="P32" s="80"/>
      <c r="Q32" s="79">
        <f t="shared" si="1"/>
        <v>0</v>
      </c>
      <c r="R32" s="269"/>
      <c r="S32" s="270"/>
      <c r="T32" s="266"/>
      <c r="U32" s="267"/>
      <c r="V32" s="267"/>
      <c r="W32" s="268"/>
      <c r="X32" s="271" t="str">
        <f>IFERROR(INDEX(Table3941[],MATCH(R32,Table3941[Film Type],),3),"")</f>
        <v/>
      </c>
      <c r="Y32" s="271"/>
      <c r="Z32" s="78" t="s">
        <v>55</v>
      </c>
      <c r="AA32" s="78" t="s">
        <v>55</v>
      </c>
      <c r="AB32" s="77"/>
      <c r="AC32" s="76"/>
      <c r="AD32" s="75">
        <f t="shared" si="2"/>
        <v>0</v>
      </c>
      <c r="AG32" s="74">
        <f t="shared" si="3"/>
        <v>0</v>
      </c>
      <c r="AK32" s="65">
        <f t="shared" si="4"/>
        <v>0</v>
      </c>
      <c r="AL32" s="65">
        <f t="shared" si="5"/>
        <v>0</v>
      </c>
      <c r="AM32" s="65">
        <f t="shared" si="6"/>
        <v>0</v>
      </c>
      <c r="AN32" s="73">
        <f t="shared" si="7"/>
        <v>0</v>
      </c>
      <c r="AO32" s="65" t="str">
        <f t="shared" si="8"/>
        <v>0.00</v>
      </c>
      <c r="AP32" s="65" t="str">
        <f t="shared" si="9"/>
        <v>0</v>
      </c>
      <c r="AQ32" s="71">
        <f t="shared" si="10"/>
        <v>0</v>
      </c>
      <c r="AR32" s="72">
        <f t="shared" si="11"/>
        <v>0</v>
      </c>
      <c r="AS32" s="71">
        <f t="shared" si="12"/>
        <v>0</v>
      </c>
      <c r="AT32" s="70">
        <f t="shared" si="13"/>
        <v>0</v>
      </c>
      <c r="AU32" s="70">
        <f t="shared" si="14"/>
        <v>0</v>
      </c>
      <c r="AV32" s="2"/>
      <c r="AW32" s="66">
        <f t="shared" si="15"/>
        <v>0</v>
      </c>
      <c r="AX32" s="68">
        <f>_xlfn.IFNA(INDEX(Table3941[I $ p/ft2],MATCH(R32,Table3941[Film Type],0)),1.75)</f>
        <v>1.75</v>
      </c>
      <c r="AY32" s="69">
        <f>VLOOKUP(Z32,Table1349[#All],2,FALSE)</f>
        <v>1</v>
      </c>
      <c r="AZ32" s="68">
        <f t="shared" si="16"/>
        <v>1.75</v>
      </c>
      <c r="BA32" s="65">
        <f t="shared" si="17"/>
        <v>0</v>
      </c>
      <c r="BB32" s="64">
        <f t="shared" si="18"/>
        <v>0</v>
      </c>
      <c r="BC32" s="67">
        <f t="shared" si="19"/>
        <v>0</v>
      </c>
      <c r="BD32" s="66">
        <f t="shared" si="20"/>
        <v>0</v>
      </c>
      <c r="BE32" s="64"/>
      <c r="BF32" s="66">
        <f t="shared" si="21"/>
        <v>0</v>
      </c>
      <c r="BG32" s="66">
        <f t="shared" si="22"/>
        <v>0</v>
      </c>
      <c r="BH32" s="65">
        <f>VLOOKUP(AA32,Table1551[#All],2,FALSE)</f>
        <v>1</v>
      </c>
      <c r="BI32" s="65">
        <f t="shared" si="23"/>
        <v>0</v>
      </c>
      <c r="BJ32" s="64" t="str">
        <f t="shared" si="24"/>
        <v>0</v>
      </c>
      <c r="BL32" s="89"/>
      <c r="BM32" s="89"/>
      <c r="BQ32" s="6"/>
      <c r="BR32" s="6"/>
      <c r="BS32" s="6"/>
      <c r="BT32" s="6"/>
      <c r="BU32" s="6"/>
      <c r="BV32" s="6"/>
      <c r="BX32" s="2"/>
      <c r="CK32" s="86" t="s">
        <v>171</v>
      </c>
      <c r="CL32" s="2">
        <v>5.14</v>
      </c>
      <c r="CM32" s="2">
        <f t="shared" si="25"/>
        <v>5.6539999999999999</v>
      </c>
      <c r="CN32" s="87">
        <v>1.5</v>
      </c>
      <c r="CO32" s="84">
        <f t="shared" si="26"/>
        <v>0</v>
      </c>
    </row>
    <row r="33" spans="1:93" ht="12" customHeight="1" x14ac:dyDescent="0.45">
      <c r="A33" s="83"/>
      <c r="B33" s="272"/>
      <c r="C33" s="272"/>
      <c r="D33" s="272"/>
      <c r="E33" s="272"/>
      <c r="F33" s="64"/>
      <c r="G33" s="64"/>
      <c r="H33" s="82"/>
      <c r="I33" s="81"/>
      <c r="J33" s="64"/>
      <c r="K33" s="80"/>
      <c r="L33" s="156">
        <f t="shared" si="0"/>
        <v>0</v>
      </c>
      <c r="M33" s="64"/>
      <c r="N33" s="64"/>
      <c r="O33" s="64"/>
      <c r="P33" s="80"/>
      <c r="Q33" s="79">
        <f t="shared" si="1"/>
        <v>0</v>
      </c>
      <c r="R33" s="269"/>
      <c r="S33" s="270"/>
      <c r="T33" s="266"/>
      <c r="U33" s="267"/>
      <c r="V33" s="267"/>
      <c r="W33" s="268"/>
      <c r="X33" s="271" t="str">
        <f>IFERROR(INDEX(Table3941[],MATCH(R33,Table3941[Film Type],),3),"")</f>
        <v/>
      </c>
      <c r="Y33" s="271"/>
      <c r="Z33" s="78" t="s">
        <v>55</v>
      </c>
      <c r="AA33" s="78" t="s">
        <v>55</v>
      </c>
      <c r="AB33" s="77"/>
      <c r="AC33" s="76"/>
      <c r="AD33" s="75">
        <f t="shared" si="2"/>
        <v>0</v>
      </c>
      <c r="AG33" s="74">
        <f t="shared" si="3"/>
        <v>0</v>
      </c>
      <c r="AK33" s="65">
        <f t="shared" si="4"/>
        <v>0</v>
      </c>
      <c r="AL33" s="65">
        <f t="shared" si="5"/>
        <v>0</v>
      </c>
      <c r="AM33" s="65">
        <f t="shared" si="6"/>
        <v>0</v>
      </c>
      <c r="AN33" s="73">
        <f t="shared" si="7"/>
        <v>0</v>
      </c>
      <c r="AO33" s="65" t="str">
        <f t="shared" si="8"/>
        <v>0.00</v>
      </c>
      <c r="AP33" s="65" t="str">
        <f t="shared" si="9"/>
        <v>0</v>
      </c>
      <c r="AQ33" s="71">
        <f t="shared" si="10"/>
        <v>0</v>
      </c>
      <c r="AR33" s="72">
        <f t="shared" si="11"/>
        <v>0</v>
      </c>
      <c r="AS33" s="71">
        <f t="shared" si="12"/>
        <v>0</v>
      </c>
      <c r="AT33" s="70">
        <f t="shared" si="13"/>
        <v>0</v>
      </c>
      <c r="AU33" s="70">
        <f t="shared" si="14"/>
        <v>0</v>
      </c>
      <c r="AV33" s="2"/>
      <c r="AW33" s="66">
        <f t="shared" si="15"/>
        <v>0</v>
      </c>
      <c r="AX33" s="68">
        <f>_xlfn.IFNA(INDEX(Table3941[I $ p/ft2],MATCH(R33,Table3941[Film Type],0)),1.75)</f>
        <v>1.75</v>
      </c>
      <c r="AY33" s="69">
        <f>VLOOKUP(Z33,Table1349[#All],2,FALSE)</f>
        <v>1</v>
      </c>
      <c r="AZ33" s="68">
        <f t="shared" si="16"/>
        <v>1.75</v>
      </c>
      <c r="BA33" s="65">
        <f t="shared" si="17"/>
        <v>0</v>
      </c>
      <c r="BB33" s="64">
        <f t="shared" si="18"/>
        <v>0</v>
      </c>
      <c r="BC33" s="67">
        <f t="shared" si="19"/>
        <v>0</v>
      </c>
      <c r="BD33" s="66">
        <f t="shared" si="20"/>
        <v>0</v>
      </c>
      <c r="BE33" s="64"/>
      <c r="BF33" s="66">
        <f t="shared" si="21"/>
        <v>0</v>
      </c>
      <c r="BG33" s="66">
        <f t="shared" si="22"/>
        <v>0</v>
      </c>
      <c r="BH33" s="65">
        <f>VLOOKUP(AA33,Table1551[#All],2,FALSE)</f>
        <v>1</v>
      </c>
      <c r="BI33" s="65">
        <f t="shared" si="23"/>
        <v>0</v>
      </c>
      <c r="BJ33" s="64" t="str">
        <f t="shared" si="24"/>
        <v>0</v>
      </c>
      <c r="BL33" s="89"/>
      <c r="BM33" s="89"/>
      <c r="BQ33" s="6"/>
      <c r="BR33" s="6"/>
      <c r="BS33" s="6"/>
      <c r="BT33" s="6"/>
      <c r="BU33" s="6"/>
      <c r="BV33" s="6"/>
      <c r="BX33" s="2"/>
      <c r="CK33" s="86" t="s">
        <v>170</v>
      </c>
      <c r="CL33" s="2">
        <v>5.14</v>
      </c>
      <c r="CM33" s="2">
        <f t="shared" si="25"/>
        <v>5.6539999999999999</v>
      </c>
      <c r="CN33" s="87">
        <v>1.5</v>
      </c>
      <c r="CO33" s="84">
        <f t="shared" si="26"/>
        <v>0</v>
      </c>
    </row>
    <row r="34" spans="1:93" ht="12" customHeight="1" x14ac:dyDescent="0.45">
      <c r="A34" s="83"/>
      <c r="B34" s="272"/>
      <c r="C34" s="272"/>
      <c r="D34" s="272"/>
      <c r="E34" s="272"/>
      <c r="F34" s="64"/>
      <c r="G34" s="64"/>
      <c r="H34" s="82"/>
      <c r="I34" s="81"/>
      <c r="J34" s="64"/>
      <c r="K34" s="80"/>
      <c r="L34" s="156">
        <f t="shared" si="0"/>
        <v>0</v>
      </c>
      <c r="M34" s="64"/>
      <c r="N34" s="64"/>
      <c r="O34" s="64"/>
      <c r="P34" s="80"/>
      <c r="Q34" s="79">
        <f t="shared" si="1"/>
        <v>0</v>
      </c>
      <c r="R34" s="269"/>
      <c r="S34" s="270"/>
      <c r="T34" s="266"/>
      <c r="U34" s="267"/>
      <c r="V34" s="267"/>
      <c r="W34" s="268"/>
      <c r="X34" s="271" t="str">
        <f>IFERROR(INDEX(Table3941[],MATCH(R34,Table3941[Film Type],),3),"")</f>
        <v/>
      </c>
      <c r="Y34" s="271"/>
      <c r="Z34" s="78" t="s">
        <v>55</v>
      </c>
      <c r="AA34" s="78" t="s">
        <v>55</v>
      </c>
      <c r="AB34" s="77"/>
      <c r="AC34" s="76"/>
      <c r="AD34" s="75">
        <f t="shared" si="2"/>
        <v>0</v>
      </c>
      <c r="AG34" s="74">
        <f t="shared" si="3"/>
        <v>0</v>
      </c>
      <c r="AK34" s="65">
        <f t="shared" si="4"/>
        <v>0</v>
      </c>
      <c r="AL34" s="65">
        <f t="shared" si="5"/>
        <v>0</v>
      </c>
      <c r="AM34" s="65">
        <f t="shared" si="6"/>
        <v>0</v>
      </c>
      <c r="AN34" s="73">
        <f t="shared" si="7"/>
        <v>0</v>
      </c>
      <c r="AO34" s="65" t="str">
        <f t="shared" si="8"/>
        <v>0.00</v>
      </c>
      <c r="AP34" s="65" t="str">
        <f t="shared" si="9"/>
        <v>0</v>
      </c>
      <c r="AQ34" s="71">
        <f t="shared" si="10"/>
        <v>0</v>
      </c>
      <c r="AR34" s="72">
        <f t="shared" si="11"/>
        <v>0</v>
      </c>
      <c r="AS34" s="71">
        <f t="shared" si="12"/>
        <v>0</v>
      </c>
      <c r="AT34" s="70">
        <f t="shared" si="13"/>
        <v>0</v>
      </c>
      <c r="AU34" s="70">
        <f t="shared" si="14"/>
        <v>0</v>
      </c>
      <c r="AV34" s="2"/>
      <c r="AW34" s="66">
        <f t="shared" si="15"/>
        <v>0</v>
      </c>
      <c r="AX34" s="68">
        <f>_xlfn.IFNA(INDEX(Table3941[I $ p/ft2],MATCH(R34,Table3941[Film Type],0)),1.75)</f>
        <v>1.75</v>
      </c>
      <c r="AY34" s="69">
        <f>VLOOKUP(Z34,Table1349[#All],2,FALSE)</f>
        <v>1</v>
      </c>
      <c r="AZ34" s="68">
        <f t="shared" si="16"/>
        <v>1.75</v>
      </c>
      <c r="BA34" s="65">
        <f t="shared" si="17"/>
        <v>0</v>
      </c>
      <c r="BB34" s="64">
        <f t="shared" si="18"/>
        <v>0</v>
      </c>
      <c r="BC34" s="67">
        <f t="shared" si="19"/>
        <v>0</v>
      </c>
      <c r="BD34" s="66">
        <f t="shared" si="20"/>
        <v>0</v>
      </c>
      <c r="BE34" s="64"/>
      <c r="BF34" s="66">
        <f t="shared" si="21"/>
        <v>0</v>
      </c>
      <c r="BG34" s="66">
        <f t="shared" si="22"/>
        <v>0</v>
      </c>
      <c r="BH34" s="65">
        <f>VLOOKUP(AA34,Table1551[#All],2,FALSE)</f>
        <v>1</v>
      </c>
      <c r="BI34" s="65">
        <f t="shared" si="23"/>
        <v>0</v>
      </c>
      <c r="BJ34" s="64" t="str">
        <f t="shared" si="24"/>
        <v>0</v>
      </c>
      <c r="BL34" s="89"/>
      <c r="BM34" s="89"/>
      <c r="BQ34" s="6"/>
      <c r="BR34" s="6"/>
      <c r="BS34" s="6"/>
      <c r="BT34" s="6"/>
      <c r="BU34" s="6"/>
      <c r="BV34" s="6"/>
      <c r="BX34" s="2"/>
      <c r="CK34" s="86" t="s">
        <v>169</v>
      </c>
      <c r="CL34" s="2">
        <v>4.12</v>
      </c>
      <c r="CM34" s="2">
        <f t="shared" si="25"/>
        <v>4.5320000000000009</v>
      </c>
      <c r="CN34" s="87">
        <v>1.5</v>
      </c>
      <c r="CO34" s="84">
        <f t="shared" si="26"/>
        <v>0</v>
      </c>
    </row>
    <row r="35" spans="1:93" ht="12" customHeight="1" x14ac:dyDescent="0.45">
      <c r="A35" s="83"/>
      <c r="B35" s="272"/>
      <c r="C35" s="272"/>
      <c r="D35" s="272"/>
      <c r="E35" s="272"/>
      <c r="F35" s="64"/>
      <c r="G35" s="64"/>
      <c r="H35" s="82"/>
      <c r="I35" s="81"/>
      <c r="J35" s="64"/>
      <c r="K35" s="80"/>
      <c r="L35" s="156">
        <f t="shared" si="0"/>
        <v>0</v>
      </c>
      <c r="M35" s="64"/>
      <c r="N35" s="64"/>
      <c r="O35" s="64"/>
      <c r="P35" s="80"/>
      <c r="Q35" s="79">
        <f t="shared" si="1"/>
        <v>0</v>
      </c>
      <c r="R35" s="269"/>
      <c r="S35" s="270"/>
      <c r="T35" s="266"/>
      <c r="U35" s="267"/>
      <c r="V35" s="267"/>
      <c r="W35" s="268"/>
      <c r="X35" s="271" t="str">
        <f>IFERROR(INDEX(Table3941[],MATCH(R35,Table3941[Film Type],),3),"")</f>
        <v/>
      </c>
      <c r="Y35" s="271"/>
      <c r="Z35" s="78" t="s">
        <v>55</v>
      </c>
      <c r="AA35" s="78" t="s">
        <v>55</v>
      </c>
      <c r="AB35" s="77"/>
      <c r="AC35" s="76"/>
      <c r="AD35" s="75">
        <f t="shared" si="2"/>
        <v>0</v>
      </c>
      <c r="AG35" s="74">
        <f t="shared" si="3"/>
        <v>0</v>
      </c>
      <c r="AK35" s="65">
        <f t="shared" si="4"/>
        <v>0</v>
      </c>
      <c r="AL35" s="65">
        <f t="shared" si="5"/>
        <v>0</v>
      </c>
      <c r="AM35" s="65">
        <f t="shared" si="6"/>
        <v>0</v>
      </c>
      <c r="AN35" s="73">
        <f t="shared" si="7"/>
        <v>0</v>
      </c>
      <c r="AO35" s="65" t="str">
        <f t="shared" si="8"/>
        <v>0.00</v>
      </c>
      <c r="AP35" s="65" t="str">
        <f t="shared" si="9"/>
        <v>0</v>
      </c>
      <c r="AQ35" s="71">
        <f t="shared" si="10"/>
        <v>0</v>
      </c>
      <c r="AR35" s="72">
        <f t="shared" si="11"/>
        <v>0</v>
      </c>
      <c r="AS35" s="71">
        <f t="shared" si="12"/>
        <v>0</v>
      </c>
      <c r="AT35" s="70">
        <f t="shared" si="13"/>
        <v>0</v>
      </c>
      <c r="AU35" s="70">
        <f t="shared" si="14"/>
        <v>0</v>
      </c>
      <c r="AV35" s="2"/>
      <c r="AW35" s="66">
        <f t="shared" si="15"/>
        <v>0</v>
      </c>
      <c r="AX35" s="68">
        <f>_xlfn.IFNA(INDEX(Table3941[I $ p/ft2],MATCH(R35,Table3941[Film Type],0)),1.75)</f>
        <v>1.75</v>
      </c>
      <c r="AY35" s="69">
        <f>VLOOKUP(Z35,Table1349[#All],2,FALSE)</f>
        <v>1</v>
      </c>
      <c r="AZ35" s="68">
        <f t="shared" si="16"/>
        <v>1.75</v>
      </c>
      <c r="BA35" s="65">
        <f t="shared" si="17"/>
        <v>0</v>
      </c>
      <c r="BB35" s="64">
        <f t="shared" si="18"/>
        <v>0</v>
      </c>
      <c r="BC35" s="67">
        <f t="shared" si="19"/>
        <v>0</v>
      </c>
      <c r="BD35" s="66">
        <f t="shared" si="20"/>
        <v>0</v>
      </c>
      <c r="BE35" s="64"/>
      <c r="BF35" s="66">
        <f t="shared" si="21"/>
        <v>0</v>
      </c>
      <c r="BG35" s="66">
        <f t="shared" si="22"/>
        <v>0</v>
      </c>
      <c r="BH35" s="65">
        <f>VLOOKUP(AA35,Table1551[#All],2,FALSE)</f>
        <v>1</v>
      </c>
      <c r="BI35" s="65">
        <f t="shared" si="23"/>
        <v>0</v>
      </c>
      <c r="BJ35" s="64" t="str">
        <f t="shared" si="24"/>
        <v>0</v>
      </c>
      <c r="BL35" s="89"/>
      <c r="BM35" s="89"/>
      <c r="BQ35" s="6"/>
      <c r="BR35" s="6"/>
      <c r="BS35" s="6"/>
      <c r="BT35" s="6"/>
      <c r="BU35" s="6"/>
      <c r="BV35" s="6"/>
      <c r="BW35" s="6"/>
      <c r="BX35" s="2"/>
      <c r="CK35" s="86" t="s">
        <v>168</v>
      </c>
      <c r="CL35" s="2">
        <v>1.59</v>
      </c>
      <c r="CM35" s="2">
        <f t="shared" si="25"/>
        <v>1.7490000000000003</v>
      </c>
      <c r="CN35" s="87">
        <v>1.5</v>
      </c>
      <c r="CO35" s="84">
        <f t="shared" si="26"/>
        <v>0</v>
      </c>
    </row>
    <row r="36" spans="1:93" ht="12" customHeight="1" x14ac:dyDescent="0.45">
      <c r="A36" s="83"/>
      <c r="B36" s="272"/>
      <c r="C36" s="272"/>
      <c r="D36" s="272"/>
      <c r="E36" s="272"/>
      <c r="F36" s="64"/>
      <c r="G36" s="64"/>
      <c r="H36" s="82"/>
      <c r="I36" s="81"/>
      <c r="J36" s="64"/>
      <c r="K36" s="80"/>
      <c r="L36" s="156">
        <f t="shared" si="0"/>
        <v>0</v>
      </c>
      <c r="M36" s="64"/>
      <c r="N36" s="64"/>
      <c r="O36" s="64"/>
      <c r="P36" s="80"/>
      <c r="Q36" s="79">
        <f t="shared" si="1"/>
        <v>0</v>
      </c>
      <c r="R36" s="269"/>
      <c r="S36" s="270"/>
      <c r="T36" s="266"/>
      <c r="U36" s="267"/>
      <c r="V36" s="267"/>
      <c r="W36" s="268"/>
      <c r="X36" s="271" t="str">
        <f>IFERROR(INDEX(Table3941[],MATCH(R36,Table3941[Film Type],),3),"")</f>
        <v/>
      </c>
      <c r="Y36" s="271"/>
      <c r="Z36" s="78" t="s">
        <v>55</v>
      </c>
      <c r="AA36" s="78" t="s">
        <v>55</v>
      </c>
      <c r="AB36" s="77"/>
      <c r="AC36" s="76"/>
      <c r="AD36" s="75">
        <f t="shared" si="2"/>
        <v>0</v>
      </c>
      <c r="AG36" s="74">
        <f t="shared" si="3"/>
        <v>0</v>
      </c>
      <c r="AK36" s="65">
        <f t="shared" si="4"/>
        <v>0</v>
      </c>
      <c r="AL36" s="65">
        <f t="shared" si="5"/>
        <v>0</v>
      </c>
      <c r="AM36" s="65">
        <f t="shared" si="6"/>
        <v>0</v>
      </c>
      <c r="AN36" s="73">
        <f t="shared" si="7"/>
        <v>0</v>
      </c>
      <c r="AO36" s="65" t="str">
        <f t="shared" si="8"/>
        <v>0.00</v>
      </c>
      <c r="AP36" s="65" t="str">
        <f t="shared" si="9"/>
        <v>0</v>
      </c>
      <c r="AQ36" s="71">
        <f t="shared" si="10"/>
        <v>0</v>
      </c>
      <c r="AR36" s="72">
        <f t="shared" si="11"/>
        <v>0</v>
      </c>
      <c r="AS36" s="71">
        <f t="shared" si="12"/>
        <v>0</v>
      </c>
      <c r="AT36" s="70">
        <f t="shared" si="13"/>
        <v>0</v>
      </c>
      <c r="AU36" s="70">
        <f t="shared" si="14"/>
        <v>0</v>
      </c>
      <c r="AV36" s="2"/>
      <c r="AW36" s="66">
        <f t="shared" si="15"/>
        <v>0</v>
      </c>
      <c r="AX36" s="68">
        <f>_xlfn.IFNA(INDEX(Table3941[I $ p/ft2],MATCH(R36,Table3941[Film Type],0)),1.75)</f>
        <v>1.75</v>
      </c>
      <c r="AY36" s="69">
        <f>VLOOKUP(Z36,Table1349[#All],2,FALSE)</f>
        <v>1</v>
      </c>
      <c r="AZ36" s="68">
        <f t="shared" si="16"/>
        <v>1.75</v>
      </c>
      <c r="BA36" s="65">
        <f t="shared" si="17"/>
        <v>0</v>
      </c>
      <c r="BB36" s="64">
        <f t="shared" si="18"/>
        <v>0</v>
      </c>
      <c r="BC36" s="67">
        <f t="shared" si="19"/>
        <v>0</v>
      </c>
      <c r="BD36" s="66">
        <f t="shared" si="20"/>
        <v>0</v>
      </c>
      <c r="BE36" s="64"/>
      <c r="BF36" s="66">
        <f t="shared" si="21"/>
        <v>0</v>
      </c>
      <c r="BG36" s="66">
        <f t="shared" si="22"/>
        <v>0</v>
      </c>
      <c r="BH36" s="65">
        <f>VLOOKUP(AA36,Table1551[#All],2,FALSE)</f>
        <v>1</v>
      </c>
      <c r="BI36" s="65">
        <f t="shared" si="23"/>
        <v>0</v>
      </c>
      <c r="BJ36" s="64" t="str">
        <f t="shared" si="24"/>
        <v>0</v>
      </c>
      <c r="BL36" s="89"/>
      <c r="BM36" s="89"/>
      <c r="BQ36" s="6"/>
      <c r="BR36" s="6"/>
      <c r="BS36" s="6"/>
      <c r="BT36" s="6"/>
      <c r="BU36" s="6"/>
      <c r="BV36" s="6"/>
      <c r="BW36" s="6"/>
      <c r="BX36" s="2"/>
      <c r="CK36" s="86" t="s">
        <v>167</v>
      </c>
      <c r="CL36" s="2">
        <v>1.59</v>
      </c>
      <c r="CM36" s="2">
        <f t="shared" si="25"/>
        <v>1.7490000000000003</v>
      </c>
      <c r="CN36" s="87">
        <v>1.5</v>
      </c>
      <c r="CO36" s="84">
        <f t="shared" si="26"/>
        <v>0</v>
      </c>
    </row>
    <row r="37" spans="1:93" ht="14.1" customHeight="1" x14ac:dyDescent="0.45">
      <c r="A37" s="83"/>
      <c r="B37" s="272"/>
      <c r="C37" s="272"/>
      <c r="D37" s="272"/>
      <c r="E37" s="272"/>
      <c r="F37" s="64"/>
      <c r="G37" s="64"/>
      <c r="H37" s="82"/>
      <c r="I37" s="81"/>
      <c r="J37" s="64"/>
      <c r="K37" s="80"/>
      <c r="L37" s="156">
        <f t="shared" si="0"/>
        <v>0</v>
      </c>
      <c r="M37" s="64"/>
      <c r="N37" s="64"/>
      <c r="O37" s="64"/>
      <c r="P37" s="80"/>
      <c r="Q37" s="79">
        <f t="shared" si="1"/>
        <v>0</v>
      </c>
      <c r="R37" s="269"/>
      <c r="S37" s="270"/>
      <c r="T37" s="266"/>
      <c r="U37" s="267"/>
      <c r="V37" s="267"/>
      <c r="W37" s="268"/>
      <c r="X37" s="271" t="str">
        <f>IFERROR(INDEX(Table3941[],MATCH(R37,Table3941[Film Type],),3),"")</f>
        <v/>
      </c>
      <c r="Y37" s="271"/>
      <c r="Z37" s="78" t="s">
        <v>55</v>
      </c>
      <c r="AA37" s="78" t="s">
        <v>55</v>
      </c>
      <c r="AB37" s="77"/>
      <c r="AC37" s="76"/>
      <c r="AD37" s="75">
        <f t="shared" si="2"/>
        <v>0</v>
      </c>
      <c r="AG37" s="74">
        <f t="shared" si="3"/>
        <v>0</v>
      </c>
      <c r="AK37" s="65">
        <f t="shared" si="4"/>
        <v>0</v>
      </c>
      <c r="AL37" s="65">
        <f t="shared" si="5"/>
        <v>0</v>
      </c>
      <c r="AM37" s="65">
        <f t="shared" si="6"/>
        <v>0</v>
      </c>
      <c r="AN37" s="73">
        <f t="shared" si="7"/>
        <v>0</v>
      </c>
      <c r="AO37" s="65" t="str">
        <f t="shared" si="8"/>
        <v>0.00</v>
      </c>
      <c r="AP37" s="65" t="str">
        <f t="shared" si="9"/>
        <v>0</v>
      </c>
      <c r="AQ37" s="71">
        <f t="shared" si="10"/>
        <v>0</v>
      </c>
      <c r="AR37" s="72">
        <f t="shared" si="11"/>
        <v>0</v>
      </c>
      <c r="AS37" s="71">
        <f t="shared" si="12"/>
        <v>0</v>
      </c>
      <c r="AT37" s="70">
        <f t="shared" si="13"/>
        <v>0</v>
      </c>
      <c r="AU37" s="70">
        <f t="shared" si="14"/>
        <v>0</v>
      </c>
      <c r="AV37" s="2"/>
      <c r="AW37" s="66">
        <f t="shared" si="15"/>
        <v>0</v>
      </c>
      <c r="AX37" s="68">
        <f>_xlfn.IFNA(INDEX(Table3941[I $ p/ft2],MATCH(R37,Table3941[Film Type],0)),1.75)</f>
        <v>1.75</v>
      </c>
      <c r="AY37" s="69">
        <f>VLOOKUP(Z37,Table1349[#All],2,FALSE)</f>
        <v>1</v>
      </c>
      <c r="AZ37" s="68">
        <f t="shared" si="16"/>
        <v>1.75</v>
      </c>
      <c r="BA37" s="65">
        <f t="shared" si="17"/>
        <v>0</v>
      </c>
      <c r="BB37" s="64">
        <f t="shared" si="18"/>
        <v>0</v>
      </c>
      <c r="BC37" s="67">
        <f t="shared" si="19"/>
        <v>0</v>
      </c>
      <c r="BD37" s="66">
        <f t="shared" si="20"/>
        <v>0</v>
      </c>
      <c r="BE37" s="64"/>
      <c r="BF37" s="66">
        <f t="shared" si="21"/>
        <v>0</v>
      </c>
      <c r="BG37" s="66">
        <f t="shared" si="22"/>
        <v>0</v>
      </c>
      <c r="BH37" s="65">
        <f>VLOOKUP(AA37,Table1551[#All],2,FALSE)</f>
        <v>1</v>
      </c>
      <c r="BI37" s="65">
        <f t="shared" si="23"/>
        <v>0</v>
      </c>
      <c r="BJ37" s="64" t="str">
        <f t="shared" si="24"/>
        <v>0</v>
      </c>
      <c r="BQ37" s="6"/>
      <c r="BR37" s="6"/>
      <c r="BS37" s="6"/>
      <c r="BT37" s="6"/>
      <c r="BU37" s="6"/>
      <c r="BV37" s="6"/>
      <c r="BW37" s="6"/>
      <c r="BX37" s="2"/>
      <c r="CK37" s="86" t="s">
        <v>166</v>
      </c>
      <c r="CL37" s="2">
        <v>4.0199999999999996</v>
      </c>
      <c r="CM37" s="2">
        <f t="shared" si="25"/>
        <v>4.4219999999999997</v>
      </c>
      <c r="CN37" s="10">
        <v>2</v>
      </c>
      <c r="CO37" s="84">
        <f t="shared" si="26"/>
        <v>0</v>
      </c>
    </row>
    <row r="38" spans="1:93" ht="12" customHeight="1" thickBot="1" x14ac:dyDescent="0.5">
      <c r="A38" s="83"/>
      <c r="B38" s="272"/>
      <c r="C38" s="272"/>
      <c r="D38" s="272"/>
      <c r="E38" s="272"/>
      <c r="F38" s="64"/>
      <c r="G38" s="64"/>
      <c r="H38" s="82"/>
      <c r="I38" s="81"/>
      <c r="J38" s="64"/>
      <c r="K38" s="80"/>
      <c r="L38" s="156">
        <f t="shared" si="0"/>
        <v>0</v>
      </c>
      <c r="M38" s="64"/>
      <c r="N38" s="64"/>
      <c r="O38" s="64"/>
      <c r="P38" s="80"/>
      <c r="Q38" s="79">
        <f t="shared" si="1"/>
        <v>0</v>
      </c>
      <c r="R38" s="269"/>
      <c r="S38" s="270"/>
      <c r="T38" s="266"/>
      <c r="U38" s="267"/>
      <c r="V38" s="267"/>
      <c r="W38" s="268"/>
      <c r="X38" s="271" t="str">
        <f>IFERROR(INDEX(Table3941[],MATCH(R38,Table3941[Film Type],),3),"")</f>
        <v/>
      </c>
      <c r="Y38" s="271"/>
      <c r="Z38" s="78" t="s">
        <v>55</v>
      </c>
      <c r="AA38" s="78" t="s">
        <v>55</v>
      </c>
      <c r="AB38" s="77"/>
      <c r="AC38" s="76"/>
      <c r="AD38" s="75">
        <f t="shared" si="2"/>
        <v>0</v>
      </c>
      <c r="AG38" s="74">
        <f t="shared" si="3"/>
        <v>0</v>
      </c>
      <c r="AK38" s="65">
        <f t="shared" si="4"/>
        <v>0</v>
      </c>
      <c r="AL38" s="65">
        <f t="shared" si="5"/>
        <v>0</v>
      </c>
      <c r="AM38" s="65">
        <f t="shared" si="6"/>
        <v>0</v>
      </c>
      <c r="AN38" s="73">
        <f t="shared" si="7"/>
        <v>0</v>
      </c>
      <c r="AO38" s="65" t="str">
        <f t="shared" si="8"/>
        <v>0.00</v>
      </c>
      <c r="AP38" s="65" t="str">
        <f t="shared" si="9"/>
        <v>0</v>
      </c>
      <c r="AQ38" s="71">
        <f t="shared" si="10"/>
        <v>0</v>
      </c>
      <c r="AR38" s="72">
        <f t="shared" si="11"/>
        <v>0</v>
      </c>
      <c r="AS38" s="71">
        <f t="shared" si="12"/>
        <v>0</v>
      </c>
      <c r="AT38" s="70">
        <f t="shared" si="13"/>
        <v>0</v>
      </c>
      <c r="AU38" s="70">
        <f t="shared" si="14"/>
        <v>0</v>
      </c>
      <c r="AV38" s="2"/>
      <c r="AW38" s="66">
        <f t="shared" si="15"/>
        <v>0</v>
      </c>
      <c r="AX38" s="68">
        <f>_xlfn.IFNA(INDEX(Table3941[I $ p/ft2],MATCH(R38,Table3941[Film Type],0)),1.75)</f>
        <v>1.75</v>
      </c>
      <c r="AY38" s="69">
        <f>VLOOKUP(Z38,Table1349[#All],2,FALSE)</f>
        <v>1</v>
      </c>
      <c r="AZ38" s="68">
        <f t="shared" si="16"/>
        <v>1.75</v>
      </c>
      <c r="BA38" s="65">
        <f t="shared" si="17"/>
        <v>0</v>
      </c>
      <c r="BB38" s="64">
        <f t="shared" si="18"/>
        <v>0</v>
      </c>
      <c r="BC38" s="67">
        <f t="shared" si="19"/>
        <v>0</v>
      </c>
      <c r="BD38" s="66">
        <f t="shared" si="20"/>
        <v>0</v>
      </c>
      <c r="BE38" s="64"/>
      <c r="BF38" s="66">
        <f t="shared" si="21"/>
        <v>0</v>
      </c>
      <c r="BG38" s="66">
        <f t="shared" si="22"/>
        <v>0</v>
      </c>
      <c r="BH38" s="65">
        <f>VLOOKUP(AA38,Table1551[#All],2,FALSE)</f>
        <v>1</v>
      </c>
      <c r="BI38" s="65">
        <f t="shared" si="23"/>
        <v>0</v>
      </c>
      <c r="BJ38" s="64" t="str">
        <f t="shared" si="24"/>
        <v>0</v>
      </c>
      <c r="BQ38" s="6"/>
      <c r="BR38" s="6"/>
      <c r="BS38" s="6"/>
      <c r="BT38" s="6"/>
      <c r="BU38" s="6"/>
      <c r="BV38" s="6"/>
      <c r="BW38" s="6"/>
      <c r="BX38" s="2"/>
      <c r="CK38" s="86" t="s">
        <v>165</v>
      </c>
      <c r="CL38" s="2">
        <v>6.13</v>
      </c>
      <c r="CM38" s="2">
        <f t="shared" si="25"/>
        <v>6.7430000000000003</v>
      </c>
      <c r="CN38" s="10">
        <v>2</v>
      </c>
      <c r="CO38" s="84">
        <f t="shared" si="26"/>
        <v>0</v>
      </c>
    </row>
    <row r="39" spans="1:93" ht="12" hidden="1" customHeight="1" x14ac:dyDescent="0.45">
      <c r="A39" s="83"/>
      <c r="B39" s="176"/>
      <c r="C39" s="177"/>
      <c r="D39" s="177"/>
      <c r="E39" s="178"/>
      <c r="F39" s="161"/>
      <c r="G39" s="161"/>
      <c r="H39" s="162"/>
      <c r="I39" s="163"/>
      <c r="J39" s="161"/>
      <c r="K39" s="164"/>
      <c r="L39" s="79">
        <f t="shared" ref="L39:L70" si="27">(I39*J39*K39)/144</f>
        <v>0</v>
      </c>
      <c r="M39" s="64"/>
      <c r="N39" s="64"/>
      <c r="O39" s="64"/>
      <c r="P39" s="80"/>
      <c r="Q39" s="79">
        <f t="shared" ref="Q39:Q70" si="28">IF(P39&lt;&gt;"",M39*O39*P39/144,L39*(1+$Q$5))</f>
        <v>0</v>
      </c>
      <c r="R39" s="269"/>
      <c r="S39" s="270"/>
      <c r="T39" s="266"/>
      <c r="U39" s="267"/>
      <c r="V39" s="267"/>
      <c r="W39" s="268"/>
      <c r="X39" s="271" t="str">
        <f>IFERROR(INDEX(Table3941[],MATCH(R39,Table3941[Film Type],),3),"")</f>
        <v/>
      </c>
      <c r="Y39" s="271"/>
      <c r="Z39" s="78" t="s">
        <v>55</v>
      </c>
      <c r="AA39" s="78" t="s">
        <v>55</v>
      </c>
      <c r="AB39" s="77"/>
      <c r="AC39" s="76"/>
      <c r="AD39" s="75">
        <f t="shared" ref="AD39:AD70" si="29">SUM(AT39+AU39)</f>
        <v>0</v>
      </c>
      <c r="AG39" s="74">
        <f t="shared" ref="AG39:AG70" si="30">(((I39*2)+(J39*2))*K39)/12</f>
        <v>0</v>
      </c>
      <c r="AK39" s="65">
        <f t="shared" ref="AK39:AK70" si="31">IFERROR((Q39*X39),0)</f>
        <v>0</v>
      </c>
      <c r="AL39" s="65">
        <f t="shared" ref="AL39:AL70" si="32">IFERROR((AW39/$B$158)*$X$4,0)</f>
        <v>0</v>
      </c>
      <c r="AM39" s="65">
        <f t="shared" ref="AM39:AM70" si="33">BA39+BI39+BC39</f>
        <v>0</v>
      </c>
      <c r="AN39" s="73">
        <f t="shared" ref="AN39:AN70" si="34">IFERROR((AW39/$B$158)*(($AB$4*$AI$7)+($AC$2*$AI$7)),0)</f>
        <v>0</v>
      </c>
      <c r="AO39" s="65" t="str">
        <f t="shared" ref="AO39:AO70" si="35">IF(AND($X$2="Yes", $Z$2="No"), ((AM39+AN39)*0.25),"0.00")</f>
        <v>0.00</v>
      </c>
      <c r="AP39" s="65" t="str">
        <f t="shared" ref="AP39:AP70" si="36">IF($Z$2="No","0", (((AN39/$AI$7)+BD39+BG39)*$AI$13)-(AN39+BA39+BC39+BI39))</f>
        <v>0</v>
      </c>
      <c r="AQ39" s="71">
        <f t="shared" ref="AQ39:AQ70" si="37">(BD39+BG39)*$AI$10</f>
        <v>0</v>
      </c>
      <c r="AR39" s="72">
        <f t="shared" ref="AR39:AR70" si="38">AD39*$AB$163</f>
        <v>0</v>
      </c>
      <c r="AS39" s="71">
        <f t="shared" ref="AS39:AS70" si="39">AD39-AT39-AR39-AQ39</f>
        <v>0</v>
      </c>
      <c r="AT39" s="70">
        <f t="shared" ref="AT39:AT70" si="40">SUM(AK39+AL39+AM39+AN39+AO39+AP39)</f>
        <v>0</v>
      </c>
      <c r="AU39" s="70">
        <f t="shared" ref="AU39:AU70" si="41">AT39*$AB$167</f>
        <v>0</v>
      </c>
      <c r="AV39" s="2"/>
      <c r="AW39" s="66">
        <f t="shared" ref="AW39:AW70" si="42">IF(R39="removal only",0,((I39*J39*K39)/144))</f>
        <v>0</v>
      </c>
      <c r="AX39" s="68">
        <f>_xlfn.IFNA(INDEX(Table3941[I $ p/ft2],MATCH(R39,Table3941[Film Type],0)),1.75)</f>
        <v>1.75</v>
      </c>
      <c r="AY39" s="69">
        <f>VLOOKUP(Z39,Table1349[#All],2,FALSE)</f>
        <v>1</v>
      </c>
      <c r="AZ39" s="68">
        <f t="shared" ref="AZ39:AZ70" si="43">AX39*AY39</f>
        <v>1.75</v>
      </c>
      <c r="BA39" s="65">
        <f t="shared" ref="BA39:BA70" si="44">IF(R39="removal only",0,(AW39*AZ39))</f>
        <v>0</v>
      </c>
      <c r="BB39" s="64">
        <f t="shared" ref="BB39:BB70" si="45">IF(R39="removal only",0,K39)</f>
        <v>0</v>
      </c>
      <c r="BC39" s="67">
        <f t="shared" ref="BC39:BC70" si="46">(AB39/60)*$AI$7</f>
        <v>0</v>
      </c>
      <c r="BD39" s="66">
        <f t="shared" ref="BD39:BD70" si="47">IF(R39="removal only",0,(BA39+BC39)/$AI$7)</f>
        <v>0</v>
      </c>
      <c r="BE39" s="64"/>
      <c r="BF39" s="66">
        <f t="shared" ref="BF39:BF70" si="48">IF(H39="Yes",((I39*J39*K39)/144),0)</f>
        <v>0</v>
      </c>
      <c r="BG39" s="66">
        <f t="shared" ref="BG39:BG70" si="49">IF(BF39="0",0,BI39/$AI$7)</f>
        <v>0</v>
      </c>
      <c r="BH39" s="65">
        <f>VLOOKUP(AA39,Table1551[#All],2,FALSE)</f>
        <v>1</v>
      </c>
      <c r="BI39" s="65">
        <f t="shared" ref="BI39:BI70" si="50">IF(H39="Yes",BF39*BH39,0)</f>
        <v>0</v>
      </c>
      <c r="BJ39" s="64" t="str">
        <f t="shared" ref="BJ39:BJ70" si="51">IF(H39="Yes",K39,"0")</f>
        <v>0</v>
      </c>
      <c r="BQ39" s="6"/>
      <c r="BR39" s="6"/>
      <c r="BS39" s="6"/>
      <c r="BT39" s="6"/>
      <c r="BU39" s="6"/>
      <c r="BV39" s="6"/>
      <c r="BW39" s="6"/>
      <c r="BX39" s="2"/>
      <c r="CK39" s="86" t="s">
        <v>164</v>
      </c>
      <c r="CL39" s="2">
        <v>6.13</v>
      </c>
      <c r="CM39" s="2">
        <f t="shared" ref="CM39:CM70" si="52">CL39*1.1</f>
        <v>6.7430000000000003</v>
      </c>
      <c r="CN39" s="10">
        <v>2</v>
      </c>
      <c r="CO39" s="84">
        <f t="shared" ref="CO39:CO70" si="53">ROUNDUP(MAX((P39*O39)/12)*(K39*J39)/12,0)</f>
        <v>0</v>
      </c>
    </row>
    <row r="40" spans="1:93" ht="12" hidden="1" customHeight="1" x14ac:dyDescent="0.45">
      <c r="A40" s="83"/>
      <c r="B40" s="266"/>
      <c r="C40" s="267"/>
      <c r="D40" s="267"/>
      <c r="E40" s="268"/>
      <c r="F40" s="64"/>
      <c r="G40" s="64"/>
      <c r="H40" s="82"/>
      <c r="I40" s="81"/>
      <c r="J40" s="64"/>
      <c r="K40" s="80"/>
      <c r="L40" s="79">
        <f t="shared" si="27"/>
        <v>0</v>
      </c>
      <c r="M40" s="64"/>
      <c r="N40" s="64"/>
      <c r="O40" s="64"/>
      <c r="P40" s="80"/>
      <c r="Q40" s="79">
        <f t="shared" si="28"/>
        <v>0</v>
      </c>
      <c r="R40" s="269"/>
      <c r="S40" s="270"/>
      <c r="T40" s="266"/>
      <c r="U40" s="267"/>
      <c r="V40" s="267"/>
      <c r="W40" s="268"/>
      <c r="X40" s="271" t="str">
        <f>IFERROR(INDEX(Table3941[],MATCH(R40,Table3941[Film Type],),3),"")</f>
        <v/>
      </c>
      <c r="Y40" s="271"/>
      <c r="Z40" s="78" t="s">
        <v>55</v>
      </c>
      <c r="AA40" s="78" t="s">
        <v>55</v>
      </c>
      <c r="AB40" s="77"/>
      <c r="AC40" s="76"/>
      <c r="AD40" s="75">
        <f t="shared" si="29"/>
        <v>0</v>
      </c>
      <c r="AG40" s="74">
        <f t="shared" si="30"/>
        <v>0</v>
      </c>
      <c r="AK40" s="65">
        <f t="shared" si="31"/>
        <v>0</v>
      </c>
      <c r="AL40" s="65">
        <f t="shared" si="32"/>
        <v>0</v>
      </c>
      <c r="AM40" s="65">
        <f t="shared" si="33"/>
        <v>0</v>
      </c>
      <c r="AN40" s="73">
        <f t="shared" si="34"/>
        <v>0</v>
      </c>
      <c r="AO40" s="65" t="str">
        <f t="shared" si="35"/>
        <v>0.00</v>
      </c>
      <c r="AP40" s="65" t="str">
        <f t="shared" si="36"/>
        <v>0</v>
      </c>
      <c r="AQ40" s="71">
        <f t="shared" si="37"/>
        <v>0</v>
      </c>
      <c r="AR40" s="72">
        <f t="shared" si="38"/>
        <v>0</v>
      </c>
      <c r="AS40" s="71">
        <f t="shared" si="39"/>
        <v>0</v>
      </c>
      <c r="AT40" s="70">
        <f t="shared" si="40"/>
        <v>0</v>
      </c>
      <c r="AU40" s="70">
        <f t="shared" si="41"/>
        <v>0</v>
      </c>
      <c r="AV40" s="2"/>
      <c r="AW40" s="66">
        <f t="shared" si="42"/>
        <v>0</v>
      </c>
      <c r="AX40" s="68">
        <f>_xlfn.IFNA(INDEX(Table3941[I $ p/ft2],MATCH(R40,Table3941[Film Type],0)),1.75)</f>
        <v>1.75</v>
      </c>
      <c r="AY40" s="69">
        <f>VLOOKUP(Z40,Table1349[#All],2,FALSE)</f>
        <v>1</v>
      </c>
      <c r="AZ40" s="68">
        <f t="shared" si="43"/>
        <v>1.75</v>
      </c>
      <c r="BA40" s="65">
        <f t="shared" si="44"/>
        <v>0</v>
      </c>
      <c r="BB40" s="64">
        <f t="shared" si="45"/>
        <v>0</v>
      </c>
      <c r="BC40" s="67">
        <f t="shared" si="46"/>
        <v>0</v>
      </c>
      <c r="BD40" s="66">
        <f t="shared" si="47"/>
        <v>0</v>
      </c>
      <c r="BE40" s="64"/>
      <c r="BF40" s="66">
        <f t="shared" si="48"/>
        <v>0</v>
      </c>
      <c r="BG40" s="66">
        <f t="shared" si="49"/>
        <v>0</v>
      </c>
      <c r="BH40" s="65">
        <f>VLOOKUP(AA40,Table1551[#All],2,FALSE)</f>
        <v>1</v>
      </c>
      <c r="BI40" s="65">
        <f t="shared" si="50"/>
        <v>0</v>
      </c>
      <c r="BJ40" s="64" t="str">
        <f t="shared" si="51"/>
        <v>0</v>
      </c>
      <c r="BQ40" s="6"/>
      <c r="BR40" s="6"/>
      <c r="BS40" s="6"/>
      <c r="BT40" s="6"/>
      <c r="BU40" s="6"/>
      <c r="BV40" s="6"/>
      <c r="BW40" s="6"/>
      <c r="BX40" s="2"/>
      <c r="CK40" s="86" t="s">
        <v>163</v>
      </c>
      <c r="CL40" s="2">
        <v>3.87</v>
      </c>
      <c r="CM40" s="2">
        <f t="shared" si="52"/>
        <v>4.2570000000000006</v>
      </c>
      <c r="CN40" s="10">
        <v>2</v>
      </c>
      <c r="CO40" s="84">
        <f t="shared" si="53"/>
        <v>0</v>
      </c>
    </row>
    <row r="41" spans="1:93" ht="12" hidden="1" customHeight="1" x14ac:dyDescent="0.45">
      <c r="A41" s="83"/>
      <c r="B41" s="266"/>
      <c r="C41" s="267"/>
      <c r="D41" s="267"/>
      <c r="E41" s="268"/>
      <c r="F41" s="64"/>
      <c r="G41" s="64"/>
      <c r="H41" s="82"/>
      <c r="I41" s="81"/>
      <c r="J41" s="64"/>
      <c r="K41" s="80"/>
      <c r="L41" s="79">
        <f t="shared" si="27"/>
        <v>0</v>
      </c>
      <c r="M41" s="64"/>
      <c r="N41" s="64"/>
      <c r="O41" s="64"/>
      <c r="P41" s="80"/>
      <c r="Q41" s="79">
        <f t="shared" si="28"/>
        <v>0</v>
      </c>
      <c r="R41" s="269"/>
      <c r="S41" s="270"/>
      <c r="T41" s="266"/>
      <c r="U41" s="267"/>
      <c r="V41" s="267"/>
      <c r="W41" s="268"/>
      <c r="X41" s="271" t="str">
        <f>IFERROR(INDEX(Table3941[],MATCH(R41,Table3941[Film Type],),3),"")</f>
        <v/>
      </c>
      <c r="Y41" s="271"/>
      <c r="Z41" s="78" t="s">
        <v>55</v>
      </c>
      <c r="AA41" s="78" t="s">
        <v>55</v>
      </c>
      <c r="AB41" s="77"/>
      <c r="AC41" s="76"/>
      <c r="AD41" s="75">
        <f t="shared" si="29"/>
        <v>0</v>
      </c>
      <c r="AG41" s="74">
        <f t="shared" si="30"/>
        <v>0</v>
      </c>
      <c r="AK41" s="65">
        <f t="shared" si="31"/>
        <v>0</v>
      </c>
      <c r="AL41" s="65">
        <f t="shared" si="32"/>
        <v>0</v>
      </c>
      <c r="AM41" s="65">
        <f t="shared" si="33"/>
        <v>0</v>
      </c>
      <c r="AN41" s="73">
        <f t="shared" si="34"/>
        <v>0</v>
      </c>
      <c r="AO41" s="65" t="str">
        <f t="shared" si="35"/>
        <v>0.00</v>
      </c>
      <c r="AP41" s="65" t="str">
        <f t="shared" si="36"/>
        <v>0</v>
      </c>
      <c r="AQ41" s="71">
        <f t="shared" si="37"/>
        <v>0</v>
      </c>
      <c r="AR41" s="72">
        <f t="shared" si="38"/>
        <v>0</v>
      </c>
      <c r="AS41" s="71">
        <f t="shared" si="39"/>
        <v>0</v>
      </c>
      <c r="AT41" s="70">
        <f t="shared" si="40"/>
        <v>0</v>
      </c>
      <c r="AU41" s="70">
        <f t="shared" si="41"/>
        <v>0</v>
      </c>
      <c r="AV41" s="2"/>
      <c r="AW41" s="66">
        <f t="shared" si="42"/>
        <v>0</v>
      </c>
      <c r="AX41" s="68">
        <f>_xlfn.IFNA(INDEX(Table3941[I $ p/ft2],MATCH(R41,Table3941[Film Type],0)),1.75)</f>
        <v>1.75</v>
      </c>
      <c r="AY41" s="69">
        <f>VLOOKUP(Z41,Table1349[#All],2,FALSE)</f>
        <v>1</v>
      </c>
      <c r="AZ41" s="68">
        <f t="shared" si="43"/>
        <v>1.75</v>
      </c>
      <c r="BA41" s="65">
        <f t="shared" si="44"/>
        <v>0</v>
      </c>
      <c r="BB41" s="64">
        <f t="shared" si="45"/>
        <v>0</v>
      </c>
      <c r="BC41" s="67">
        <f t="shared" si="46"/>
        <v>0</v>
      </c>
      <c r="BD41" s="66">
        <f t="shared" si="47"/>
        <v>0</v>
      </c>
      <c r="BE41" s="64"/>
      <c r="BF41" s="66">
        <f t="shared" si="48"/>
        <v>0</v>
      </c>
      <c r="BG41" s="66">
        <f t="shared" si="49"/>
        <v>0</v>
      </c>
      <c r="BH41" s="65">
        <f>VLOOKUP(AA41,Table1551[#All],2,FALSE)</f>
        <v>1</v>
      </c>
      <c r="BI41" s="65">
        <f t="shared" si="50"/>
        <v>0</v>
      </c>
      <c r="BJ41" s="64" t="str">
        <f t="shared" si="51"/>
        <v>0</v>
      </c>
      <c r="BQ41" s="6"/>
      <c r="BR41" s="6"/>
      <c r="BS41" s="6"/>
      <c r="BT41" s="6"/>
      <c r="BU41" s="6"/>
      <c r="BV41" s="6"/>
      <c r="BW41" s="6"/>
      <c r="BX41" s="2"/>
      <c r="CK41" s="86" t="s">
        <v>162</v>
      </c>
      <c r="CL41" s="2">
        <v>2.4300000000000002</v>
      </c>
      <c r="CM41" s="2">
        <f t="shared" si="52"/>
        <v>2.6730000000000005</v>
      </c>
      <c r="CN41" s="10">
        <v>2</v>
      </c>
      <c r="CO41" s="84">
        <f t="shared" si="53"/>
        <v>0</v>
      </c>
    </row>
    <row r="42" spans="1:93" ht="12" hidden="1" customHeight="1" x14ac:dyDescent="0.45">
      <c r="A42" s="83"/>
      <c r="B42" s="266"/>
      <c r="C42" s="267"/>
      <c r="D42" s="267"/>
      <c r="E42" s="268"/>
      <c r="F42" s="64"/>
      <c r="G42" s="64"/>
      <c r="H42" s="82"/>
      <c r="I42" s="81"/>
      <c r="J42" s="64"/>
      <c r="K42" s="80"/>
      <c r="L42" s="79">
        <f t="shared" si="27"/>
        <v>0</v>
      </c>
      <c r="M42" s="64"/>
      <c r="N42" s="64"/>
      <c r="O42" s="64"/>
      <c r="P42" s="80"/>
      <c r="Q42" s="79">
        <f t="shared" si="28"/>
        <v>0</v>
      </c>
      <c r="R42" s="269"/>
      <c r="S42" s="270"/>
      <c r="T42" s="266"/>
      <c r="U42" s="267"/>
      <c r="V42" s="267"/>
      <c r="W42" s="268"/>
      <c r="X42" s="271" t="str">
        <f>IFERROR(INDEX(Table3941[],MATCH(R42,Table3941[Film Type],),3),"")</f>
        <v/>
      </c>
      <c r="Y42" s="271"/>
      <c r="Z42" s="78" t="s">
        <v>55</v>
      </c>
      <c r="AA42" s="78" t="s">
        <v>55</v>
      </c>
      <c r="AB42" s="77"/>
      <c r="AC42" s="76"/>
      <c r="AD42" s="75">
        <f t="shared" si="29"/>
        <v>0</v>
      </c>
      <c r="AG42" s="74">
        <f t="shared" si="30"/>
        <v>0</v>
      </c>
      <c r="AK42" s="65">
        <f t="shared" si="31"/>
        <v>0</v>
      </c>
      <c r="AL42" s="65">
        <f t="shared" si="32"/>
        <v>0</v>
      </c>
      <c r="AM42" s="65">
        <f t="shared" si="33"/>
        <v>0</v>
      </c>
      <c r="AN42" s="73">
        <f t="shared" si="34"/>
        <v>0</v>
      </c>
      <c r="AO42" s="65" t="str">
        <f t="shared" si="35"/>
        <v>0.00</v>
      </c>
      <c r="AP42" s="65" t="str">
        <f t="shared" si="36"/>
        <v>0</v>
      </c>
      <c r="AQ42" s="71">
        <f t="shared" si="37"/>
        <v>0</v>
      </c>
      <c r="AR42" s="72">
        <f t="shared" si="38"/>
        <v>0</v>
      </c>
      <c r="AS42" s="71">
        <f t="shared" si="39"/>
        <v>0</v>
      </c>
      <c r="AT42" s="70">
        <f t="shared" si="40"/>
        <v>0</v>
      </c>
      <c r="AU42" s="70">
        <f t="shared" si="41"/>
        <v>0</v>
      </c>
      <c r="AV42" s="2"/>
      <c r="AW42" s="66">
        <f t="shared" si="42"/>
        <v>0</v>
      </c>
      <c r="AX42" s="68">
        <f>_xlfn.IFNA(INDEX(Table3941[I $ p/ft2],MATCH(R42,Table3941[Film Type],0)),1.75)</f>
        <v>1.75</v>
      </c>
      <c r="AY42" s="69">
        <f>VLOOKUP(Z42,Table1349[#All],2,FALSE)</f>
        <v>1</v>
      </c>
      <c r="AZ42" s="68">
        <f t="shared" si="43"/>
        <v>1.75</v>
      </c>
      <c r="BA42" s="65">
        <f t="shared" si="44"/>
        <v>0</v>
      </c>
      <c r="BB42" s="64">
        <f t="shared" si="45"/>
        <v>0</v>
      </c>
      <c r="BC42" s="67">
        <f t="shared" si="46"/>
        <v>0</v>
      </c>
      <c r="BD42" s="66">
        <f t="shared" si="47"/>
        <v>0</v>
      </c>
      <c r="BE42" s="64"/>
      <c r="BF42" s="66">
        <f t="shared" si="48"/>
        <v>0</v>
      </c>
      <c r="BG42" s="66">
        <f t="shared" si="49"/>
        <v>0</v>
      </c>
      <c r="BH42" s="65">
        <f>VLOOKUP(AA42,Table1551[#All],2,FALSE)</f>
        <v>1</v>
      </c>
      <c r="BI42" s="65">
        <f t="shared" si="50"/>
        <v>0</v>
      </c>
      <c r="BJ42" s="64" t="str">
        <f t="shared" si="51"/>
        <v>0</v>
      </c>
      <c r="BQ42" s="6"/>
      <c r="BR42" s="6"/>
      <c r="BS42" s="6"/>
      <c r="BT42" s="6"/>
      <c r="BU42" s="6"/>
      <c r="BV42" s="6"/>
      <c r="BW42" s="6"/>
      <c r="BX42" s="2"/>
      <c r="CK42" s="86" t="s">
        <v>161</v>
      </c>
      <c r="CL42" s="2">
        <v>1.61</v>
      </c>
      <c r="CM42" s="2">
        <f t="shared" si="52"/>
        <v>1.7710000000000004</v>
      </c>
      <c r="CN42" s="10">
        <v>2</v>
      </c>
      <c r="CO42" s="84">
        <f t="shared" si="53"/>
        <v>0</v>
      </c>
    </row>
    <row r="43" spans="1:93" ht="12" hidden="1" customHeight="1" x14ac:dyDescent="0.45">
      <c r="A43" s="83"/>
      <c r="B43" s="266"/>
      <c r="C43" s="267"/>
      <c r="D43" s="267"/>
      <c r="E43" s="268"/>
      <c r="F43" s="64"/>
      <c r="G43" s="64"/>
      <c r="H43" s="82"/>
      <c r="I43" s="81"/>
      <c r="J43" s="64"/>
      <c r="K43" s="80"/>
      <c r="L43" s="79">
        <f t="shared" si="27"/>
        <v>0</v>
      </c>
      <c r="M43" s="64"/>
      <c r="N43" s="64"/>
      <c r="O43" s="64"/>
      <c r="P43" s="80"/>
      <c r="Q43" s="79">
        <f t="shared" si="28"/>
        <v>0</v>
      </c>
      <c r="R43" s="269"/>
      <c r="S43" s="270"/>
      <c r="T43" s="266"/>
      <c r="U43" s="267"/>
      <c r="V43" s="267"/>
      <c r="W43" s="268"/>
      <c r="X43" s="271" t="str">
        <f>IFERROR(INDEX(Table3941[],MATCH(R43,Table3941[Film Type],),3),"")</f>
        <v/>
      </c>
      <c r="Y43" s="271"/>
      <c r="Z43" s="78" t="s">
        <v>55</v>
      </c>
      <c r="AA43" s="78" t="s">
        <v>55</v>
      </c>
      <c r="AB43" s="77"/>
      <c r="AC43" s="76"/>
      <c r="AD43" s="75">
        <f t="shared" si="29"/>
        <v>0</v>
      </c>
      <c r="AG43" s="74">
        <f t="shared" si="30"/>
        <v>0</v>
      </c>
      <c r="AK43" s="65">
        <f t="shared" si="31"/>
        <v>0</v>
      </c>
      <c r="AL43" s="65">
        <f t="shared" si="32"/>
        <v>0</v>
      </c>
      <c r="AM43" s="65">
        <f t="shared" si="33"/>
        <v>0</v>
      </c>
      <c r="AN43" s="73">
        <f t="shared" si="34"/>
        <v>0</v>
      </c>
      <c r="AO43" s="65" t="str">
        <f t="shared" si="35"/>
        <v>0.00</v>
      </c>
      <c r="AP43" s="65" t="str">
        <f t="shared" si="36"/>
        <v>0</v>
      </c>
      <c r="AQ43" s="71">
        <f t="shared" si="37"/>
        <v>0</v>
      </c>
      <c r="AR43" s="72">
        <f t="shared" si="38"/>
        <v>0</v>
      </c>
      <c r="AS43" s="71">
        <f t="shared" si="39"/>
        <v>0</v>
      </c>
      <c r="AT43" s="70">
        <f t="shared" si="40"/>
        <v>0</v>
      </c>
      <c r="AU43" s="70">
        <f t="shared" si="41"/>
        <v>0</v>
      </c>
      <c r="AV43" s="2"/>
      <c r="AW43" s="66">
        <f t="shared" si="42"/>
        <v>0</v>
      </c>
      <c r="AX43" s="68">
        <f>_xlfn.IFNA(INDEX(Table3941[I $ p/ft2],MATCH(R43,Table3941[Film Type],0)),1.75)</f>
        <v>1.75</v>
      </c>
      <c r="AY43" s="69">
        <f>VLOOKUP(Z43,Table1349[#All],2,FALSE)</f>
        <v>1</v>
      </c>
      <c r="AZ43" s="68">
        <f t="shared" si="43"/>
        <v>1.75</v>
      </c>
      <c r="BA43" s="65">
        <f t="shared" si="44"/>
        <v>0</v>
      </c>
      <c r="BB43" s="64">
        <f t="shared" si="45"/>
        <v>0</v>
      </c>
      <c r="BC43" s="67">
        <f t="shared" si="46"/>
        <v>0</v>
      </c>
      <c r="BD43" s="66">
        <f t="shared" si="47"/>
        <v>0</v>
      </c>
      <c r="BE43" s="64"/>
      <c r="BF43" s="66">
        <f t="shared" si="48"/>
        <v>0</v>
      </c>
      <c r="BG43" s="66">
        <f t="shared" si="49"/>
        <v>0</v>
      </c>
      <c r="BH43" s="65">
        <f>VLOOKUP(AA43,Table1551[#All],2,FALSE)</f>
        <v>1</v>
      </c>
      <c r="BI43" s="65">
        <f t="shared" si="50"/>
        <v>0</v>
      </c>
      <c r="BJ43" s="64" t="str">
        <f t="shared" si="51"/>
        <v>0</v>
      </c>
      <c r="BQ43" s="6"/>
      <c r="BR43" s="6"/>
      <c r="BS43" s="6"/>
      <c r="BT43" s="6"/>
      <c r="BU43" s="6"/>
      <c r="BV43" s="6"/>
      <c r="BW43" s="6"/>
      <c r="BX43" s="2"/>
      <c r="CK43" s="86" t="s">
        <v>160</v>
      </c>
      <c r="CL43" s="2">
        <v>1.61</v>
      </c>
      <c r="CM43" s="2">
        <f t="shared" si="52"/>
        <v>1.7710000000000004</v>
      </c>
      <c r="CN43" s="10">
        <v>2</v>
      </c>
      <c r="CO43" s="84">
        <f t="shared" si="53"/>
        <v>0</v>
      </c>
    </row>
    <row r="44" spans="1:93" ht="12" hidden="1" customHeight="1" x14ac:dyDescent="0.45">
      <c r="A44" s="83"/>
      <c r="B44" s="266"/>
      <c r="C44" s="267"/>
      <c r="D44" s="267"/>
      <c r="E44" s="268"/>
      <c r="F44" s="64"/>
      <c r="G44" s="64"/>
      <c r="H44" s="82"/>
      <c r="I44" s="81"/>
      <c r="J44" s="64"/>
      <c r="K44" s="80"/>
      <c r="L44" s="79">
        <f t="shared" si="27"/>
        <v>0</v>
      </c>
      <c r="M44" s="64"/>
      <c r="N44" s="64"/>
      <c r="O44" s="64"/>
      <c r="P44" s="80"/>
      <c r="Q44" s="79">
        <f t="shared" si="28"/>
        <v>0</v>
      </c>
      <c r="R44" s="269"/>
      <c r="S44" s="270"/>
      <c r="T44" s="266"/>
      <c r="U44" s="267"/>
      <c r="V44" s="267"/>
      <c r="W44" s="268"/>
      <c r="X44" s="271" t="str">
        <f>IFERROR(INDEX(Table3941[],MATCH(R44,Table3941[Film Type],),3),"")</f>
        <v/>
      </c>
      <c r="Y44" s="271"/>
      <c r="Z44" s="78" t="s">
        <v>55</v>
      </c>
      <c r="AA44" s="78" t="s">
        <v>55</v>
      </c>
      <c r="AB44" s="77"/>
      <c r="AC44" s="76"/>
      <c r="AD44" s="75">
        <f t="shared" si="29"/>
        <v>0</v>
      </c>
      <c r="AG44" s="74">
        <f t="shared" si="30"/>
        <v>0</v>
      </c>
      <c r="AK44" s="65">
        <f t="shared" si="31"/>
        <v>0</v>
      </c>
      <c r="AL44" s="65">
        <f t="shared" si="32"/>
        <v>0</v>
      </c>
      <c r="AM44" s="65">
        <f t="shared" si="33"/>
        <v>0</v>
      </c>
      <c r="AN44" s="73">
        <f t="shared" si="34"/>
        <v>0</v>
      </c>
      <c r="AO44" s="65" t="str">
        <f t="shared" si="35"/>
        <v>0.00</v>
      </c>
      <c r="AP44" s="65" t="str">
        <f t="shared" si="36"/>
        <v>0</v>
      </c>
      <c r="AQ44" s="71">
        <f t="shared" si="37"/>
        <v>0</v>
      </c>
      <c r="AR44" s="72">
        <f t="shared" si="38"/>
        <v>0</v>
      </c>
      <c r="AS44" s="71">
        <f t="shared" si="39"/>
        <v>0</v>
      </c>
      <c r="AT44" s="70">
        <f t="shared" si="40"/>
        <v>0</v>
      </c>
      <c r="AU44" s="70">
        <f t="shared" si="41"/>
        <v>0</v>
      </c>
      <c r="AV44" s="2"/>
      <c r="AW44" s="66">
        <f t="shared" si="42"/>
        <v>0</v>
      </c>
      <c r="AX44" s="68">
        <f>_xlfn.IFNA(INDEX(Table3941[I $ p/ft2],MATCH(R44,Table3941[Film Type],0)),1.75)</f>
        <v>1.75</v>
      </c>
      <c r="AY44" s="69">
        <f>VLOOKUP(Z44,Table1349[#All],2,FALSE)</f>
        <v>1</v>
      </c>
      <c r="AZ44" s="68">
        <f t="shared" si="43"/>
        <v>1.75</v>
      </c>
      <c r="BA44" s="65">
        <f t="shared" si="44"/>
        <v>0</v>
      </c>
      <c r="BB44" s="64">
        <f t="shared" si="45"/>
        <v>0</v>
      </c>
      <c r="BC44" s="67">
        <f t="shared" si="46"/>
        <v>0</v>
      </c>
      <c r="BD44" s="66">
        <f t="shared" si="47"/>
        <v>0</v>
      </c>
      <c r="BE44" s="64"/>
      <c r="BF44" s="66">
        <f t="shared" si="48"/>
        <v>0</v>
      </c>
      <c r="BG44" s="66">
        <f t="shared" si="49"/>
        <v>0</v>
      </c>
      <c r="BH44" s="65">
        <f>VLOOKUP(AA44,Table1551[#All],2,FALSE)</f>
        <v>1</v>
      </c>
      <c r="BI44" s="65">
        <f t="shared" si="50"/>
        <v>0</v>
      </c>
      <c r="BJ44" s="64" t="str">
        <f t="shared" si="51"/>
        <v>0</v>
      </c>
      <c r="BQ44" s="6"/>
      <c r="BR44" s="6"/>
      <c r="BS44" s="6"/>
      <c r="BT44" s="6"/>
      <c r="BU44" s="6"/>
      <c r="BV44" s="6"/>
      <c r="BW44" s="6"/>
      <c r="BX44" s="2"/>
      <c r="CK44" s="86" t="s">
        <v>159</v>
      </c>
      <c r="CL44" s="2">
        <v>1.79</v>
      </c>
      <c r="CM44" s="2">
        <f t="shared" si="52"/>
        <v>1.9690000000000003</v>
      </c>
      <c r="CN44" s="10">
        <v>2</v>
      </c>
      <c r="CO44" s="84">
        <f t="shared" si="53"/>
        <v>0</v>
      </c>
    </row>
    <row r="45" spans="1:93" ht="12" hidden="1" customHeight="1" x14ac:dyDescent="0.45">
      <c r="A45" s="83"/>
      <c r="B45" s="266"/>
      <c r="C45" s="267"/>
      <c r="D45" s="267"/>
      <c r="E45" s="268"/>
      <c r="F45" s="64"/>
      <c r="G45" s="64"/>
      <c r="H45" s="82"/>
      <c r="I45" s="81"/>
      <c r="J45" s="64"/>
      <c r="K45" s="80"/>
      <c r="L45" s="79">
        <f t="shared" si="27"/>
        <v>0</v>
      </c>
      <c r="M45" s="64"/>
      <c r="N45" s="64"/>
      <c r="O45" s="64"/>
      <c r="P45" s="80"/>
      <c r="Q45" s="79">
        <f t="shared" si="28"/>
        <v>0</v>
      </c>
      <c r="R45" s="269"/>
      <c r="S45" s="270"/>
      <c r="T45" s="266"/>
      <c r="U45" s="267"/>
      <c r="V45" s="267"/>
      <c r="W45" s="268"/>
      <c r="X45" s="271" t="str">
        <f>IFERROR(INDEX(Table3941[],MATCH(R45,Table3941[Film Type],),3),"")</f>
        <v/>
      </c>
      <c r="Y45" s="271"/>
      <c r="Z45" s="78" t="s">
        <v>55</v>
      </c>
      <c r="AA45" s="78" t="s">
        <v>55</v>
      </c>
      <c r="AB45" s="77"/>
      <c r="AC45" s="76"/>
      <c r="AD45" s="75">
        <f t="shared" si="29"/>
        <v>0</v>
      </c>
      <c r="AG45" s="74">
        <f t="shared" si="30"/>
        <v>0</v>
      </c>
      <c r="AK45" s="65">
        <f t="shared" si="31"/>
        <v>0</v>
      </c>
      <c r="AL45" s="65">
        <f t="shared" si="32"/>
        <v>0</v>
      </c>
      <c r="AM45" s="65">
        <f t="shared" si="33"/>
        <v>0</v>
      </c>
      <c r="AN45" s="73">
        <f t="shared" si="34"/>
        <v>0</v>
      </c>
      <c r="AO45" s="65" t="str">
        <f t="shared" si="35"/>
        <v>0.00</v>
      </c>
      <c r="AP45" s="65" t="str">
        <f t="shared" si="36"/>
        <v>0</v>
      </c>
      <c r="AQ45" s="71">
        <f t="shared" si="37"/>
        <v>0</v>
      </c>
      <c r="AR45" s="72">
        <f t="shared" si="38"/>
        <v>0</v>
      </c>
      <c r="AS45" s="71">
        <f t="shared" si="39"/>
        <v>0</v>
      </c>
      <c r="AT45" s="70">
        <f t="shared" si="40"/>
        <v>0</v>
      </c>
      <c r="AU45" s="70">
        <f t="shared" si="41"/>
        <v>0</v>
      </c>
      <c r="AV45" s="2"/>
      <c r="AW45" s="66">
        <f t="shared" si="42"/>
        <v>0</v>
      </c>
      <c r="AX45" s="68">
        <f>_xlfn.IFNA(INDEX(Table3941[I $ p/ft2],MATCH(R45,Table3941[Film Type],0)),1.75)</f>
        <v>1.75</v>
      </c>
      <c r="AY45" s="69">
        <f>VLOOKUP(Z45,Table1349[#All],2,FALSE)</f>
        <v>1</v>
      </c>
      <c r="AZ45" s="68">
        <f t="shared" si="43"/>
        <v>1.75</v>
      </c>
      <c r="BA45" s="65">
        <f t="shared" si="44"/>
        <v>0</v>
      </c>
      <c r="BB45" s="64">
        <f t="shared" si="45"/>
        <v>0</v>
      </c>
      <c r="BC45" s="67">
        <f t="shared" si="46"/>
        <v>0</v>
      </c>
      <c r="BD45" s="66">
        <f t="shared" si="47"/>
        <v>0</v>
      </c>
      <c r="BE45" s="64"/>
      <c r="BF45" s="66">
        <f t="shared" si="48"/>
        <v>0</v>
      </c>
      <c r="BG45" s="66">
        <f t="shared" si="49"/>
        <v>0</v>
      </c>
      <c r="BH45" s="65">
        <f>VLOOKUP(AA45,Table1551[#All],2,FALSE)</f>
        <v>1</v>
      </c>
      <c r="BI45" s="65">
        <f t="shared" si="50"/>
        <v>0</v>
      </c>
      <c r="BJ45" s="64" t="str">
        <f t="shared" si="51"/>
        <v>0</v>
      </c>
      <c r="BQ45" s="6"/>
      <c r="BR45" s="6"/>
      <c r="BS45" s="6"/>
      <c r="BT45" s="6"/>
      <c r="BU45" s="6"/>
      <c r="BV45" s="6"/>
      <c r="BW45" s="6"/>
      <c r="BX45" s="2"/>
      <c r="CK45" s="86" t="s">
        <v>158</v>
      </c>
      <c r="CL45" s="2">
        <v>0.98</v>
      </c>
      <c r="CM45" s="2">
        <f t="shared" si="52"/>
        <v>1.0780000000000001</v>
      </c>
      <c r="CN45" s="10">
        <v>1.5</v>
      </c>
      <c r="CO45" s="84">
        <f t="shared" si="53"/>
        <v>0</v>
      </c>
    </row>
    <row r="46" spans="1:93" ht="12" hidden="1" customHeight="1" x14ac:dyDescent="0.45">
      <c r="A46" s="83"/>
      <c r="B46" s="266"/>
      <c r="C46" s="267"/>
      <c r="D46" s="267"/>
      <c r="E46" s="268"/>
      <c r="F46" s="64"/>
      <c r="G46" s="64"/>
      <c r="H46" s="82"/>
      <c r="I46" s="81"/>
      <c r="J46" s="64"/>
      <c r="K46" s="80"/>
      <c r="L46" s="79">
        <f t="shared" si="27"/>
        <v>0</v>
      </c>
      <c r="M46" s="64"/>
      <c r="N46" s="64"/>
      <c r="O46" s="64"/>
      <c r="P46" s="80"/>
      <c r="Q46" s="79">
        <f t="shared" si="28"/>
        <v>0</v>
      </c>
      <c r="R46" s="269"/>
      <c r="S46" s="270"/>
      <c r="T46" s="266"/>
      <c r="U46" s="267"/>
      <c r="V46" s="267"/>
      <c r="W46" s="268"/>
      <c r="X46" s="271" t="str">
        <f>IFERROR(INDEX(Table3941[],MATCH(R46,Table3941[Film Type],),3),"")</f>
        <v/>
      </c>
      <c r="Y46" s="271"/>
      <c r="Z46" s="78" t="s">
        <v>55</v>
      </c>
      <c r="AA46" s="78" t="s">
        <v>55</v>
      </c>
      <c r="AB46" s="77"/>
      <c r="AC46" s="76"/>
      <c r="AD46" s="75">
        <f t="shared" si="29"/>
        <v>0</v>
      </c>
      <c r="AG46" s="74">
        <f t="shared" si="30"/>
        <v>0</v>
      </c>
      <c r="AK46" s="65">
        <f t="shared" si="31"/>
        <v>0</v>
      </c>
      <c r="AL46" s="65">
        <f t="shared" si="32"/>
        <v>0</v>
      </c>
      <c r="AM46" s="65">
        <f t="shared" si="33"/>
        <v>0</v>
      </c>
      <c r="AN46" s="73">
        <f t="shared" si="34"/>
        <v>0</v>
      </c>
      <c r="AO46" s="65" t="str">
        <f t="shared" si="35"/>
        <v>0.00</v>
      </c>
      <c r="AP46" s="65" t="str">
        <f t="shared" si="36"/>
        <v>0</v>
      </c>
      <c r="AQ46" s="71">
        <f t="shared" si="37"/>
        <v>0</v>
      </c>
      <c r="AR46" s="72">
        <f t="shared" si="38"/>
        <v>0</v>
      </c>
      <c r="AS46" s="71">
        <f t="shared" si="39"/>
        <v>0</v>
      </c>
      <c r="AT46" s="70">
        <f t="shared" si="40"/>
        <v>0</v>
      </c>
      <c r="AU46" s="70">
        <f t="shared" si="41"/>
        <v>0</v>
      </c>
      <c r="AV46" s="2"/>
      <c r="AW46" s="66">
        <f t="shared" si="42"/>
        <v>0</v>
      </c>
      <c r="AX46" s="68">
        <f>_xlfn.IFNA(INDEX(Table3941[I $ p/ft2],MATCH(R46,Table3941[Film Type],0)),1.75)</f>
        <v>1.75</v>
      </c>
      <c r="AY46" s="69">
        <f>VLOOKUP(Z46,Table1349[#All],2,FALSE)</f>
        <v>1</v>
      </c>
      <c r="AZ46" s="68">
        <f t="shared" si="43"/>
        <v>1.75</v>
      </c>
      <c r="BA46" s="65">
        <f t="shared" si="44"/>
        <v>0</v>
      </c>
      <c r="BB46" s="64">
        <f t="shared" si="45"/>
        <v>0</v>
      </c>
      <c r="BC46" s="67">
        <f t="shared" si="46"/>
        <v>0</v>
      </c>
      <c r="BD46" s="66">
        <f t="shared" si="47"/>
        <v>0</v>
      </c>
      <c r="BE46" s="64"/>
      <c r="BF46" s="66">
        <f t="shared" si="48"/>
        <v>0</v>
      </c>
      <c r="BG46" s="66">
        <f t="shared" si="49"/>
        <v>0</v>
      </c>
      <c r="BH46" s="65">
        <f>VLOOKUP(AA46,Table1551[#All],2,FALSE)</f>
        <v>1</v>
      </c>
      <c r="BI46" s="65">
        <f t="shared" si="50"/>
        <v>0</v>
      </c>
      <c r="BJ46" s="64" t="str">
        <f t="shared" si="51"/>
        <v>0</v>
      </c>
      <c r="BQ46" s="6"/>
      <c r="BR46" s="6"/>
      <c r="BS46" s="6"/>
      <c r="BT46" s="6"/>
      <c r="BU46" s="6"/>
      <c r="BV46" s="6"/>
      <c r="BW46" s="6"/>
      <c r="BX46" s="2"/>
      <c r="CK46" s="86" t="s">
        <v>157</v>
      </c>
      <c r="CL46" s="2">
        <v>1.96</v>
      </c>
      <c r="CM46" s="2">
        <f t="shared" si="52"/>
        <v>2.1560000000000001</v>
      </c>
      <c r="CN46" s="10">
        <v>1.5</v>
      </c>
      <c r="CO46" s="84">
        <f t="shared" si="53"/>
        <v>0</v>
      </c>
    </row>
    <row r="47" spans="1:93" ht="12" hidden="1" customHeight="1" x14ac:dyDescent="0.45">
      <c r="A47" s="83"/>
      <c r="B47" s="266"/>
      <c r="C47" s="267"/>
      <c r="D47" s="267"/>
      <c r="E47" s="268"/>
      <c r="F47" s="64"/>
      <c r="G47" s="64"/>
      <c r="H47" s="82"/>
      <c r="I47" s="81"/>
      <c r="J47" s="64"/>
      <c r="K47" s="80"/>
      <c r="L47" s="79">
        <f t="shared" si="27"/>
        <v>0</v>
      </c>
      <c r="M47" s="64"/>
      <c r="N47" s="64"/>
      <c r="O47" s="64"/>
      <c r="P47" s="80"/>
      <c r="Q47" s="79">
        <f t="shared" si="28"/>
        <v>0</v>
      </c>
      <c r="R47" s="269"/>
      <c r="S47" s="270"/>
      <c r="T47" s="266"/>
      <c r="U47" s="267"/>
      <c r="V47" s="267"/>
      <c r="W47" s="268"/>
      <c r="X47" s="271" t="str">
        <f>IFERROR(INDEX(Table3941[],MATCH(R47,Table3941[Film Type],),3),"")</f>
        <v/>
      </c>
      <c r="Y47" s="271"/>
      <c r="Z47" s="78" t="s">
        <v>55</v>
      </c>
      <c r="AA47" s="78" t="s">
        <v>55</v>
      </c>
      <c r="AB47" s="77"/>
      <c r="AC47" s="76"/>
      <c r="AD47" s="75">
        <f t="shared" si="29"/>
        <v>0</v>
      </c>
      <c r="AG47" s="74">
        <f t="shared" si="30"/>
        <v>0</v>
      </c>
      <c r="AK47" s="65">
        <f t="shared" si="31"/>
        <v>0</v>
      </c>
      <c r="AL47" s="65">
        <f t="shared" si="32"/>
        <v>0</v>
      </c>
      <c r="AM47" s="65">
        <f t="shared" si="33"/>
        <v>0</v>
      </c>
      <c r="AN47" s="73">
        <f t="shared" si="34"/>
        <v>0</v>
      </c>
      <c r="AO47" s="65" t="str">
        <f t="shared" si="35"/>
        <v>0.00</v>
      </c>
      <c r="AP47" s="65" t="str">
        <f t="shared" si="36"/>
        <v>0</v>
      </c>
      <c r="AQ47" s="71">
        <f t="shared" si="37"/>
        <v>0</v>
      </c>
      <c r="AR47" s="72">
        <f t="shared" si="38"/>
        <v>0</v>
      </c>
      <c r="AS47" s="71">
        <f t="shared" si="39"/>
        <v>0</v>
      </c>
      <c r="AT47" s="70">
        <f t="shared" si="40"/>
        <v>0</v>
      </c>
      <c r="AU47" s="70">
        <f t="shared" si="41"/>
        <v>0</v>
      </c>
      <c r="AV47" s="2"/>
      <c r="AW47" s="66">
        <f t="shared" si="42"/>
        <v>0</v>
      </c>
      <c r="AX47" s="68">
        <f>_xlfn.IFNA(INDEX(Table3941[I $ p/ft2],MATCH(R47,Table3941[Film Type],0)),1.75)</f>
        <v>1.75</v>
      </c>
      <c r="AY47" s="69">
        <f>VLOOKUP(Z47,Table1349[#All],2,FALSE)</f>
        <v>1</v>
      </c>
      <c r="AZ47" s="68">
        <f t="shared" si="43"/>
        <v>1.75</v>
      </c>
      <c r="BA47" s="65">
        <f t="shared" si="44"/>
        <v>0</v>
      </c>
      <c r="BB47" s="64">
        <f t="shared" si="45"/>
        <v>0</v>
      </c>
      <c r="BC47" s="67">
        <f t="shared" si="46"/>
        <v>0</v>
      </c>
      <c r="BD47" s="66">
        <f t="shared" si="47"/>
        <v>0</v>
      </c>
      <c r="BE47" s="64"/>
      <c r="BF47" s="66">
        <f t="shared" si="48"/>
        <v>0</v>
      </c>
      <c r="BG47" s="66">
        <f t="shared" si="49"/>
        <v>0</v>
      </c>
      <c r="BH47" s="65">
        <f>VLOOKUP(AA47,Table1551[#All],2,FALSE)</f>
        <v>1</v>
      </c>
      <c r="BI47" s="65">
        <f t="shared" si="50"/>
        <v>0</v>
      </c>
      <c r="BJ47" s="64" t="str">
        <f t="shared" si="51"/>
        <v>0</v>
      </c>
      <c r="BQ47" s="6"/>
      <c r="BR47" s="6"/>
      <c r="BS47" s="6"/>
      <c r="BT47" s="6"/>
      <c r="BU47" s="6"/>
      <c r="BV47" s="6"/>
      <c r="BW47" s="6"/>
      <c r="BX47" s="2"/>
      <c r="CK47" s="86"/>
      <c r="CM47" s="2">
        <f t="shared" si="52"/>
        <v>0</v>
      </c>
      <c r="CN47" s="10"/>
      <c r="CO47" s="84">
        <f t="shared" si="53"/>
        <v>0</v>
      </c>
    </row>
    <row r="48" spans="1:93" ht="12" hidden="1" customHeight="1" x14ac:dyDescent="0.45">
      <c r="A48" s="83"/>
      <c r="B48" s="266"/>
      <c r="C48" s="267"/>
      <c r="D48" s="267"/>
      <c r="E48" s="268"/>
      <c r="F48" s="64"/>
      <c r="G48" s="64"/>
      <c r="H48" s="82"/>
      <c r="I48" s="81"/>
      <c r="J48" s="64"/>
      <c r="K48" s="80"/>
      <c r="L48" s="79">
        <f t="shared" si="27"/>
        <v>0</v>
      </c>
      <c r="M48" s="64"/>
      <c r="N48" s="64"/>
      <c r="O48" s="64"/>
      <c r="P48" s="80"/>
      <c r="Q48" s="79">
        <f t="shared" si="28"/>
        <v>0</v>
      </c>
      <c r="R48" s="269"/>
      <c r="S48" s="270"/>
      <c r="T48" s="266"/>
      <c r="U48" s="267"/>
      <c r="V48" s="267"/>
      <c r="W48" s="268"/>
      <c r="X48" s="271" t="str">
        <f>IFERROR(INDEX(Table3941[],MATCH(R48,Table3941[Film Type],),3),"")</f>
        <v/>
      </c>
      <c r="Y48" s="271"/>
      <c r="Z48" s="78" t="s">
        <v>55</v>
      </c>
      <c r="AA48" s="78" t="s">
        <v>55</v>
      </c>
      <c r="AB48" s="77"/>
      <c r="AC48" s="76"/>
      <c r="AD48" s="75">
        <f t="shared" si="29"/>
        <v>0</v>
      </c>
      <c r="AG48" s="74">
        <f t="shared" si="30"/>
        <v>0</v>
      </c>
      <c r="AK48" s="65">
        <f t="shared" si="31"/>
        <v>0</v>
      </c>
      <c r="AL48" s="65">
        <f t="shared" si="32"/>
        <v>0</v>
      </c>
      <c r="AM48" s="65">
        <f t="shared" si="33"/>
        <v>0</v>
      </c>
      <c r="AN48" s="73">
        <f t="shared" si="34"/>
        <v>0</v>
      </c>
      <c r="AO48" s="65" t="str">
        <f t="shared" si="35"/>
        <v>0.00</v>
      </c>
      <c r="AP48" s="65" t="str">
        <f t="shared" si="36"/>
        <v>0</v>
      </c>
      <c r="AQ48" s="71">
        <f t="shared" si="37"/>
        <v>0</v>
      </c>
      <c r="AR48" s="72">
        <f t="shared" si="38"/>
        <v>0</v>
      </c>
      <c r="AS48" s="71">
        <f t="shared" si="39"/>
        <v>0</v>
      </c>
      <c r="AT48" s="70">
        <f t="shared" si="40"/>
        <v>0</v>
      </c>
      <c r="AU48" s="70">
        <f t="shared" si="41"/>
        <v>0</v>
      </c>
      <c r="AV48" s="2"/>
      <c r="AW48" s="66">
        <f t="shared" si="42"/>
        <v>0</v>
      </c>
      <c r="AX48" s="68">
        <f>_xlfn.IFNA(INDEX(Table3941[I $ p/ft2],MATCH(R48,Table3941[Film Type],0)),1.75)</f>
        <v>1.75</v>
      </c>
      <c r="AY48" s="69">
        <f>VLOOKUP(Z48,Table1349[#All],2,FALSE)</f>
        <v>1</v>
      </c>
      <c r="AZ48" s="68">
        <f t="shared" si="43"/>
        <v>1.75</v>
      </c>
      <c r="BA48" s="65">
        <f t="shared" si="44"/>
        <v>0</v>
      </c>
      <c r="BB48" s="64">
        <f t="shared" si="45"/>
        <v>0</v>
      </c>
      <c r="BC48" s="67">
        <f t="shared" si="46"/>
        <v>0</v>
      </c>
      <c r="BD48" s="66">
        <f t="shared" si="47"/>
        <v>0</v>
      </c>
      <c r="BE48" s="64"/>
      <c r="BF48" s="66">
        <f t="shared" si="48"/>
        <v>0</v>
      </c>
      <c r="BG48" s="66">
        <f t="shared" si="49"/>
        <v>0</v>
      </c>
      <c r="BH48" s="65">
        <f>VLOOKUP(AA48,Table1551[#All],2,FALSE)</f>
        <v>1</v>
      </c>
      <c r="BI48" s="65">
        <f t="shared" si="50"/>
        <v>0</v>
      </c>
      <c r="BJ48" s="64" t="str">
        <f t="shared" si="51"/>
        <v>0</v>
      </c>
      <c r="BQ48" s="6"/>
      <c r="BR48" s="6"/>
      <c r="BS48" s="6"/>
      <c r="BT48" s="6"/>
      <c r="BU48" s="6"/>
      <c r="BV48" s="6"/>
      <c r="BW48" s="6"/>
      <c r="BX48" s="2"/>
      <c r="CK48" s="86" t="s">
        <v>156</v>
      </c>
      <c r="CL48" s="2">
        <v>2.4700000000000002</v>
      </c>
      <c r="CM48" s="2">
        <f t="shared" si="52"/>
        <v>2.7170000000000005</v>
      </c>
      <c r="CN48" s="10">
        <v>1.5</v>
      </c>
      <c r="CO48" s="84">
        <f t="shared" si="53"/>
        <v>0</v>
      </c>
    </row>
    <row r="49" spans="1:93" ht="12" hidden="1" customHeight="1" x14ac:dyDescent="0.45">
      <c r="A49" s="83"/>
      <c r="B49" s="266"/>
      <c r="C49" s="267"/>
      <c r="D49" s="267"/>
      <c r="E49" s="268"/>
      <c r="F49" s="64"/>
      <c r="G49" s="64"/>
      <c r="H49" s="82"/>
      <c r="I49" s="81"/>
      <c r="J49" s="64"/>
      <c r="K49" s="80"/>
      <c r="L49" s="79">
        <f t="shared" si="27"/>
        <v>0</v>
      </c>
      <c r="M49" s="64"/>
      <c r="N49" s="64"/>
      <c r="O49" s="64"/>
      <c r="P49" s="80"/>
      <c r="Q49" s="79">
        <f t="shared" si="28"/>
        <v>0</v>
      </c>
      <c r="R49" s="269"/>
      <c r="S49" s="270"/>
      <c r="T49" s="266"/>
      <c r="U49" s="267"/>
      <c r="V49" s="267"/>
      <c r="W49" s="268"/>
      <c r="X49" s="271" t="str">
        <f>IFERROR(INDEX(Table3941[],MATCH(R49,Table3941[Film Type],),3),"")</f>
        <v/>
      </c>
      <c r="Y49" s="271"/>
      <c r="Z49" s="78" t="s">
        <v>55</v>
      </c>
      <c r="AA49" s="78" t="s">
        <v>55</v>
      </c>
      <c r="AB49" s="77"/>
      <c r="AC49" s="76"/>
      <c r="AD49" s="75">
        <f t="shared" si="29"/>
        <v>0</v>
      </c>
      <c r="AG49" s="74">
        <f t="shared" si="30"/>
        <v>0</v>
      </c>
      <c r="AK49" s="65">
        <f t="shared" si="31"/>
        <v>0</v>
      </c>
      <c r="AL49" s="65">
        <f t="shared" si="32"/>
        <v>0</v>
      </c>
      <c r="AM49" s="65">
        <f t="shared" si="33"/>
        <v>0</v>
      </c>
      <c r="AN49" s="73">
        <f t="shared" si="34"/>
        <v>0</v>
      </c>
      <c r="AO49" s="65" t="str">
        <f t="shared" si="35"/>
        <v>0.00</v>
      </c>
      <c r="AP49" s="65" t="str">
        <f t="shared" si="36"/>
        <v>0</v>
      </c>
      <c r="AQ49" s="71">
        <f t="shared" si="37"/>
        <v>0</v>
      </c>
      <c r="AR49" s="72">
        <f t="shared" si="38"/>
        <v>0</v>
      </c>
      <c r="AS49" s="71">
        <f t="shared" si="39"/>
        <v>0</v>
      </c>
      <c r="AT49" s="70">
        <f t="shared" si="40"/>
        <v>0</v>
      </c>
      <c r="AU49" s="70">
        <f t="shared" si="41"/>
        <v>0</v>
      </c>
      <c r="AV49" s="2"/>
      <c r="AW49" s="66">
        <f t="shared" si="42"/>
        <v>0</v>
      </c>
      <c r="AX49" s="68">
        <f>_xlfn.IFNA(INDEX(Table3941[I $ p/ft2],MATCH(R49,Table3941[Film Type],0)),1.75)</f>
        <v>1.75</v>
      </c>
      <c r="AY49" s="69">
        <f>VLOOKUP(Z49,Table1349[#All],2,FALSE)</f>
        <v>1</v>
      </c>
      <c r="AZ49" s="68">
        <f t="shared" si="43"/>
        <v>1.75</v>
      </c>
      <c r="BA49" s="65">
        <f t="shared" si="44"/>
        <v>0</v>
      </c>
      <c r="BB49" s="64">
        <f t="shared" si="45"/>
        <v>0</v>
      </c>
      <c r="BC49" s="67">
        <f t="shared" si="46"/>
        <v>0</v>
      </c>
      <c r="BD49" s="66">
        <f t="shared" si="47"/>
        <v>0</v>
      </c>
      <c r="BE49" s="64"/>
      <c r="BF49" s="66">
        <f t="shared" si="48"/>
        <v>0</v>
      </c>
      <c r="BG49" s="66">
        <f t="shared" si="49"/>
        <v>0</v>
      </c>
      <c r="BH49" s="65">
        <f>VLOOKUP(AA49,Table1551[#All],2,FALSE)</f>
        <v>1</v>
      </c>
      <c r="BI49" s="65">
        <f t="shared" si="50"/>
        <v>0</v>
      </c>
      <c r="BJ49" s="64" t="str">
        <f t="shared" si="51"/>
        <v>0</v>
      </c>
      <c r="BQ49" s="6"/>
      <c r="BR49" s="6"/>
      <c r="BS49" s="6"/>
      <c r="BT49" s="6"/>
      <c r="BU49" s="6"/>
      <c r="BV49" s="6"/>
      <c r="BW49" s="6"/>
      <c r="BX49" s="2"/>
      <c r="CK49" s="86" t="s">
        <v>155</v>
      </c>
      <c r="CL49" s="2">
        <v>2.4700000000000002</v>
      </c>
      <c r="CM49" s="2">
        <f t="shared" si="52"/>
        <v>2.7170000000000005</v>
      </c>
      <c r="CN49" s="10">
        <v>1.5</v>
      </c>
      <c r="CO49" s="84">
        <f t="shared" si="53"/>
        <v>0</v>
      </c>
    </row>
    <row r="50" spans="1:93" ht="12" hidden="1" customHeight="1" x14ac:dyDescent="0.45">
      <c r="A50" s="83"/>
      <c r="B50" s="266"/>
      <c r="C50" s="267"/>
      <c r="D50" s="267"/>
      <c r="E50" s="268"/>
      <c r="F50" s="64"/>
      <c r="G50" s="64"/>
      <c r="H50" s="82"/>
      <c r="I50" s="81"/>
      <c r="J50" s="64"/>
      <c r="K50" s="80"/>
      <c r="L50" s="79">
        <f t="shared" si="27"/>
        <v>0</v>
      </c>
      <c r="M50" s="64"/>
      <c r="N50" s="64"/>
      <c r="O50" s="64"/>
      <c r="P50" s="80"/>
      <c r="Q50" s="79">
        <f t="shared" si="28"/>
        <v>0</v>
      </c>
      <c r="R50" s="269"/>
      <c r="S50" s="270"/>
      <c r="T50" s="266"/>
      <c r="U50" s="267"/>
      <c r="V50" s="267"/>
      <c r="W50" s="268"/>
      <c r="X50" s="271" t="str">
        <f>IFERROR(INDEX(Table3941[],MATCH(R50,Table3941[Film Type],),3),"")</f>
        <v/>
      </c>
      <c r="Y50" s="271"/>
      <c r="Z50" s="78" t="s">
        <v>55</v>
      </c>
      <c r="AA50" s="78" t="s">
        <v>55</v>
      </c>
      <c r="AB50" s="77"/>
      <c r="AC50" s="76"/>
      <c r="AD50" s="75">
        <f t="shared" si="29"/>
        <v>0</v>
      </c>
      <c r="AG50" s="74">
        <f t="shared" si="30"/>
        <v>0</v>
      </c>
      <c r="AK50" s="65">
        <f t="shared" si="31"/>
        <v>0</v>
      </c>
      <c r="AL50" s="65">
        <f t="shared" si="32"/>
        <v>0</v>
      </c>
      <c r="AM50" s="65">
        <f t="shared" si="33"/>
        <v>0</v>
      </c>
      <c r="AN50" s="73">
        <f t="shared" si="34"/>
        <v>0</v>
      </c>
      <c r="AO50" s="65" t="str">
        <f t="shared" si="35"/>
        <v>0.00</v>
      </c>
      <c r="AP50" s="65" t="str">
        <f t="shared" si="36"/>
        <v>0</v>
      </c>
      <c r="AQ50" s="71">
        <f t="shared" si="37"/>
        <v>0</v>
      </c>
      <c r="AR50" s="72">
        <f t="shared" si="38"/>
        <v>0</v>
      </c>
      <c r="AS50" s="71">
        <f t="shared" si="39"/>
        <v>0</v>
      </c>
      <c r="AT50" s="70">
        <f t="shared" si="40"/>
        <v>0</v>
      </c>
      <c r="AU50" s="70">
        <f t="shared" si="41"/>
        <v>0</v>
      </c>
      <c r="AV50" s="2"/>
      <c r="AW50" s="66">
        <f t="shared" si="42"/>
        <v>0</v>
      </c>
      <c r="AX50" s="68">
        <f>_xlfn.IFNA(INDEX(Table3941[I $ p/ft2],MATCH(R50,Table3941[Film Type],0)),1.75)</f>
        <v>1.75</v>
      </c>
      <c r="AY50" s="69">
        <f>VLOOKUP(Z50,Table1349[#All],2,FALSE)</f>
        <v>1</v>
      </c>
      <c r="AZ50" s="68">
        <f t="shared" si="43"/>
        <v>1.75</v>
      </c>
      <c r="BA50" s="65">
        <f t="shared" si="44"/>
        <v>0</v>
      </c>
      <c r="BB50" s="64">
        <f t="shared" si="45"/>
        <v>0</v>
      </c>
      <c r="BC50" s="67">
        <f t="shared" si="46"/>
        <v>0</v>
      </c>
      <c r="BD50" s="66">
        <f t="shared" si="47"/>
        <v>0</v>
      </c>
      <c r="BE50" s="64"/>
      <c r="BF50" s="66">
        <f t="shared" si="48"/>
        <v>0</v>
      </c>
      <c r="BG50" s="66">
        <f t="shared" si="49"/>
        <v>0</v>
      </c>
      <c r="BH50" s="65">
        <f>VLOOKUP(AA50,Table1551[#All],2,FALSE)</f>
        <v>1</v>
      </c>
      <c r="BI50" s="65">
        <f t="shared" si="50"/>
        <v>0</v>
      </c>
      <c r="BJ50" s="64" t="str">
        <f t="shared" si="51"/>
        <v>0</v>
      </c>
      <c r="BQ50" s="6"/>
      <c r="BR50" s="6"/>
      <c r="BS50" s="6"/>
      <c r="BT50" s="6"/>
      <c r="BU50" s="6"/>
      <c r="BV50" s="6"/>
      <c r="BW50" s="6"/>
      <c r="BX50" s="2"/>
      <c r="CK50" s="86" t="s">
        <v>154</v>
      </c>
      <c r="CL50" s="2">
        <v>4.47</v>
      </c>
      <c r="CM50" s="2">
        <f t="shared" si="52"/>
        <v>4.9169999999999998</v>
      </c>
      <c r="CN50" s="10">
        <v>1.5</v>
      </c>
      <c r="CO50" s="84">
        <f t="shared" si="53"/>
        <v>0</v>
      </c>
    </row>
    <row r="51" spans="1:93" ht="12" hidden="1" customHeight="1" x14ac:dyDescent="0.45">
      <c r="A51" s="83"/>
      <c r="B51" s="266"/>
      <c r="C51" s="267"/>
      <c r="D51" s="267"/>
      <c r="E51" s="268"/>
      <c r="F51" s="64"/>
      <c r="G51" s="64"/>
      <c r="H51" s="82"/>
      <c r="I51" s="81"/>
      <c r="J51" s="64"/>
      <c r="K51" s="80"/>
      <c r="L51" s="79">
        <f t="shared" si="27"/>
        <v>0</v>
      </c>
      <c r="M51" s="64"/>
      <c r="N51" s="64"/>
      <c r="O51" s="64"/>
      <c r="P51" s="80"/>
      <c r="Q51" s="79">
        <f t="shared" si="28"/>
        <v>0</v>
      </c>
      <c r="R51" s="269"/>
      <c r="S51" s="270"/>
      <c r="T51" s="266"/>
      <c r="U51" s="267"/>
      <c r="V51" s="267"/>
      <c r="W51" s="268"/>
      <c r="X51" s="271" t="str">
        <f>IFERROR(INDEX(Table3941[],MATCH(R51,Table3941[Film Type],),3),"")</f>
        <v/>
      </c>
      <c r="Y51" s="271"/>
      <c r="Z51" s="78" t="s">
        <v>55</v>
      </c>
      <c r="AA51" s="78" t="s">
        <v>55</v>
      </c>
      <c r="AB51" s="77"/>
      <c r="AC51" s="76"/>
      <c r="AD51" s="75">
        <f t="shared" si="29"/>
        <v>0</v>
      </c>
      <c r="AG51" s="74">
        <f t="shared" si="30"/>
        <v>0</v>
      </c>
      <c r="AK51" s="65">
        <f t="shared" si="31"/>
        <v>0</v>
      </c>
      <c r="AL51" s="65">
        <f t="shared" si="32"/>
        <v>0</v>
      </c>
      <c r="AM51" s="65">
        <f t="shared" si="33"/>
        <v>0</v>
      </c>
      <c r="AN51" s="73">
        <f t="shared" si="34"/>
        <v>0</v>
      </c>
      <c r="AO51" s="65" t="str">
        <f t="shared" si="35"/>
        <v>0.00</v>
      </c>
      <c r="AP51" s="65" t="str">
        <f t="shared" si="36"/>
        <v>0</v>
      </c>
      <c r="AQ51" s="71">
        <f t="shared" si="37"/>
        <v>0</v>
      </c>
      <c r="AR51" s="72">
        <f t="shared" si="38"/>
        <v>0</v>
      </c>
      <c r="AS51" s="71">
        <f t="shared" si="39"/>
        <v>0</v>
      </c>
      <c r="AT51" s="70">
        <f t="shared" si="40"/>
        <v>0</v>
      </c>
      <c r="AU51" s="70">
        <f t="shared" si="41"/>
        <v>0</v>
      </c>
      <c r="AV51" s="2"/>
      <c r="AW51" s="66">
        <f t="shared" si="42"/>
        <v>0</v>
      </c>
      <c r="AX51" s="68">
        <f>_xlfn.IFNA(INDEX(Table3941[I $ p/ft2],MATCH(R51,Table3941[Film Type],0)),1.75)</f>
        <v>1.75</v>
      </c>
      <c r="AY51" s="69">
        <f>VLOOKUP(Z51,Table1349[#All],2,FALSE)</f>
        <v>1</v>
      </c>
      <c r="AZ51" s="68">
        <f t="shared" si="43"/>
        <v>1.75</v>
      </c>
      <c r="BA51" s="65">
        <f t="shared" si="44"/>
        <v>0</v>
      </c>
      <c r="BB51" s="64">
        <f t="shared" si="45"/>
        <v>0</v>
      </c>
      <c r="BC51" s="67">
        <f t="shared" si="46"/>
        <v>0</v>
      </c>
      <c r="BD51" s="66">
        <f t="shared" si="47"/>
        <v>0</v>
      </c>
      <c r="BE51" s="64"/>
      <c r="BF51" s="66">
        <f t="shared" si="48"/>
        <v>0</v>
      </c>
      <c r="BG51" s="66">
        <f t="shared" si="49"/>
        <v>0</v>
      </c>
      <c r="BH51" s="65">
        <f>VLOOKUP(AA51,Table1551[#All],2,FALSE)</f>
        <v>1</v>
      </c>
      <c r="BI51" s="65">
        <f t="shared" si="50"/>
        <v>0</v>
      </c>
      <c r="BJ51" s="64" t="str">
        <f t="shared" si="51"/>
        <v>0</v>
      </c>
      <c r="BQ51" s="6"/>
      <c r="BR51" s="6"/>
      <c r="BS51" s="6"/>
      <c r="BT51" s="6"/>
      <c r="BU51" s="6"/>
      <c r="BV51" s="6"/>
      <c r="BW51" s="6"/>
      <c r="BX51" s="2"/>
      <c r="CK51" s="86" t="s">
        <v>153</v>
      </c>
      <c r="CL51" s="2">
        <v>1.85</v>
      </c>
      <c r="CM51" s="2">
        <f t="shared" si="52"/>
        <v>2.0350000000000001</v>
      </c>
      <c r="CN51" s="10">
        <v>1.5</v>
      </c>
      <c r="CO51" s="84">
        <f t="shared" si="53"/>
        <v>0</v>
      </c>
    </row>
    <row r="52" spans="1:93" ht="12" hidden="1" customHeight="1" x14ac:dyDescent="0.45">
      <c r="A52" s="83"/>
      <c r="B52" s="266"/>
      <c r="C52" s="267"/>
      <c r="D52" s="267"/>
      <c r="E52" s="268"/>
      <c r="F52" s="64"/>
      <c r="G52" s="64"/>
      <c r="H52" s="82"/>
      <c r="I52" s="81"/>
      <c r="J52" s="64"/>
      <c r="K52" s="80"/>
      <c r="L52" s="79">
        <f t="shared" si="27"/>
        <v>0</v>
      </c>
      <c r="M52" s="64"/>
      <c r="N52" s="64"/>
      <c r="O52" s="64"/>
      <c r="P52" s="80"/>
      <c r="Q52" s="79">
        <f t="shared" si="28"/>
        <v>0</v>
      </c>
      <c r="R52" s="269"/>
      <c r="S52" s="270"/>
      <c r="T52" s="266"/>
      <c r="U52" s="267"/>
      <c r="V52" s="267"/>
      <c r="W52" s="268"/>
      <c r="X52" s="271" t="str">
        <f>IFERROR(INDEX(Table3941[],MATCH(R52,Table3941[Film Type],),3),"")</f>
        <v/>
      </c>
      <c r="Y52" s="271"/>
      <c r="Z52" s="78" t="s">
        <v>55</v>
      </c>
      <c r="AA52" s="78" t="s">
        <v>55</v>
      </c>
      <c r="AB52" s="77"/>
      <c r="AC52" s="76"/>
      <c r="AD52" s="75">
        <f t="shared" si="29"/>
        <v>0</v>
      </c>
      <c r="AG52" s="74">
        <f t="shared" si="30"/>
        <v>0</v>
      </c>
      <c r="AK52" s="65">
        <f t="shared" si="31"/>
        <v>0</v>
      </c>
      <c r="AL52" s="65">
        <f t="shared" si="32"/>
        <v>0</v>
      </c>
      <c r="AM52" s="65">
        <f t="shared" si="33"/>
        <v>0</v>
      </c>
      <c r="AN52" s="73">
        <f t="shared" si="34"/>
        <v>0</v>
      </c>
      <c r="AO52" s="65" t="str">
        <f t="shared" si="35"/>
        <v>0.00</v>
      </c>
      <c r="AP52" s="65" t="str">
        <f t="shared" si="36"/>
        <v>0</v>
      </c>
      <c r="AQ52" s="71">
        <f t="shared" si="37"/>
        <v>0</v>
      </c>
      <c r="AR52" s="72">
        <f t="shared" si="38"/>
        <v>0</v>
      </c>
      <c r="AS52" s="71">
        <f t="shared" si="39"/>
        <v>0</v>
      </c>
      <c r="AT52" s="70">
        <f t="shared" si="40"/>
        <v>0</v>
      </c>
      <c r="AU52" s="70">
        <f t="shared" si="41"/>
        <v>0</v>
      </c>
      <c r="AV52" s="2"/>
      <c r="AW52" s="66">
        <f t="shared" si="42"/>
        <v>0</v>
      </c>
      <c r="AX52" s="68">
        <f>_xlfn.IFNA(INDEX(Table3941[I $ p/ft2],MATCH(R52,Table3941[Film Type],0)),1.75)</f>
        <v>1.75</v>
      </c>
      <c r="AY52" s="69">
        <f>VLOOKUP(Z52,Table1349[#All],2,FALSE)</f>
        <v>1</v>
      </c>
      <c r="AZ52" s="68">
        <f t="shared" si="43"/>
        <v>1.75</v>
      </c>
      <c r="BA52" s="65">
        <f t="shared" si="44"/>
        <v>0</v>
      </c>
      <c r="BB52" s="64">
        <f t="shared" si="45"/>
        <v>0</v>
      </c>
      <c r="BC52" s="67">
        <f t="shared" si="46"/>
        <v>0</v>
      </c>
      <c r="BD52" s="66">
        <f t="shared" si="47"/>
        <v>0</v>
      </c>
      <c r="BE52" s="64"/>
      <c r="BF52" s="66">
        <f t="shared" si="48"/>
        <v>0</v>
      </c>
      <c r="BG52" s="66">
        <f t="shared" si="49"/>
        <v>0</v>
      </c>
      <c r="BH52" s="65">
        <f>VLOOKUP(AA52,Table1551[#All],2,FALSE)</f>
        <v>1</v>
      </c>
      <c r="BI52" s="65">
        <f t="shared" si="50"/>
        <v>0</v>
      </c>
      <c r="BJ52" s="64" t="str">
        <f t="shared" si="51"/>
        <v>0</v>
      </c>
      <c r="BQ52" s="6"/>
      <c r="BR52" s="6"/>
      <c r="BS52" s="6"/>
      <c r="BT52" s="6"/>
      <c r="BU52" s="6"/>
      <c r="BV52" s="6"/>
      <c r="BW52" s="6"/>
      <c r="BX52" s="2"/>
      <c r="CK52" s="86" t="s">
        <v>152</v>
      </c>
      <c r="CL52" s="2">
        <v>2.4700000000000002</v>
      </c>
      <c r="CM52" s="2">
        <f t="shared" si="52"/>
        <v>2.7170000000000005</v>
      </c>
      <c r="CN52" s="10">
        <v>1.5</v>
      </c>
      <c r="CO52" s="84">
        <f t="shared" si="53"/>
        <v>0</v>
      </c>
    </row>
    <row r="53" spans="1:93" ht="11.1" hidden="1" customHeight="1" x14ac:dyDescent="0.45">
      <c r="A53" s="83"/>
      <c r="B53" s="266"/>
      <c r="C53" s="267"/>
      <c r="D53" s="267"/>
      <c r="E53" s="268"/>
      <c r="F53" s="64"/>
      <c r="G53" s="64"/>
      <c r="H53" s="82"/>
      <c r="I53" s="81"/>
      <c r="J53" s="64"/>
      <c r="K53" s="80"/>
      <c r="L53" s="79">
        <f t="shared" si="27"/>
        <v>0</v>
      </c>
      <c r="M53" s="64"/>
      <c r="N53" s="64"/>
      <c r="O53" s="64"/>
      <c r="P53" s="80"/>
      <c r="Q53" s="79">
        <f t="shared" si="28"/>
        <v>0</v>
      </c>
      <c r="R53" s="269"/>
      <c r="S53" s="270"/>
      <c r="T53" s="266"/>
      <c r="U53" s="267"/>
      <c r="V53" s="267"/>
      <c r="W53" s="268"/>
      <c r="X53" s="271" t="str">
        <f>IFERROR(INDEX(Table3941[],MATCH(R53,Table3941[Film Type],),3),"")</f>
        <v/>
      </c>
      <c r="Y53" s="271"/>
      <c r="Z53" s="78" t="s">
        <v>55</v>
      </c>
      <c r="AA53" s="78" t="s">
        <v>55</v>
      </c>
      <c r="AB53" s="77"/>
      <c r="AC53" s="76"/>
      <c r="AD53" s="75">
        <f t="shared" si="29"/>
        <v>0</v>
      </c>
      <c r="AG53" s="74">
        <f t="shared" si="30"/>
        <v>0</v>
      </c>
      <c r="AK53" s="65">
        <f t="shared" si="31"/>
        <v>0</v>
      </c>
      <c r="AL53" s="65">
        <f t="shared" si="32"/>
        <v>0</v>
      </c>
      <c r="AM53" s="65">
        <f t="shared" si="33"/>
        <v>0</v>
      </c>
      <c r="AN53" s="73">
        <f t="shared" si="34"/>
        <v>0</v>
      </c>
      <c r="AO53" s="65" t="str">
        <f t="shared" si="35"/>
        <v>0.00</v>
      </c>
      <c r="AP53" s="65" t="str">
        <f t="shared" si="36"/>
        <v>0</v>
      </c>
      <c r="AQ53" s="71">
        <f t="shared" si="37"/>
        <v>0</v>
      </c>
      <c r="AR53" s="72">
        <f t="shared" si="38"/>
        <v>0</v>
      </c>
      <c r="AS53" s="71">
        <f t="shared" si="39"/>
        <v>0</v>
      </c>
      <c r="AT53" s="70">
        <f t="shared" si="40"/>
        <v>0</v>
      </c>
      <c r="AU53" s="70">
        <f t="shared" si="41"/>
        <v>0</v>
      </c>
      <c r="AV53" s="2"/>
      <c r="AW53" s="66">
        <f t="shared" si="42"/>
        <v>0</v>
      </c>
      <c r="AX53" s="68">
        <f>_xlfn.IFNA(INDEX(Table3941[I $ p/ft2],MATCH(R53,Table3941[Film Type],0)),1.75)</f>
        <v>1.75</v>
      </c>
      <c r="AY53" s="69">
        <f>VLOOKUP(Z53,Table1349[#All],2,FALSE)</f>
        <v>1</v>
      </c>
      <c r="AZ53" s="68">
        <f t="shared" si="43"/>
        <v>1.75</v>
      </c>
      <c r="BA53" s="65">
        <f t="shared" si="44"/>
        <v>0</v>
      </c>
      <c r="BB53" s="64">
        <f t="shared" si="45"/>
        <v>0</v>
      </c>
      <c r="BC53" s="67">
        <f t="shared" si="46"/>
        <v>0</v>
      </c>
      <c r="BD53" s="66">
        <f t="shared" si="47"/>
        <v>0</v>
      </c>
      <c r="BE53" s="64"/>
      <c r="BF53" s="66">
        <f t="shared" si="48"/>
        <v>0</v>
      </c>
      <c r="BG53" s="66">
        <f t="shared" si="49"/>
        <v>0</v>
      </c>
      <c r="BH53" s="65">
        <f>VLOOKUP(AA53,Table1551[#All],2,FALSE)</f>
        <v>1</v>
      </c>
      <c r="BI53" s="65">
        <f t="shared" si="50"/>
        <v>0</v>
      </c>
      <c r="BJ53" s="64" t="str">
        <f t="shared" si="51"/>
        <v>0</v>
      </c>
      <c r="BQ53" s="6"/>
      <c r="BR53" s="6"/>
      <c r="BS53" s="6"/>
      <c r="BT53" s="6"/>
      <c r="BU53" s="6"/>
      <c r="BV53" s="6"/>
      <c r="BW53" s="6"/>
      <c r="BX53" s="2"/>
      <c r="CK53" s="86" t="s">
        <v>151</v>
      </c>
      <c r="CL53" s="2">
        <v>4.6399999999999997</v>
      </c>
      <c r="CM53" s="2">
        <f t="shared" si="52"/>
        <v>5.1040000000000001</v>
      </c>
      <c r="CN53" s="10">
        <v>1.5</v>
      </c>
      <c r="CO53" s="84">
        <f t="shared" si="53"/>
        <v>0</v>
      </c>
    </row>
    <row r="54" spans="1:93" ht="11.1" hidden="1" customHeight="1" x14ac:dyDescent="0.45">
      <c r="A54" s="83"/>
      <c r="B54" s="266"/>
      <c r="C54" s="267"/>
      <c r="D54" s="267"/>
      <c r="E54" s="268"/>
      <c r="F54" s="64"/>
      <c r="G54" s="64"/>
      <c r="H54" s="82"/>
      <c r="I54" s="81"/>
      <c r="J54" s="64"/>
      <c r="K54" s="80"/>
      <c r="L54" s="79">
        <f t="shared" si="27"/>
        <v>0</v>
      </c>
      <c r="M54" s="64"/>
      <c r="N54" s="64"/>
      <c r="O54" s="64"/>
      <c r="P54" s="80"/>
      <c r="Q54" s="79">
        <f t="shared" si="28"/>
        <v>0</v>
      </c>
      <c r="R54" s="269"/>
      <c r="S54" s="270"/>
      <c r="T54" s="266"/>
      <c r="U54" s="267"/>
      <c r="V54" s="267"/>
      <c r="W54" s="268"/>
      <c r="X54" s="271" t="str">
        <f>IFERROR(INDEX(Table3941[],MATCH(R54,Table3941[Film Type],),3),"")</f>
        <v/>
      </c>
      <c r="Y54" s="271"/>
      <c r="Z54" s="78" t="s">
        <v>55</v>
      </c>
      <c r="AA54" s="78" t="s">
        <v>55</v>
      </c>
      <c r="AB54" s="77"/>
      <c r="AC54" s="76"/>
      <c r="AD54" s="75">
        <f t="shared" si="29"/>
        <v>0</v>
      </c>
      <c r="AG54" s="74">
        <f t="shared" si="30"/>
        <v>0</v>
      </c>
      <c r="AK54" s="65">
        <f t="shared" si="31"/>
        <v>0</v>
      </c>
      <c r="AL54" s="65">
        <f t="shared" si="32"/>
        <v>0</v>
      </c>
      <c r="AM54" s="65">
        <f t="shared" si="33"/>
        <v>0</v>
      </c>
      <c r="AN54" s="73">
        <f t="shared" si="34"/>
        <v>0</v>
      </c>
      <c r="AO54" s="65" t="str">
        <f t="shared" si="35"/>
        <v>0.00</v>
      </c>
      <c r="AP54" s="65" t="str">
        <f t="shared" si="36"/>
        <v>0</v>
      </c>
      <c r="AQ54" s="71">
        <f t="shared" si="37"/>
        <v>0</v>
      </c>
      <c r="AR54" s="72">
        <f t="shared" si="38"/>
        <v>0</v>
      </c>
      <c r="AS54" s="71">
        <f t="shared" si="39"/>
        <v>0</v>
      </c>
      <c r="AT54" s="70">
        <f t="shared" si="40"/>
        <v>0</v>
      </c>
      <c r="AU54" s="70">
        <f t="shared" si="41"/>
        <v>0</v>
      </c>
      <c r="AV54" s="2"/>
      <c r="AW54" s="66">
        <f t="shared" si="42"/>
        <v>0</v>
      </c>
      <c r="AX54" s="68">
        <f>_xlfn.IFNA(INDEX(Table3941[I $ p/ft2],MATCH(R54,Table3941[Film Type],0)),1.75)</f>
        <v>1.75</v>
      </c>
      <c r="AY54" s="69">
        <f>VLOOKUP(Z54,Table1349[#All],2,FALSE)</f>
        <v>1</v>
      </c>
      <c r="AZ54" s="68">
        <f t="shared" si="43"/>
        <v>1.75</v>
      </c>
      <c r="BA54" s="65">
        <f t="shared" si="44"/>
        <v>0</v>
      </c>
      <c r="BB54" s="64">
        <f t="shared" si="45"/>
        <v>0</v>
      </c>
      <c r="BC54" s="67">
        <f t="shared" si="46"/>
        <v>0</v>
      </c>
      <c r="BD54" s="66">
        <f t="shared" si="47"/>
        <v>0</v>
      </c>
      <c r="BE54" s="64"/>
      <c r="BF54" s="66">
        <f t="shared" si="48"/>
        <v>0</v>
      </c>
      <c r="BG54" s="66">
        <f t="shared" si="49"/>
        <v>0</v>
      </c>
      <c r="BH54" s="65">
        <f>VLOOKUP(AA54,Table1551[#All],2,FALSE)</f>
        <v>1</v>
      </c>
      <c r="BI54" s="65">
        <f t="shared" si="50"/>
        <v>0</v>
      </c>
      <c r="BJ54" s="64" t="str">
        <f t="shared" si="51"/>
        <v>0</v>
      </c>
      <c r="BQ54" s="54"/>
      <c r="BR54" s="54"/>
      <c r="BS54" s="54"/>
      <c r="BT54" s="54"/>
      <c r="BU54" s="54"/>
      <c r="BV54" s="54"/>
      <c r="BW54" s="54"/>
      <c r="BX54" s="88"/>
      <c r="CK54" s="86" t="s">
        <v>150</v>
      </c>
      <c r="CL54" s="2">
        <v>2.4700000000000002</v>
      </c>
      <c r="CM54" s="2">
        <f t="shared" si="52"/>
        <v>2.7170000000000005</v>
      </c>
      <c r="CN54" s="10">
        <v>1.5</v>
      </c>
      <c r="CO54" s="84">
        <f t="shared" si="53"/>
        <v>0</v>
      </c>
    </row>
    <row r="55" spans="1:93" ht="11.1" hidden="1" customHeight="1" x14ac:dyDescent="0.45">
      <c r="A55" s="83"/>
      <c r="B55" s="266"/>
      <c r="C55" s="267"/>
      <c r="D55" s="267"/>
      <c r="E55" s="268"/>
      <c r="F55" s="64"/>
      <c r="G55" s="64"/>
      <c r="H55" s="82"/>
      <c r="I55" s="81"/>
      <c r="J55" s="64"/>
      <c r="K55" s="80"/>
      <c r="L55" s="79">
        <f t="shared" si="27"/>
        <v>0</v>
      </c>
      <c r="M55" s="64"/>
      <c r="N55" s="64"/>
      <c r="O55" s="64"/>
      <c r="P55" s="80"/>
      <c r="Q55" s="79">
        <f t="shared" si="28"/>
        <v>0</v>
      </c>
      <c r="R55" s="269"/>
      <c r="S55" s="270"/>
      <c r="T55" s="266"/>
      <c r="U55" s="267"/>
      <c r="V55" s="267"/>
      <c r="W55" s="268"/>
      <c r="X55" s="271" t="str">
        <f>IFERROR(INDEX(Table3941[],MATCH(R55,Table3941[Film Type],),3),"")</f>
        <v/>
      </c>
      <c r="Y55" s="271"/>
      <c r="Z55" s="78" t="s">
        <v>55</v>
      </c>
      <c r="AA55" s="78" t="s">
        <v>55</v>
      </c>
      <c r="AB55" s="77"/>
      <c r="AC55" s="76"/>
      <c r="AD55" s="75">
        <f t="shared" si="29"/>
        <v>0</v>
      </c>
      <c r="AG55" s="74">
        <f t="shared" si="30"/>
        <v>0</v>
      </c>
      <c r="AK55" s="65">
        <f t="shared" si="31"/>
        <v>0</v>
      </c>
      <c r="AL55" s="65">
        <f t="shared" si="32"/>
        <v>0</v>
      </c>
      <c r="AM55" s="65">
        <f t="shared" si="33"/>
        <v>0</v>
      </c>
      <c r="AN55" s="73">
        <f t="shared" si="34"/>
        <v>0</v>
      </c>
      <c r="AO55" s="65" t="str">
        <f t="shared" si="35"/>
        <v>0.00</v>
      </c>
      <c r="AP55" s="65" t="str">
        <f t="shared" si="36"/>
        <v>0</v>
      </c>
      <c r="AQ55" s="71">
        <f t="shared" si="37"/>
        <v>0</v>
      </c>
      <c r="AR55" s="72">
        <f t="shared" si="38"/>
        <v>0</v>
      </c>
      <c r="AS55" s="71">
        <f t="shared" si="39"/>
        <v>0</v>
      </c>
      <c r="AT55" s="70">
        <f t="shared" si="40"/>
        <v>0</v>
      </c>
      <c r="AU55" s="70">
        <f t="shared" si="41"/>
        <v>0</v>
      </c>
      <c r="AV55" s="2"/>
      <c r="AW55" s="66">
        <f t="shared" si="42"/>
        <v>0</v>
      </c>
      <c r="AX55" s="68">
        <f>_xlfn.IFNA(INDEX(Table3941[I $ p/ft2],MATCH(R55,Table3941[Film Type],0)),1.75)</f>
        <v>1.75</v>
      </c>
      <c r="AY55" s="69">
        <f>VLOOKUP(Z55,Table1349[#All],2,FALSE)</f>
        <v>1</v>
      </c>
      <c r="AZ55" s="68">
        <f t="shared" si="43"/>
        <v>1.75</v>
      </c>
      <c r="BA55" s="65">
        <f t="shared" si="44"/>
        <v>0</v>
      </c>
      <c r="BB55" s="64">
        <f t="shared" si="45"/>
        <v>0</v>
      </c>
      <c r="BC55" s="67">
        <f t="shared" si="46"/>
        <v>0</v>
      </c>
      <c r="BD55" s="66">
        <f t="shared" si="47"/>
        <v>0</v>
      </c>
      <c r="BE55" s="64"/>
      <c r="BF55" s="66">
        <f t="shared" si="48"/>
        <v>0</v>
      </c>
      <c r="BG55" s="66">
        <f t="shared" si="49"/>
        <v>0</v>
      </c>
      <c r="BH55" s="65">
        <f>VLOOKUP(AA55,Table1551[#All],2,FALSE)</f>
        <v>1</v>
      </c>
      <c r="BI55" s="65">
        <f t="shared" si="50"/>
        <v>0</v>
      </c>
      <c r="BJ55" s="64" t="str">
        <f t="shared" si="51"/>
        <v>0</v>
      </c>
      <c r="CK55" s="86" t="s">
        <v>149</v>
      </c>
      <c r="CL55" s="2">
        <v>1.85</v>
      </c>
      <c r="CM55" s="2">
        <f t="shared" si="52"/>
        <v>2.0350000000000001</v>
      </c>
      <c r="CN55" s="10">
        <v>1.5</v>
      </c>
      <c r="CO55" s="84">
        <f t="shared" si="53"/>
        <v>0</v>
      </c>
    </row>
    <row r="56" spans="1:93" ht="11.1" hidden="1" customHeight="1" x14ac:dyDescent="0.45">
      <c r="A56" s="83"/>
      <c r="B56" s="266"/>
      <c r="C56" s="267"/>
      <c r="D56" s="267"/>
      <c r="E56" s="268"/>
      <c r="F56" s="64"/>
      <c r="G56" s="64"/>
      <c r="H56" s="82"/>
      <c r="I56" s="81"/>
      <c r="J56" s="64"/>
      <c r="K56" s="80"/>
      <c r="L56" s="79">
        <f t="shared" si="27"/>
        <v>0</v>
      </c>
      <c r="M56" s="64"/>
      <c r="N56" s="64"/>
      <c r="O56" s="64"/>
      <c r="P56" s="80"/>
      <c r="Q56" s="79">
        <f t="shared" si="28"/>
        <v>0</v>
      </c>
      <c r="R56" s="269"/>
      <c r="S56" s="270"/>
      <c r="T56" s="266"/>
      <c r="U56" s="267"/>
      <c r="V56" s="267"/>
      <c r="W56" s="268"/>
      <c r="X56" s="271" t="str">
        <f>IFERROR(INDEX(Table3941[],MATCH(R56,Table3941[Film Type],),3),"")</f>
        <v/>
      </c>
      <c r="Y56" s="271"/>
      <c r="Z56" s="78" t="s">
        <v>55</v>
      </c>
      <c r="AA56" s="78" t="s">
        <v>55</v>
      </c>
      <c r="AB56" s="77"/>
      <c r="AC56" s="76"/>
      <c r="AD56" s="75">
        <f t="shared" si="29"/>
        <v>0</v>
      </c>
      <c r="AG56" s="74">
        <f t="shared" si="30"/>
        <v>0</v>
      </c>
      <c r="AK56" s="65">
        <f t="shared" si="31"/>
        <v>0</v>
      </c>
      <c r="AL56" s="65">
        <f t="shared" si="32"/>
        <v>0</v>
      </c>
      <c r="AM56" s="65">
        <f t="shared" si="33"/>
        <v>0</v>
      </c>
      <c r="AN56" s="73">
        <f t="shared" si="34"/>
        <v>0</v>
      </c>
      <c r="AO56" s="65" t="str">
        <f t="shared" si="35"/>
        <v>0.00</v>
      </c>
      <c r="AP56" s="65" t="str">
        <f t="shared" si="36"/>
        <v>0</v>
      </c>
      <c r="AQ56" s="71">
        <f t="shared" si="37"/>
        <v>0</v>
      </c>
      <c r="AR56" s="72">
        <f t="shared" si="38"/>
        <v>0</v>
      </c>
      <c r="AS56" s="71">
        <f t="shared" si="39"/>
        <v>0</v>
      </c>
      <c r="AT56" s="70">
        <f t="shared" si="40"/>
        <v>0</v>
      </c>
      <c r="AU56" s="70">
        <f t="shared" si="41"/>
        <v>0</v>
      </c>
      <c r="AV56" s="2"/>
      <c r="AW56" s="66">
        <f t="shared" si="42"/>
        <v>0</v>
      </c>
      <c r="AX56" s="68">
        <f>_xlfn.IFNA(INDEX(Table3941[I $ p/ft2],MATCH(R56,Table3941[Film Type],0)),1.75)</f>
        <v>1.75</v>
      </c>
      <c r="AY56" s="69">
        <f>VLOOKUP(Z56,Table1349[#All],2,FALSE)</f>
        <v>1</v>
      </c>
      <c r="AZ56" s="68">
        <f t="shared" si="43"/>
        <v>1.75</v>
      </c>
      <c r="BA56" s="65">
        <f t="shared" si="44"/>
        <v>0</v>
      </c>
      <c r="BB56" s="64">
        <f t="shared" si="45"/>
        <v>0</v>
      </c>
      <c r="BC56" s="67">
        <f t="shared" si="46"/>
        <v>0</v>
      </c>
      <c r="BD56" s="66">
        <f t="shared" si="47"/>
        <v>0</v>
      </c>
      <c r="BE56" s="64"/>
      <c r="BF56" s="66">
        <f t="shared" si="48"/>
        <v>0</v>
      </c>
      <c r="BG56" s="66">
        <f t="shared" si="49"/>
        <v>0</v>
      </c>
      <c r="BH56" s="65">
        <f>VLOOKUP(AA56,Table1551[#All],2,FALSE)</f>
        <v>1</v>
      </c>
      <c r="BI56" s="65">
        <f t="shared" si="50"/>
        <v>0</v>
      </c>
      <c r="BJ56" s="64" t="str">
        <f t="shared" si="51"/>
        <v>0</v>
      </c>
      <c r="CK56" s="86" t="s">
        <v>148</v>
      </c>
      <c r="CL56" s="2">
        <v>2.4</v>
      </c>
      <c r="CM56" s="2">
        <f t="shared" si="52"/>
        <v>2.64</v>
      </c>
      <c r="CN56" s="10">
        <v>2</v>
      </c>
      <c r="CO56" s="84">
        <f t="shared" si="53"/>
        <v>0</v>
      </c>
    </row>
    <row r="57" spans="1:93" ht="11.1" hidden="1" customHeight="1" x14ac:dyDescent="0.45">
      <c r="A57" s="83"/>
      <c r="B57" s="266"/>
      <c r="C57" s="267"/>
      <c r="D57" s="267"/>
      <c r="E57" s="268"/>
      <c r="F57" s="64"/>
      <c r="G57" s="64"/>
      <c r="H57" s="82"/>
      <c r="I57" s="81"/>
      <c r="J57" s="64"/>
      <c r="K57" s="80"/>
      <c r="L57" s="79">
        <f t="shared" si="27"/>
        <v>0</v>
      </c>
      <c r="M57" s="64"/>
      <c r="N57" s="64"/>
      <c r="O57" s="64"/>
      <c r="P57" s="80"/>
      <c r="Q57" s="79">
        <f t="shared" si="28"/>
        <v>0</v>
      </c>
      <c r="R57" s="269"/>
      <c r="S57" s="270"/>
      <c r="T57" s="266"/>
      <c r="U57" s="267"/>
      <c r="V57" s="267"/>
      <c r="W57" s="268"/>
      <c r="X57" s="271" t="str">
        <f>IFERROR(INDEX(Table3941[],MATCH(R57,Table3941[Film Type],),3),"")</f>
        <v/>
      </c>
      <c r="Y57" s="271"/>
      <c r="Z57" s="78" t="s">
        <v>55</v>
      </c>
      <c r="AA57" s="78" t="s">
        <v>55</v>
      </c>
      <c r="AB57" s="77"/>
      <c r="AC57" s="76"/>
      <c r="AD57" s="75">
        <f t="shared" si="29"/>
        <v>0</v>
      </c>
      <c r="AG57" s="74">
        <f t="shared" si="30"/>
        <v>0</v>
      </c>
      <c r="AK57" s="65">
        <f t="shared" si="31"/>
        <v>0</v>
      </c>
      <c r="AL57" s="65">
        <f t="shared" si="32"/>
        <v>0</v>
      </c>
      <c r="AM57" s="65">
        <f t="shared" si="33"/>
        <v>0</v>
      </c>
      <c r="AN57" s="73">
        <f t="shared" si="34"/>
        <v>0</v>
      </c>
      <c r="AO57" s="65" t="str">
        <f t="shared" si="35"/>
        <v>0.00</v>
      </c>
      <c r="AP57" s="65" t="str">
        <f t="shared" si="36"/>
        <v>0</v>
      </c>
      <c r="AQ57" s="71">
        <f t="shared" si="37"/>
        <v>0</v>
      </c>
      <c r="AR57" s="72">
        <f t="shared" si="38"/>
        <v>0</v>
      </c>
      <c r="AS57" s="71">
        <f t="shared" si="39"/>
        <v>0</v>
      </c>
      <c r="AT57" s="70">
        <f t="shared" si="40"/>
        <v>0</v>
      </c>
      <c r="AU57" s="70">
        <f t="shared" si="41"/>
        <v>0</v>
      </c>
      <c r="AV57" s="2"/>
      <c r="AW57" s="66">
        <f t="shared" si="42"/>
        <v>0</v>
      </c>
      <c r="AX57" s="68">
        <f>_xlfn.IFNA(INDEX(Table3941[I $ p/ft2],MATCH(R57,Table3941[Film Type],0)),1.75)</f>
        <v>1.75</v>
      </c>
      <c r="AY57" s="69">
        <f>VLOOKUP(Z57,Table1349[#All],2,FALSE)</f>
        <v>1</v>
      </c>
      <c r="AZ57" s="68">
        <f t="shared" si="43"/>
        <v>1.75</v>
      </c>
      <c r="BA57" s="65">
        <f t="shared" si="44"/>
        <v>0</v>
      </c>
      <c r="BB57" s="64">
        <f t="shared" si="45"/>
        <v>0</v>
      </c>
      <c r="BC57" s="67">
        <f t="shared" si="46"/>
        <v>0</v>
      </c>
      <c r="BD57" s="66">
        <f t="shared" si="47"/>
        <v>0</v>
      </c>
      <c r="BE57" s="64"/>
      <c r="BF57" s="66">
        <f t="shared" si="48"/>
        <v>0</v>
      </c>
      <c r="BG57" s="66">
        <f t="shared" si="49"/>
        <v>0</v>
      </c>
      <c r="BH57" s="65">
        <f>VLOOKUP(AA57,Table1551[#All],2,FALSE)</f>
        <v>1</v>
      </c>
      <c r="BI57" s="65">
        <f t="shared" si="50"/>
        <v>0</v>
      </c>
      <c r="BJ57" s="64" t="str">
        <f t="shared" si="51"/>
        <v>0</v>
      </c>
      <c r="CK57" s="86" t="s">
        <v>147</v>
      </c>
      <c r="CL57" s="2">
        <v>2.4</v>
      </c>
      <c r="CM57" s="2">
        <f t="shared" si="52"/>
        <v>2.64</v>
      </c>
      <c r="CN57" s="10">
        <v>2</v>
      </c>
      <c r="CO57" s="84">
        <f t="shared" si="53"/>
        <v>0</v>
      </c>
    </row>
    <row r="58" spans="1:93" ht="11.1" hidden="1" customHeight="1" x14ac:dyDescent="0.45">
      <c r="A58" s="83"/>
      <c r="B58" s="266"/>
      <c r="C58" s="267"/>
      <c r="D58" s="267"/>
      <c r="E58" s="268"/>
      <c r="F58" s="64"/>
      <c r="G58" s="64"/>
      <c r="H58" s="82"/>
      <c r="I58" s="81"/>
      <c r="J58" s="64"/>
      <c r="K58" s="80"/>
      <c r="L58" s="79">
        <f t="shared" si="27"/>
        <v>0</v>
      </c>
      <c r="M58" s="64"/>
      <c r="N58" s="64"/>
      <c r="O58" s="64"/>
      <c r="P58" s="80"/>
      <c r="Q58" s="79">
        <f t="shared" si="28"/>
        <v>0</v>
      </c>
      <c r="R58" s="269"/>
      <c r="S58" s="270"/>
      <c r="T58" s="266"/>
      <c r="U58" s="267"/>
      <c r="V58" s="267"/>
      <c r="W58" s="268"/>
      <c r="X58" s="271" t="str">
        <f>IFERROR(INDEX(Table3941[],MATCH(R58,Table3941[Film Type],),3),"")</f>
        <v/>
      </c>
      <c r="Y58" s="271"/>
      <c r="Z58" s="78" t="s">
        <v>55</v>
      </c>
      <c r="AA58" s="78" t="s">
        <v>55</v>
      </c>
      <c r="AB58" s="77"/>
      <c r="AC58" s="76"/>
      <c r="AD58" s="75">
        <f t="shared" si="29"/>
        <v>0</v>
      </c>
      <c r="AG58" s="74">
        <f t="shared" si="30"/>
        <v>0</v>
      </c>
      <c r="AK58" s="65">
        <f t="shared" si="31"/>
        <v>0</v>
      </c>
      <c r="AL58" s="65">
        <f t="shared" si="32"/>
        <v>0</v>
      </c>
      <c r="AM58" s="65">
        <f t="shared" si="33"/>
        <v>0</v>
      </c>
      <c r="AN58" s="73">
        <f t="shared" si="34"/>
        <v>0</v>
      </c>
      <c r="AO58" s="65" t="str">
        <f t="shared" si="35"/>
        <v>0.00</v>
      </c>
      <c r="AP58" s="65" t="str">
        <f t="shared" si="36"/>
        <v>0</v>
      </c>
      <c r="AQ58" s="71">
        <f t="shared" si="37"/>
        <v>0</v>
      </c>
      <c r="AR58" s="72">
        <f t="shared" si="38"/>
        <v>0</v>
      </c>
      <c r="AS58" s="71">
        <f t="shared" si="39"/>
        <v>0</v>
      </c>
      <c r="AT58" s="70">
        <f t="shared" si="40"/>
        <v>0</v>
      </c>
      <c r="AU58" s="70">
        <f t="shared" si="41"/>
        <v>0</v>
      </c>
      <c r="AV58" s="2"/>
      <c r="AW58" s="66">
        <f t="shared" si="42"/>
        <v>0</v>
      </c>
      <c r="AX58" s="68">
        <f>_xlfn.IFNA(INDEX(Table3941[I $ p/ft2],MATCH(R58,Table3941[Film Type],0)),1.75)</f>
        <v>1.75</v>
      </c>
      <c r="AY58" s="69">
        <f>VLOOKUP(Z58,Table1349[#All],2,FALSE)</f>
        <v>1</v>
      </c>
      <c r="AZ58" s="68">
        <f t="shared" si="43"/>
        <v>1.75</v>
      </c>
      <c r="BA58" s="65">
        <f t="shared" si="44"/>
        <v>0</v>
      </c>
      <c r="BB58" s="64">
        <f t="shared" si="45"/>
        <v>0</v>
      </c>
      <c r="BC58" s="67">
        <f t="shared" si="46"/>
        <v>0</v>
      </c>
      <c r="BD58" s="66">
        <f t="shared" si="47"/>
        <v>0</v>
      </c>
      <c r="BE58" s="64"/>
      <c r="BF58" s="66">
        <f t="shared" si="48"/>
        <v>0</v>
      </c>
      <c r="BG58" s="66">
        <f t="shared" si="49"/>
        <v>0</v>
      </c>
      <c r="BH58" s="65">
        <f>VLOOKUP(AA58,Table1551[#All],2,FALSE)</f>
        <v>1</v>
      </c>
      <c r="BI58" s="65">
        <f t="shared" si="50"/>
        <v>0</v>
      </c>
      <c r="BJ58" s="64" t="str">
        <f t="shared" si="51"/>
        <v>0</v>
      </c>
      <c r="CK58" s="86" t="s">
        <v>146</v>
      </c>
      <c r="CL58" s="2">
        <v>1.48</v>
      </c>
      <c r="CM58" s="2">
        <f t="shared" si="52"/>
        <v>1.6280000000000001</v>
      </c>
      <c r="CN58" s="10">
        <v>2</v>
      </c>
      <c r="CO58" s="84">
        <f t="shared" si="53"/>
        <v>0</v>
      </c>
    </row>
    <row r="59" spans="1:93" ht="11.1" hidden="1" customHeight="1" x14ac:dyDescent="0.45">
      <c r="A59" s="83"/>
      <c r="B59" s="266"/>
      <c r="C59" s="267"/>
      <c r="D59" s="267"/>
      <c r="E59" s="268"/>
      <c r="F59" s="64"/>
      <c r="G59" s="64"/>
      <c r="H59" s="82"/>
      <c r="I59" s="81"/>
      <c r="J59" s="64"/>
      <c r="K59" s="80"/>
      <c r="L59" s="79">
        <f t="shared" si="27"/>
        <v>0</v>
      </c>
      <c r="M59" s="64"/>
      <c r="N59" s="64"/>
      <c r="O59" s="64"/>
      <c r="P59" s="80"/>
      <c r="Q59" s="79">
        <f t="shared" si="28"/>
        <v>0</v>
      </c>
      <c r="R59" s="269"/>
      <c r="S59" s="270"/>
      <c r="T59" s="266"/>
      <c r="U59" s="267"/>
      <c r="V59" s="267"/>
      <c r="W59" s="268"/>
      <c r="X59" s="271" t="str">
        <f>IFERROR(INDEX(Table3941[],MATCH(R59,Table3941[Film Type],),3),"")</f>
        <v/>
      </c>
      <c r="Y59" s="271"/>
      <c r="Z59" s="78" t="s">
        <v>55</v>
      </c>
      <c r="AA59" s="78" t="s">
        <v>55</v>
      </c>
      <c r="AB59" s="77"/>
      <c r="AC59" s="76"/>
      <c r="AD59" s="75">
        <f t="shared" si="29"/>
        <v>0</v>
      </c>
      <c r="AG59" s="74">
        <f t="shared" si="30"/>
        <v>0</v>
      </c>
      <c r="AK59" s="65">
        <f t="shared" si="31"/>
        <v>0</v>
      </c>
      <c r="AL59" s="65">
        <f t="shared" si="32"/>
        <v>0</v>
      </c>
      <c r="AM59" s="65">
        <f t="shared" si="33"/>
        <v>0</v>
      </c>
      <c r="AN59" s="73">
        <f t="shared" si="34"/>
        <v>0</v>
      </c>
      <c r="AO59" s="65" t="str">
        <f t="shared" si="35"/>
        <v>0.00</v>
      </c>
      <c r="AP59" s="65" t="str">
        <f t="shared" si="36"/>
        <v>0</v>
      </c>
      <c r="AQ59" s="71">
        <f t="shared" si="37"/>
        <v>0</v>
      </c>
      <c r="AR59" s="72">
        <f t="shared" si="38"/>
        <v>0</v>
      </c>
      <c r="AS59" s="71">
        <f t="shared" si="39"/>
        <v>0</v>
      </c>
      <c r="AT59" s="70">
        <f t="shared" si="40"/>
        <v>0</v>
      </c>
      <c r="AU59" s="70">
        <f t="shared" si="41"/>
        <v>0</v>
      </c>
      <c r="AV59" s="2"/>
      <c r="AW59" s="66">
        <f t="shared" si="42"/>
        <v>0</v>
      </c>
      <c r="AX59" s="68">
        <f>_xlfn.IFNA(INDEX(Table3941[I $ p/ft2],MATCH(R59,Table3941[Film Type],0)),1.75)</f>
        <v>1.75</v>
      </c>
      <c r="AY59" s="69">
        <f>VLOOKUP(Z59,Table1349[#All],2,FALSE)</f>
        <v>1</v>
      </c>
      <c r="AZ59" s="68">
        <f t="shared" si="43"/>
        <v>1.75</v>
      </c>
      <c r="BA59" s="65">
        <f t="shared" si="44"/>
        <v>0</v>
      </c>
      <c r="BB59" s="64">
        <f t="shared" si="45"/>
        <v>0</v>
      </c>
      <c r="BC59" s="67">
        <f t="shared" si="46"/>
        <v>0</v>
      </c>
      <c r="BD59" s="66">
        <f t="shared" si="47"/>
        <v>0</v>
      </c>
      <c r="BE59" s="64"/>
      <c r="BF59" s="66">
        <f t="shared" si="48"/>
        <v>0</v>
      </c>
      <c r="BG59" s="66">
        <f t="shared" si="49"/>
        <v>0</v>
      </c>
      <c r="BH59" s="65">
        <f>VLOOKUP(AA59,Table1551[#All],2,FALSE)</f>
        <v>1</v>
      </c>
      <c r="BI59" s="65">
        <f t="shared" si="50"/>
        <v>0</v>
      </c>
      <c r="BJ59" s="64" t="str">
        <f t="shared" si="51"/>
        <v>0</v>
      </c>
      <c r="CK59" s="86" t="s">
        <v>145</v>
      </c>
      <c r="CL59" s="2">
        <v>1.48</v>
      </c>
      <c r="CM59" s="2">
        <f t="shared" si="52"/>
        <v>1.6280000000000001</v>
      </c>
      <c r="CN59" s="10">
        <v>2</v>
      </c>
      <c r="CO59" s="84">
        <f t="shared" si="53"/>
        <v>0</v>
      </c>
    </row>
    <row r="60" spans="1:93" ht="11.1" hidden="1" customHeight="1" x14ac:dyDescent="0.45">
      <c r="A60" s="83"/>
      <c r="B60" s="266"/>
      <c r="C60" s="267"/>
      <c r="D60" s="267"/>
      <c r="E60" s="268"/>
      <c r="F60" s="64"/>
      <c r="G60" s="64"/>
      <c r="H60" s="82"/>
      <c r="I60" s="81"/>
      <c r="J60" s="64"/>
      <c r="K60" s="80"/>
      <c r="L60" s="79">
        <f t="shared" si="27"/>
        <v>0</v>
      </c>
      <c r="M60" s="64"/>
      <c r="N60" s="64"/>
      <c r="O60" s="64"/>
      <c r="P60" s="80"/>
      <c r="Q60" s="79">
        <f t="shared" si="28"/>
        <v>0</v>
      </c>
      <c r="R60" s="269"/>
      <c r="S60" s="270"/>
      <c r="T60" s="266"/>
      <c r="U60" s="267"/>
      <c r="V60" s="267"/>
      <c r="W60" s="268"/>
      <c r="X60" s="271" t="str">
        <f>IFERROR(INDEX(Table3941[],MATCH(R60,Table3941[Film Type],),3),"")</f>
        <v/>
      </c>
      <c r="Y60" s="271"/>
      <c r="Z60" s="78" t="s">
        <v>55</v>
      </c>
      <c r="AA60" s="78" t="s">
        <v>55</v>
      </c>
      <c r="AB60" s="77"/>
      <c r="AC60" s="76"/>
      <c r="AD60" s="75">
        <f t="shared" si="29"/>
        <v>0</v>
      </c>
      <c r="AG60" s="74">
        <f t="shared" si="30"/>
        <v>0</v>
      </c>
      <c r="AK60" s="65">
        <f t="shared" si="31"/>
        <v>0</v>
      </c>
      <c r="AL60" s="65">
        <f t="shared" si="32"/>
        <v>0</v>
      </c>
      <c r="AM60" s="65">
        <f t="shared" si="33"/>
        <v>0</v>
      </c>
      <c r="AN60" s="73">
        <f t="shared" si="34"/>
        <v>0</v>
      </c>
      <c r="AO60" s="65" t="str">
        <f t="shared" si="35"/>
        <v>0.00</v>
      </c>
      <c r="AP60" s="65" t="str">
        <f t="shared" si="36"/>
        <v>0</v>
      </c>
      <c r="AQ60" s="71">
        <f t="shared" si="37"/>
        <v>0</v>
      </c>
      <c r="AR60" s="72">
        <f t="shared" si="38"/>
        <v>0</v>
      </c>
      <c r="AS60" s="71">
        <f t="shared" si="39"/>
        <v>0</v>
      </c>
      <c r="AT60" s="70">
        <f t="shared" si="40"/>
        <v>0</v>
      </c>
      <c r="AU60" s="70">
        <f t="shared" si="41"/>
        <v>0</v>
      </c>
      <c r="AV60" s="2"/>
      <c r="AW60" s="66">
        <f t="shared" si="42"/>
        <v>0</v>
      </c>
      <c r="AX60" s="68">
        <f>_xlfn.IFNA(INDEX(Table3941[I $ p/ft2],MATCH(R60,Table3941[Film Type],0)),1.75)</f>
        <v>1.75</v>
      </c>
      <c r="AY60" s="69">
        <f>VLOOKUP(Z60,Table1349[#All],2,FALSE)</f>
        <v>1</v>
      </c>
      <c r="AZ60" s="68">
        <f t="shared" si="43"/>
        <v>1.75</v>
      </c>
      <c r="BA60" s="65">
        <f t="shared" si="44"/>
        <v>0</v>
      </c>
      <c r="BB60" s="64">
        <f t="shared" si="45"/>
        <v>0</v>
      </c>
      <c r="BC60" s="67">
        <f t="shared" si="46"/>
        <v>0</v>
      </c>
      <c r="BD60" s="66">
        <f t="shared" si="47"/>
        <v>0</v>
      </c>
      <c r="BE60" s="64"/>
      <c r="BF60" s="66">
        <f t="shared" si="48"/>
        <v>0</v>
      </c>
      <c r="BG60" s="66">
        <f t="shared" si="49"/>
        <v>0</v>
      </c>
      <c r="BH60" s="65">
        <f>VLOOKUP(AA60,Table1551[#All],2,FALSE)</f>
        <v>1</v>
      </c>
      <c r="BI60" s="65">
        <f t="shared" si="50"/>
        <v>0</v>
      </c>
      <c r="BJ60" s="64" t="str">
        <f t="shared" si="51"/>
        <v>0</v>
      </c>
      <c r="CK60" s="86" t="s">
        <v>144</v>
      </c>
      <c r="CL60" s="2">
        <v>1.97</v>
      </c>
      <c r="CM60" s="2">
        <f t="shared" si="52"/>
        <v>2.1670000000000003</v>
      </c>
      <c r="CN60" s="87">
        <v>1.75</v>
      </c>
      <c r="CO60" s="84">
        <f t="shared" si="53"/>
        <v>0</v>
      </c>
    </row>
    <row r="61" spans="1:93" ht="11.1" hidden="1" customHeight="1" x14ac:dyDescent="0.45">
      <c r="A61" s="83"/>
      <c r="B61" s="266"/>
      <c r="C61" s="267"/>
      <c r="D61" s="267"/>
      <c r="E61" s="268"/>
      <c r="F61" s="64"/>
      <c r="G61" s="64"/>
      <c r="H61" s="82"/>
      <c r="I61" s="81"/>
      <c r="J61" s="64"/>
      <c r="K61" s="80"/>
      <c r="L61" s="79">
        <f t="shared" si="27"/>
        <v>0</v>
      </c>
      <c r="M61" s="64"/>
      <c r="N61" s="64"/>
      <c r="O61" s="64"/>
      <c r="P61" s="80"/>
      <c r="Q61" s="79">
        <f t="shared" si="28"/>
        <v>0</v>
      </c>
      <c r="R61" s="269"/>
      <c r="S61" s="270"/>
      <c r="T61" s="266"/>
      <c r="U61" s="267"/>
      <c r="V61" s="267"/>
      <c r="W61" s="268"/>
      <c r="X61" s="271" t="str">
        <f>IFERROR(INDEX(Table3941[],MATCH(R61,Table3941[Film Type],),3),"")</f>
        <v/>
      </c>
      <c r="Y61" s="271"/>
      <c r="Z61" s="78" t="s">
        <v>55</v>
      </c>
      <c r="AA61" s="78" t="s">
        <v>55</v>
      </c>
      <c r="AB61" s="77"/>
      <c r="AC61" s="76"/>
      <c r="AD61" s="75">
        <f t="shared" si="29"/>
        <v>0</v>
      </c>
      <c r="AG61" s="74">
        <f t="shared" si="30"/>
        <v>0</v>
      </c>
      <c r="AK61" s="65">
        <f t="shared" si="31"/>
        <v>0</v>
      </c>
      <c r="AL61" s="65">
        <f t="shared" si="32"/>
        <v>0</v>
      </c>
      <c r="AM61" s="65">
        <f t="shared" si="33"/>
        <v>0</v>
      </c>
      <c r="AN61" s="73">
        <f t="shared" si="34"/>
        <v>0</v>
      </c>
      <c r="AO61" s="65" t="str">
        <f t="shared" si="35"/>
        <v>0.00</v>
      </c>
      <c r="AP61" s="65" t="str">
        <f t="shared" si="36"/>
        <v>0</v>
      </c>
      <c r="AQ61" s="71">
        <f t="shared" si="37"/>
        <v>0</v>
      </c>
      <c r="AR61" s="72">
        <f t="shared" si="38"/>
        <v>0</v>
      </c>
      <c r="AS61" s="71">
        <f t="shared" si="39"/>
        <v>0</v>
      </c>
      <c r="AT61" s="70">
        <f t="shared" si="40"/>
        <v>0</v>
      </c>
      <c r="AU61" s="70">
        <f t="shared" si="41"/>
        <v>0</v>
      </c>
      <c r="AV61" s="2"/>
      <c r="AW61" s="66">
        <f t="shared" si="42"/>
        <v>0</v>
      </c>
      <c r="AX61" s="68">
        <f>_xlfn.IFNA(INDEX(Table3941[I $ p/ft2],MATCH(R61,Table3941[Film Type],0)),1.75)</f>
        <v>1.75</v>
      </c>
      <c r="AY61" s="69">
        <f>VLOOKUP(Z61,Table1349[#All],2,FALSE)</f>
        <v>1</v>
      </c>
      <c r="AZ61" s="68">
        <f t="shared" si="43"/>
        <v>1.75</v>
      </c>
      <c r="BA61" s="65">
        <f t="shared" si="44"/>
        <v>0</v>
      </c>
      <c r="BB61" s="64">
        <f t="shared" si="45"/>
        <v>0</v>
      </c>
      <c r="BC61" s="67">
        <f t="shared" si="46"/>
        <v>0</v>
      </c>
      <c r="BD61" s="66">
        <f t="shared" si="47"/>
        <v>0</v>
      </c>
      <c r="BE61" s="64"/>
      <c r="BF61" s="66">
        <f t="shared" si="48"/>
        <v>0</v>
      </c>
      <c r="BG61" s="66">
        <f t="shared" si="49"/>
        <v>0</v>
      </c>
      <c r="BH61" s="65">
        <f>VLOOKUP(AA61,Table1551[#All],2,FALSE)</f>
        <v>1</v>
      </c>
      <c r="BI61" s="65">
        <f t="shared" si="50"/>
        <v>0</v>
      </c>
      <c r="BJ61" s="64" t="str">
        <f t="shared" si="51"/>
        <v>0</v>
      </c>
      <c r="CK61" s="86" t="s">
        <v>143</v>
      </c>
      <c r="CL61" s="2">
        <v>1.97</v>
      </c>
      <c r="CM61" s="2">
        <f t="shared" si="52"/>
        <v>2.1670000000000003</v>
      </c>
      <c r="CN61" s="87">
        <v>1.75</v>
      </c>
      <c r="CO61" s="84">
        <f t="shared" si="53"/>
        <v>0</v>
      </c>
    </row>
    <row r="62" spans="1:93" ht="11.1" hidden="1" customHeight="1" x14ac:dyDescent="0.45">
      <c r="A62" s="83"/>
      <c r="B62" s="266"/>
      <c r="C62" s="267"/>
      <c r="D62" s="267"/>
      <c r="E62" s="268"/>
      <c r="F62" s="64"/>
      <c r="G62" s="64"/>
      <c r="H62" s="82"/>
      <c r="I62" s="81"/>
      <c r="J62" s="64"/>
      <c r="K62" s="80"/>
      <c r="L62" s="79">
        <f t="shared" si="27"/>
        <v>0</v>
      </c>
      <c r="M62" s="64"/>
      <c r="N62" s="64"/>
      <c r="O62" s="64"/>
      <c r="P62" s="80"/>
      <c r="Q62" s="79">
        <f t="shared" si="28"/>
        <v>0</v>
      </c>
      <c r="R62" s="269"/>
      <c r="S62" s="270"/>
      <c r="T62" s="266"/>
      <c r="U62" s="267"/>
      <c r="V62" s="267"/>
      <c r="W62" s="268"/>
      <c r="X62" s="271" t="str">
        <f>IFERROR(INDEX(Table3941[],MATCH(R62,Table3941[Film Type],),3),"")</f>
        <v/>
      </c>
      <c r="Y62" s="271"/>
      <c r="Z62" s="78" t="s">
        <v>55</v>
      </c>
      <c r="AA62" s="78" t="s">
        <v>55</v>
      </c>
      <c r="AB62" s="77"/>
      <c r="AC62" s="76"/>
      <c r="AD62" s="75">
        <f t="shared" si="29"/>
        <v>0</v>
      </c>
      <c r="AG62" s="74">
        <f t="shared" si="30"/>
        <v>0</v>
      </c>
      <c r="AK62" s="65">
        <f t="shared" si="31"/>
        <v>0</v>
      </c>
      <c r="AL62" s="65">
        <f t="shared" si="32"/>
        <v>0</v>
      </c>
      <c r="AM62" s="65">
        <f t="shared" si="33"/>
        <v>0</v>
      </c>
      <c r="AN62" s="73">
        <f t="shared" si="34"/>
        <v>0</v>
      </c>
      <c r="AO62" s="65" t="str">
        <f t="shared" si="35"/>
        <v>0.00</v>
      </c>
      <c r="AP62" s="65" t="str">
        <f t="shared" si="36"/>
        <v>0</v>
      </c>
      <c r="AQ62" s="71">
        <f t="shared" si="37"/>
        <v>0</v>
      </c>
      <c r="AR62" s="72">
        <f t="shared" si="38"/>
        <v>0</v>
      </c>
      <c r="AS62" s="71">
        <f t="shared" si="39"/>
        <v>0</v>
      </c>
      <c r="AT62" s="70">
        <f t="shared" si="40"/>
        <v>0</v>
      </c>
      <c r="AU62" s="70">
        <f t="shared" si="41"/>
        <v>0</v>
      </c>
      <c r="AV62" s="2"/>
      <c r="AW62" s="66">
        <f t="shared" si="42"/>
        <v>0</v>
      </c>
      <c r="AX62" s="68">
        <f>_xlfn.IFNA(INDEX(Table3941[I $ p/ft2],MATCH(R62,Table3941[Film Type],0)),1.75)</f>
        <v>1.75</v>
      </c>
      <c r="AY62" s="69">
        <f>VLOOKUP(Z62,Table1349[#All],2,FALSE)</f>
        <v>1</v>
      </c>
      <c r="AZ62" s="68">
        <f t="shared" si="43"/>
        <v>1.75</v>
      </c>
      <c r="BA62" s="65">
        <f t="shared" si="44"/>
        <v>0</v>
      </c>
      <c r="BB62" s="64">
        <f t="shared" si="45"/>
        <v>0</v>
      </c>
      <c r="BC62" s="67">
        <f t="shared" si="46"/>
        <v>0</v>
      </c>
      <c r="BD62" s="66">
        <f t="shared" si="47"/>
        <v>0</v>
      </c>
      <c r="BE62" s="64"/>
      <c r="BF62" s="66">
        <f t="shared" si="48"/>
        <v>0</v>
      </c>
      <c r="BG62" s="66">
        <f t="shared" si="49"/>
        <v>0</v>
      </c>
      <c r="BH62" s="65">
        <f>VLOOKUP(AA62,Table1551[#All],2,FALSE)</f>
        <v>1</v>
      </c>
      <c r="BI62" s="65">
        <f t="shared" si="50"/>
        <v>0</v>
      </c>
      <c r="BJ62" s="64" t="str">
        <f t="shared" si="51"/>
        <v>0</v>
      </c>
      <c r="CK62" s="86"/>
      <c r="CM62" s="2">
        <f t="shared" si="52"/>
        <v>0</v>
      </c>
      <c r="CN62" s="10"/>
      <c r="CO62" s="84">
        <f t="shared" si="53"/>
        <v>0</v>
      </c>
    </row>
    <row r="63" spans="1:93" ht="11.1" hidden="1" customHeight="1" x14ac:dyDescent="0.45">
      <c r="A63" s="83"/>
      <c r="B63" s="266"/>
      <c r="C63" s="267"/>
      <c r="D63" s="267"/>
      <c r="E63" s="268"/>
      <c r="F63" s="64"/>
      <c r="G63" s="64"/>
      <c r="H63" s="82"/>
      <c r="I63" s="81"/>
      <c r="J63" s="64"/>
      <c r="K63" s="80"/>
      <c r="L63" s="79">
        <f t="shared" si="27"/>
        <v>0</v>
      </c>
      <c r="M63" s="64"/>
      <c r="N63" s="64"/>
      <c r="O63" s="64"/>
      <c r="P63" s="80"/>
      <c r="Q63" s="79">
        <f t="shared" si="28"/>
        <v>0</v>
      </c>
      <c r="R63" s="269"/>
      <c r="S63" s="270"/>
      <c r="T63" s="266"/>
      <c r="U63" s="267"/>
      <c r="V63" s="267"/>
      <c r="W63" s="268"/>
      <c r="X63" s="271" t="str">
        <f>IFERROR(INDEX(Table3941[],MATCH(R63,Table3941[Film Type],),3),"")</f>
        <v/>
      </c>
      <c r="Y63" s="271"/>
      <c r="Z63" s="78" t="s">
        <v>55</v>
      </c>
      <c r="AA63" s="78" t="s">
        <v>55</v>
      </c>
      <c r="AB63" s="77"/>
      <c r="AC63" s="76"/>
      <c r="AD63" s="75">
        <f t="shared" si="29"/>
        <v>0</v>
      </c>
      <c r="AG63" s="74">
        <f t="shared" si="30"/>
        <v>0</v>
      </c>
      <c r="AK63" s="65">
        <f t="shared" si="31"/>
        <v>0</v>
      </c>
      <c r="AL63" s="65">
        <f t="shared" si="32"/>
        <v>0</v>
      </c>
      <c r="AM63" s="65">
        <f t="shared" si="33"/>
        <v>0</v>
      </c>
      <c r="AN63" s="73">
        <f t="shared" si="34"/>
        <v>0</v>
      </c>
      <c r="AO63" s="65" t="str">
        <f t="shared" si="35"/>
        <v>0.00</v>
      </c>
      <c r="AP63" s="65" t="str">
        <f t="shared" si="36"/>
        <v>0</v>
      </c>
      <c r="AQ63" s="71">
        <f t="shared" si="37"/>
        <v>0</v>
      </c>
      <c r="AR63" s="72">
        <f t="shared" si="38"/>
        <v>0</v>
      </c>
      <c r="AS63" s="71">
        <f t="shared" si="39"/>
        <v>0</v>
      </c>
      <c r="AT63" s="70">
        <f t="shared" si="40"/>
        <v>0</v>
      </c>
      <c r="AU63" s="70">
        <f t="shared" si="41"/>
        <v>0</v>
      </c>
      <c r="AV63" s="2"/>
      <c r="AW63" s="66">
        <f t="shared" si="42"/>
        <v>0</v>
      </c>
      <c r="AX63" s="68">
        <f>_xlfn.IFNA(INDEX(Table3941[I $ p/ft2],MATCH(R63,Table3941[Film Type],0)),1.75)</f>
        <v>1.75</v>
      </c>
      <c r="AY63" s="69">
        <f>VLOOKUP(Z63,Table1349[#All],2,FALSE)</f>
        <v>1</v>
      </c>
      <c r="AZ63" s="68">
        <f t="shared" si="43"/>
        <v>1.75</v>
      </c>
      <c r="BA63" s="65">
        <f t="shared" si="44"/>
        <v>0</v>
      </c>
      <c r="BB63" s="64">
        <f t="shared" si="45"/>
        <v>0</v>
      </c>
      <c r="BC63" s="67">
        <f t="shared" si="46"/>
        <v>0</v>
      </c>
      <c r="BD63" s="66">
        <f t="shared" si="47"/>
        <v>0</v>
      </c>
      <c r="BE63" s="64"/>
      <c r="BF63" s="66">
        <f t="shared" si="48"/>
        <v>0</v>
      </c>
      <c r="BG63" s="66">
        <f t="shared" si="49"/>
        <v>0</v>
      </c>
      <c r="BH63" s="65">
        <f>VLOOKUP(AA63,Table1551[#All],2,FALSE)</f>
        <v>1</v>
      </c>
      <c r="BI63" s="65">
        <f t="shared" si="50"/>
        <v>0</v>
      </c>
      <c r="BJ63" s="64" t="str">
        <f t="shared" si="51"/>
        <v>0</v>
      </c>
      <c r="CK63" s="86" t="s">
        <v>142</v>
      </c>
      <c r="CL63" s="2">
        <v>1.19</v>
      </c>
      <c r="CM63" s="2">
        <f t="shared" si="52"/>
        <v>1.3089999999999999</v>
      </c>
      <c r="CN63" s="10">
        <v>1.5</v>
      </c>
      <c r="CO63" s="84">
        <f t="shared" si="53"/>
        <v>0</v>
      </c>
    </row>
    <row r="64" spans="1:93" ht="11.1" hidden="1" customHeight="1" x14ac:dyDescent="0.45">
      <c r="A64" s="83"/>
      <c r="B64" s="266"/>
      <c r="C64" s="267"/>
      <c r="D64" s="267"/>
      <c r="E64" s="268"/>
      <c r="F64" s="64"/>
      <c r="G64" s="64"/>
      <c r="H64" s="82"/>
      <c r="I64" s="81"/>
      <c r="J64" s="64"/>
      <c r="K64" s="80"/>
      <c r="L64" s="79">
        <f t="shared" si="27"/>
        <v>0</v>
      </c>
      <c r="M64" s="64"/>
      <c r="N64" s="64"/>
      <c r="O64" s="64"/>
      <c r="P64" s="80"/>
      <c r="Q64" s="79">
        <f t="shared" si="28"/>
        <v>0</v>
      </c>
      <c r="R64" s="269"/>
      <c r="S64" s="270"/>
      <c r="T64" s="266"/>
      <c r="U64" s="267"/>
      <c r="V64" s="267"/>
      <c r="W64" s="268"/>
      <c r="X64" s="271" t="str">
        <f>IFERROR(INDEX(Table3941[],MATCH(R64,Table3941[Film Type],),3),"")</f>
        <v/>
      </c>
      <c r="Y64" s="271"/>
      <c r="Z64" s="78" t="s">
        <v>55</v>
      </c>
      <c r="AA64" s="78" t="s">
        <v>55</v>
      </c>
      <c r="AB64" s="77"/>
      <c r="AC64" s="76"/>
      <c r="AD64" s="75">
        <f t="shared" si="29"/>
        <v>0</v>
      </c>
      <c r="AG64" s="74">
        <f t="shared" si="30"/>
        <v>0</v>
      </c>
      <c r="AK64" s="65">
        <f t="shared" si="31"/>
        <v>0</v>
      </c>
      <c r="AL64" s="65">
        <f t="shared" si="32"/>
        <v>0</v>
      </c>
      <c r="AM64" s="65">
        <f t="shared" si="33"/>
        <v>0</v>
      </c>
      <c r="AN64" s="73">
        <f t="shared" si="34"/>
        <v>0</v>
      </c>
      <c r="AO64" s="65" t="str">
        <f t="shared" si="35"/>
        <v>0.00</v>
      </c>
      <c r="AP64" s="65" t="str">
        <f t="shared" si="36"/>
        <v>0</v>
      </c>
      <c r="AQ64" s="71">
        <f t="shared" si="37"/>
        <v>0</v>
      </c>
      <c r="AR64" s="72">
        <f t="shared" si="38"/>
        <v>0</v>
      </c>
      <c r="AS64" s="71">
        <f t="shared" si="39"/>
        <v>0</v>
      </c>
      <c r="AT64" s="70">
        <f t="shared" si="40"/>
        <v>0</v>
      </c>
      <c r="AU64" s="70">
        <f t="shared" si="41"/>
        <v>0</v>
      </c>
      <c r="AV64" s="2"/>
      <c r="AW64" s="66">
        <f t="shared" si="42"/>
        <v>0</v>
      </c>
      <c r="AX64" s="68">
        <f>_xlfn.IFNA(INDEX(Table3941[I $ p/ft2],MATCH(R64,Table3941[Film Type],0)),1.75)</f>
        <v>1.75</v>
      </c>
      <c r="AY64" s="69">
        <f>VLOOKUP(Z64,Table1349[#All],2,FALSE)</f>
        <v>1</v>
      </c>
      <c r="AZ64" s="68">
        <f t="shared" si="43"/>
        <v>1.75</v>
      </c>
      <c r="BA64" s="65">
        <f t="shared" si="44"/>
        <v>0</v>
      </c>
      <c r="BB64" s="64">
        <f t="shared" si="45"/>
        <v>0</v>
      </c>
      <c r="BC64" s="67">
        <f t="shared" si="46"/>
        <v>0</v>
      </c>
      <c r="BD64" s="66">
        <f t="shared" si="47"/>
        <v>0</v>
      </c>
      <c r="BE64" s="64"/>
      <c r="BF64" s="66">
        <f t="shared" si="48"/>
        <v>0</v>
      </c>
      <c r="BG64" s="66">
        <f t="shared" si="49"/>
        <v>0</v>
      </c>
      <c r="BH64" s="65">
        <f>VLOOKUP(AA64,Table1551[#All],2,FALSE)</f>
        <v>1</v>
      </c>
      <c r="BI64" s="65">
        <f t="shared" si="50"/>
        <v>0</v>
      </c>
      <c r="BJ64" s="64" t="str">
        <f t="shared" si="51"/>
        <v>0</v>
      </c>
      <c r="CK64" s="86" t="s">
        <v>141</v>
      </c>
      <c r="CL64" s="2">
        <v>1.19</v>
      </c>
      <c r="CM64" s="2">
        <f t="shared" si="52"/>
        <v>1.3089999999999999</v>
      </c>
      <c r="CN64" s="10">
        <v>1.5</v>
      </c>
      <c r="CO64" s="84">
        <f t="shared" si="53"/>
        <v>0</v>
      </c>
    </row>
    <row r="65" spans="1:93" ht="11.1" hidden="1" customHeight="1" x14ac:dyDescent="0.45">
      <c r="A65" s="83"/>
      <c r="B65" s="266"/>
      <c r="C65" s="267"/>
      <c r="D65" s="267"/>
      <c r="E65" s="268"/>
      <c r="F65" s="64"/>
      <c r="G65" s="64"/>
      <c r="H65" s="82"/>
      <c r="I65" s="81"/>
      <c r="J65" s="64"/>
      <c r="K65" s="80"/>
      <c r="L65" s="79">
        <f t="shared" si="27"/>
        <v>0</v>
      </c>
      <c r="M65" s="64"/>
      <c r="N65" s="64"/>
      <c r="O65" s="64"/>
      <c r="P65" s="80"/>
      <c r="Q65" s="79">
        <f t="shared" si="28"/>
        <v>0</v>
      </c>
      <c r="R65" s="269"/>
      <c r="S65" s="270"/>
      <c r="T65" s="266"/>
      <c r="U65" s="267"/>
      <c r="V65" s="267"/>
      <c r="W65" s="268"/>
      <c r="X65" s="271" t="str">
        <f>IFERROR(INDEX(Table3941[],MATCH(R65,Table3941[Film Type],),3),"")</f>
        <v/>
      </c>
      <c r="Y65" s="271"/>
      <c r="Z65" s="78" t="s">
        <v>55</v>
      </c>
      <c r="AA65" s="78" t="s">
        <v>55</v>
      </c>
      <c r="AB65" s="77"/>
      <c r="AC65" s="76"/>
      <c r="AD65" s="75">
        <f t="shared" si="29"/>
        <v>0</v>
      </c>
      <c r="AG65" s="74">
        <f t="shared" si="30"/>
        <v>0</v>
      </c>
      <c r="AK65" s="65">
        <f t="shared" si="31"/>
        <v>0</v>
      </c>
      <c r="AL65" s="65">
        <f t="shared" si="32"/>
        <v>0</v>
      </c>
      <c r="AM65" s="65">
        <f t="shared" si="33"/>
        <v>0</v>
      </c>
      <c r="AN65" s="73">
        <f t="shared" si="34"/>
        <v>0</v>
      </c>
      <c r="AO65" s="65" t="str">
        <f t="shared" si="35"/>
        <v>0.00</v>
      </c>
      <c r="AP65" s="65" t="str">
        <f t="shared" si="36"/>
        <v>0</v>
      </c>
      <c r="AQ65" s="71">
        <f t="shared" si="37"/>
        <v>0</v>
      </c>
      <c r="AR65" s="72">
        <f t="shared" si="38"/>
        <v>0</v>
      </c>
      <c r="AS65" s="71">
        <f t="shared" si="39"/>
        <v>0</v>
      </c>
      <c r="AT65" s="70">
        <f t="shared" si="40"/>
        <v>0</v>
      </c>
      <c r="AU65" s="70">
        <f t="shared" si="41"/>
        <v>0</v>
      </c>
      <c r="AV65" s="2"/>
      <c r="AW65" s="66">
        <f t="shared" si="42"/>
        <v>0</v>
      </c>
      <c r="AX65" s="68">
        <f>_xlfn.IFNA(INDEX(Table3941[I $ p/ft2],MATCH(R65,Table3941[Film Type],0)),1.75)</f>
        <v>1.75</v>
      </c>
      <c r="AY65" s="69">
        <f>VLOOKUP(Z65,Table1349[#All],2,FALSE)</f>
        <v>1</v>
      </c>
      <c r="AZ65" s="68">
        <f t="shared" si="43"/>
        <v>1.75</v>
      </c>
      <c r="BA65" s="65">
        <f t="shared" si="44"/>
        <v>0</v>
      </c>
      <c r="BB65" s="64">
        <f t="shared" si="45"/>
        <v>0</v>
      </c>
      <c r="BC65" s="67">
        <f t="shared" si="46"/>
        <v>0</v>
      </c>
      <c r="BD65" s="66">
        <f t="shared" si="47"/>
        <v>0</v>
      </c>
      <c r="BE65" s="64"/>
      <c r="BF65" s="66">
        <f t="shared" si="48"/>
        <v>0</v>
      </c>
      <c r="BG65" s="66">
        <f t="shared" si="49"/>
        <v>0</v>
      </c>
      <c r="BH65" s="65">
        <f>VLOOKUP(AA65,Table1551[#All],2,FALSE)</f>
        <v>1</v>
      </c>
      <c r="BI65" s="65">
        <f t="shared" si="50"/>
        <v>0</v>
      </c>
      <c r="BJ65" s="64" t="str">
        <f t="shared" si="51"/>
        <v>0</v>
      </c>
      <c r="CK65" s="86" t="s">
        <v>140</v>
      </c>
      <c r="CL65" s="2">
        <v>1.19</v>
      </c>
      <c r="CM65" s="2">
        <f t="shared" si="52"/>
        <v>1.3089999999999999</v>
      </c>
      <c r="CN65" s="10">
        <v>1.5</v>
      </c>
      <c r="CO65" s="84">
        <f t="shared" si="53"/>
        <v>0</v>
      </c>
    </row>
    <row r="66" spans="1:93" ht="11.1" hidden="1" customHeight="1" x14ac:dyDescent="0.45">
      <c r="A66" s="83"/>
      <c r="B66" s="266"/>
      <c r="C66" s="267"/>
      <c r="D66" s="267"/>
      <c r="E66" s="268"/>
      <c r="F66" s="64"/>
      <c r="G66" s="64"/>
      <c r="H66" s="82"/>
      <c r="I66" s="81"/>
      <c r="J66" s="64"/>
      <c r="K66" s="80"/>
      <c r="L66" s="79">
        <f t="shared" si="27"/>
        <v>0</v>
      </c>
      <c r="M66" s="64"/>
      <c r="N66" s="64"/>
      <c r="O66" s="64"/>
      <c r="P66" s="80"/>
      <c r="Q66" s="79">
        <f t="shared" si="28"/>
        <v>0</v>
      </c>
      <c r="R66" s="269"/>
      <c r="S66" s="270"/>
      <c r="T66" s="266"/>
      <c r="U66" s="267"/>
      <c r="V66" s="267"/>
      <c r="W66" s="268"/>
      <c r="X66" s="271" t="str">
        <f>IFERROR(INDEX(Table3941[],MATCH(R66,Table3941[Film Type],),3),"")</f>
        <v/>
      </c>
      <c r="Y66" s="271"/>
      <c r="Z66" s="78" t="s">
        <v>55</v>
      </c>
      <c r="AA66" s="78" t="s">
        <v>55</v>
      </c>
      <c r="AB66" s="77"/>
      <c r="AC66" s="76"/>
      <c r="AD66" s="75">
        <f t="shared" si="29"/>
        <v>0</v>
      </c>
      <c r="AG66" s="74">
        <f t="shared" si="30"/>
        <v>0</v>
      </c>
      <c r="AK66" s="65">
        <f t="shared" si="31"/>
        <v>0</v>
      </c>
      <c r="AL66" s="65">
        <f t="shared" si="32"/>
        <v>0</v>
      </c>
      <c r="AM66" s="65">
        <f t="shared" si="33"/>
        <v>0</v>
      </c>
      <c r="AN66" s="73">
        <f t="shared" si="34"/>
        <v>0</v>
      </c>
      <c r="AO66" s="65" t="str">
        <f t="shared" si="35"/>
        <v>0.00</v>
      </c>
      <c r="AP66" s="65" t="str">
        <f t="shared" si="36"/>
        <v>0</v>
      </c>
      <c r="AQ66" s="71">
        <f t="shared" si="37"/>
        <v>0</v>
      </c>
      <c r="AR66" s="72">
        <f t="shared" si="38"/>
        <v>0</v>
      </c>
      <c r="AS66" s="71">
        <f t="shared" si="39"/>
        <v>0</v>
      </c>
      <c r="AT66" s="70">
        <f t="shared" si="40"/>
        <v>0</v>
      </c>
      <c r="AU66" s="70">
        <f t="shared" si="41"/>
        <v>0</v>
      </c>
      <c r="AV66" s="2"/>
      <c r="AW66" s="66">
        <f t="shared" si="42"/>
        <v>0</v>
      </c>
      <c r="AX66" s="68">
        <f>_xlfn.IFNA(INDEX(Table3941[I $ p/ft2],MATCH(R66,Table3941[Film Type],0)),1.75)</f>
        <v>1.75</v>
      </c>
      <c r="AY66" s="69">
        <f>VLOOKUP(Z66,Table1349[#All],2,FALSE)</f>
        <v>1</v>
      </c>
      <c r="AZ66" s="68">
        <f t="shared" si="43"/>
        <v>1.75</v>
      </c>
      <c r="BA66" s="65">
        <f t="shared" si="44"/>
        <v>0</v>
      </c>
      <c r="BB66" s="64">
        <f t="shared" si="45"/>
        <v>0</v>
      </c>
      <c r="BC66" s="67">
        <f t="shared" si="46"/>
        <v>0</v>
      </c>
      <c r="BD66" s="66">
        <f t="shared" si="47"/>
        <v>0</v>
      </c>
      <c r="BE66" s="64"/>
      <c r="BF66" s="66">
        <f t="shared" si="48"/>
        <v>0</v>
      </c>
      <c r="BG66" s="66">
        <f t="shared" si="49"/>
        <v>0</v>
      </c>
      <c r="BH66" s="65">
        <f>VLOOKUP(AA66,Table1551[#All],2,FALSE)</f>
        <v>1</v>
      </c>
      <c r="BI66" s="65">
        <f t="shared" si="50"/>
        <v>0</v>
      </c>
      <c r="BJ66" s="64" t="str">
        <f t="shared" si="51"/>
        <v>0</v>
      </c>
      <c r="CK66" s="86" t="s">
        <v>139</v>
      </c>
      <c r="CL66" s="2">
        <v>1.19</v>
      </c>
      <c r="CM66" s="2">
        <f t="shared" si="52"/>
        <v>1.3089999999999999</v>
      </c>
      <c r="CN66" s="10">
        <v>1.5</v>
      </c>
      <c r="CO66" s="84">
        <f t="shared" si="53"/>
        <v>0</v>
      </c>
    </row>
    <row r="67" spans="1:93" ht="11.1" hidden="1" customHeight="1" x14ac:dyDescent="0.45">
      <c r="A67" s="83"/>
      <c r="B67" s="266"/>
      <c r="C67" s="267"/>
      <c r="D67" s="267"/>
      <c r="E67" s="268"/>
      <c r="F67" s="64"/>
      <c r="G67" s="64"/>
      <c r="H67" s="82"/>
      <c r="I67" s="81"/>
      <c r="J67" s="64"/>
      <c r="K67" s="80"/>
      <c r="L67" s="79">
        <f t="shared" si="27"/>
        <v>0</v>
      </c>
      <c r="M67" s="64"/>
      <c r="N67" s="64"/>
      <c r="O67" s="64"/>
      <c r="P67" s="80"/>
      <c r="Q67" s="79">
        <f t="shared" si="28"/>
        <v>0</v>
      </c>
      <c r="R67" s="269"/>
      <c r="S67" s="270"/>
      <c r="T67" s="266"/>
      <c r="U67" s="267"/>
      <c r="V67" s="267"/>
      <c r="W67" s="268"/>
      <c r="X67" s="271" t="str">
        <f>IFERROR(INDEX(Table3941[],MATCH(R67,Table3941[Film Type],),3),"")</f>
        <v/>
      </c>
      <c r="Y67" s="271"/>
      <c r="Z67" s="78" t="s">
        <v>55</v>
      </c>
      <c r="AA67" s="78" t="s">
        <v>55</v>
      </c>
      <c r="AB67" s="77"/>
      <c r="AC67" s="76"/>
      <c r="AD67" s="75">
        <f t="shared" si="29"/>
        <v>0</v>
      </c>
      <c r="AG67" s="74">
        <f t="shared" si="30"/>
        <v>0</v>
      </c>
      <c r="AK67" s="65">
        <f t="shared" si="31"/>
        <v>0</v>
      </c>
      <c r="AL67" s="65">
        <f t="shared" si="32"/>
        <v>0</v>
      </c>
      <c r="AM67" s="65">
        <f t="shared" si="33"/>
        <v>0</v>
      </c>
      <c r="AN67" s="73">
        <f t="shared" si="34"/>
        <v>0</v>
      </c>
      <c r="AO67" s="65" t="str">
        <f t="shared" si="35"/>
        <v>0.00</v>
      </c>
      <c r="AP67" s="65" t="str">
        <f t="shared" si="36"/>
        <v>0</v>
      </c>
      <c r="AQ67" s="71">
        <f t="shared" si="37"/>
        <v>0</v>
      </c>
      <c r="AR67" s="72">
        <f t="shared" si="38"/>
        <v>0</v>
      </c>
      <c r="AS67" s="71">
        <f t="shared" si="39"/>
        <v>0</v>
      </c>
      <c r="AT67" s="70">
        <f t="shared" si="40"/>
        <v>0</v>
      </c>
      <c r="AU67" s="70">
        <f t="shared" si="41"/>
        <v>0</v>
      </c>
      <c r="AV67" s="2"/>
      <c r="AW67" s="66">
        <f t="shared" si="42"/>
        <v>0</v>
      </c>
      <c r="AX67" s="68">
        <f>_xlfn.IFNA(INDEX(Table3941[I $ p/ft2],MATCH(R67,Table3941[Film Type],0)),1.75)</f>
        <v>1.75</v>
      </c>
      <c r="AY67" s="69">
        <f>VLOOKUP(Z67,Table1349[#All],2,FALSE)</f>
        <v>1</v>
      </c>
      <c r="AZ67" s="68">
        <f t="shared" si="43"/>
        <v>1.75</v>
      </c>
      <c r="BA67" s="65">
        <f t="shared" si="44"/>
        <v>0</v>
      </c>
      <c r="BB67" s="64">
        <f t="shared" si="45"/>
        <v>0</v>
      </c>
      <c r="BC67" s="67">
        <f t="shared" si="46"/>
        <v>0</v>
      </c>
      <c r="BD67" s="66">
        <f t="shared" si="47"/>
        <v>0</v>
      </c>
      <c r="BE67" s="64"/>
      <c r="BF67" s="66">
        <f t="shared" si="48"/>
        <v>0</v>
      </c>
      <c r="BG67" s="66">
        <f t="shared" si="49"/>
        <v>0</v>
      </c>
      <c r="BH67" s="65">
        <f>VLOOKUP(AA67,Table1551[#All],2,FALSE)</f>
        <v>1</v>
      </c>
      <c r="BI67" s="65">
        <f t="shared" si="50"/>
        <v>0</v>
      </c>
      <c r="BJ67" s="64" t="str">
        <f t="shared" si="51"/>
        <v>0</v>
      </c>
      <c r="CK67" s="86" t="s">
        <v>138</v>
      </c>
      <c r="CL67" s="2">
        <v>1.25</v>
      </c>
      <c r="CM67" s="2">
        <f t="shared" si="52"/>
        <v>1.375</v>
      </c>
      <c r="CN67" s="10">
        <v>1.5</v>
      </c>
      <c r="CO67" s="84">
        <f t="shared" si="53"/>
        <v>0</v>
      </c>
    </row>
    <row r="68" spans="1:93" ht="11.1" hidden="1" customHeight="1" x14ac:dyDescent="0.45">
      <c r="A68" s="83"/>
      <c r="B68" s="266"/>
      <c r="C68" s="267"/>
      <c r="D68" s="267"/>
      <c r="E68" s="268"/>
      <c r="F68" s="64"/>
      <c r="G68" s="64"/>
      <c r="H68" s="82"/>
      <c r="I68" s="81"/>
      <c r="J68" s="64"/>
      <c r="K68" s="80"/>
      <c r="L68" s="79">
        <f t="shared" si="27"/>
        <v>0</v>
      </c>
      <c r="M68" s="64"/>
      <c r="N68" s="64"/>
      <c r="O68" s="64"/>
      <c r="P68" s="80"/>
      <c r="Q68" s="79">
        <f t="shared" si="28"/>
        <v>0</v>
      </c>
      <c r="R68" s="269"/>
      <c r="S68" s="270"/>
      <c r="T68" s="266"/>
      <c r="U68" s="267"/>
      <c r="V68" s="267"/>
      <c r="W68" s="268"/>
      <c r="X68" s="271" t="str">
        <f>IFERROR(INDEX(Table3941[],MATCH(R68,Table3941[Film Type],),3),"")</f>
        <v/>
      </c>
      <c r="Y68" s="271"/>
      <c r="Z68" s="78" t="s">
        <v>55</v>
      </c>
      <c r="AA68" s="78" t="s">
        <v>55</v>
      </c>
      <c r="AB68" s="77"/>
      <c r="AC68" s="76"/>
      <c r="AD68" s="75">
        <f t="shared" si="29"/>
        <v>0</v>
      </c>
      <c r="AG68" s="74">
        <f t="shared" si="30"/>
        <v>0</v>
      </c>
      <c r="AK68" s="65">
        <f t="shared" si="31"/>
        <v>0</v>
      </c>
      <c r="AL68" s="65">
        <f t="shared" si="32"/>
        <v>0</v>
      </c>
      <c r="AM68" s="65">
        <f t="shared" si="33"/>
        <v>0</v>
      </c>
      <c r="AN68" s="73">
        <f t="shared" si="34"/>
        <v>0</v>
      </c>
      <c r="AO68" s="65" t="str">
        <f t="shared" si="35"/>
        <v>0.00</v>
      </c>
      <c r="AP68" s="65" t="str">
        <f t="shared" si="36"/>
        <v>0</v>
      </c>
      <c r="AQ68" s="71">
        <f t="shared" si="37"/>
        <v>0</v>
      </c>
      <c r="AR68" s="72">
        <f t="shared" si="38"/>
        <v>0</v>
      </c>
      <c r="AS68" s="71">
        <f t="shared" si="39"/>
        <v>0</v>
      </c>
      <c r="AT68" s="70">
        <f t="shared" si="40"/>
        <v>0</v>
      </c>
      <c r="AU68" s="70">
        <f t="shared" si="41"/>
        <v>0</v>
      </c>
      <c r="AV68" s="2"/>
      <c r="AW68" s="66">
        <f t="shared" si="42"/>
        <v>0</v>
      </c>
      <c r="AX68" s="68">
        <f>_xlfn.IFNA(INDEX(Table3941[I $ p/ft2],MATCH(R68,Table3941[Film Type],0)),1.75)</f>
        <v>1.75</v>
      </c>
      <c r="AY68" s="69">
        <f>VLOOKUP(Z68,Table1349[#All],2,FALSE)</f>
        <v>1</v>
      </c>
      <c r="AZ68" s="68">
        <f t="shared" si="43"/>
        <v>1.75</v>
      </c>
      <c r="BA68" s="65">
        <f t="shared" si="44"/>
        <v>0</v>
      </c>
      <c r="BB68" s="64">
        <f t="shared" si="45"/>
        <v>0</v>
      </c>
      <c r="BC68" s="67">
        <f t="shared" si="46"/>
        <v>0</v>
      </c>
      <c r="BD68" s="66">
        <f t="shared" si="47"/>
        <v>0</v>
      </c>
      <c r="BE68" s="64"/>
      <c r="BF68" s="66">
        <f t="shared" si="48"/>
        <v>0</v>
      </c>
      <c r="BG68" s="66">
        <f t="shared" si="49"/>
        <v>0</v>
      </c>
      <c r="BH68" s="65">
        <f>VLOOKUP(AA68,Table1551[#All],2,FALSE)</f>
        <v>1</v>
      </c>
      <c r="BI68" s="65">
        <f t="shared" si="50"/>
        <v>0</v>
      </c>
      <c r="BJ68" s="64" t="str">
        <f t="shared" si="51"/>
        <v>0</v>
      </c>
      <c r="CK68" s="86" t="s">
        <v>137</v>
      </c>
      <c r="CL68" s="2">
        <v>1.24</v>
      </c>
      <c r="CM68" s="2">
        <f t="shared" si="52"/>
        <v>1.3640000000000001</v>
      </c>
      <c r="CN68" s="10">
        <v>1.5</v>
      </c>
      <c r="CO68" s="84">
        <f t="shared" si="53"/>
        <v>0</v>
      </c>
    </row>
    <row r="69" spans="1:93" ht="11.1" hidden="1" customHeight="1" x14ac:dyDescent="0.45">
      <c r="A69" s="83"/>
      <c r="B69" s="266"/>
      <c r="C69" s="267"/>
      <c r="D69" s="267"/>
      <c r="E69" s="268"/>
      <c r="F69" s="64"/>
      <c r="G69" s="64"/>
      <c r="H69" s="82"/>
      <c r="I69" s="81"/>
      <c r="J69" s="64"/>
      <c r="K69" s="80"/>
      <c r="L69" s="79">
        <f t="shared" si="27"/>
        <v>0</v>
      </c>
      <c r="M69" s="64"/>
      <c r="N69" s="64"/>
      <c r="O69" s="64"/>
      <c r="P69" s="80"/>
      <c r="Q69" s="79">
        <f t="shared" si="28"/>
        <v>0</v>
      </c>
      <c r="R69" s="269"/>
      <c r="S69" s="270"/>
      <c r="T69" s="266"/>
      <c r="U69" s="267"/>
      <c r="V69" s="267"/>
      <c r="W69" s="268"/>
      <c r="X69" s="271" t="str">
        <f>IFERROR(INDEX(Table3941[],MATCH(R69,Table3941[Film Type],),3),"")</f>
        <v/>
      </c>
      <c r="Y69" s="271"/>
      <c r="Z69" s="78" t="s">
        <v>55</v>
      </c>
      <c r="AA69" s="78" t="s">
        <v>55</v>
      </c>
      <c r="AB69" s="77"/>
      <c r="AC69" s="76"/>
      <c r="AD69" s="75">
        <f t="shared" si="29"/>
        <v>0</v>
      </c>
      <c r="AG69" s="74">
        <f t="shared" si="30"/>
        <v>0</v>
      </c>
      <c r="AK69" s="65">
        <f t="shared" si="31"/>
        <v>0</v>
      </c>
      <c r="AL69" s="65">
        <f t="shared" si="32"/>
        <v>0</v>
      </c>
      <c r="AM69" s="65">
        <f t="shared" si="33"/>
        <v>0</v>
      </c>
      <c r="AN69" s="73">
        <f t="shared" si="34"/>
        <v>0</v>
      </c>
      <c r="AO69" s="65" t="str">
        <f t="shared" si="35"/>
        <v>0.00</v>
      </c>
      <c r="AP69" s="65" t="str">
        <f t="shared" si="36"/>
        <v>0</v>
      </c>
      <c r="AQ69" s="71">
        <f t="shared" si="37"/>
        <v>0</v>
      </c>
      <c r="AR69" s="72">
        <f t="shared" si="38"/>
        <v>0</v>
      </c>
      <c r="AS69" s="71">
        <f t="shared" si="39"/>
        <v>0</v>
      </c>
      <c r="AT69" s="70">
        <f t="shared" si="40"/>
        <v>0</v>
      </c>
      <c r="AU69" s="70">
        <f t="shared" si="41"/>
        <v>0</v>
      </c>
      <c r="AV69" s="2"/>
      <c r="AW69" s="66">
        <f t="shared" si="42"/>
        <v>0</v>
      </c>
      <c r="AX69" s="68">
        <f>_xlfn.IFNA(INDEX(Table3941[I $ p/ft2],MATCH(R69,Table3941[Film Type],0)),1.75)</f>
        <v>1.75</v>
      </c>
      <c r="AY69" s="69">
        <f>VLOOKUP(Z69,Table1349[#All],2,FALSE)</f>
        <v>1</v>
      </c>
      <c r="AZ69" s="68">
        <f t="shared" si="43"/>
        <v>1.75</v>
      </c>
      <c r="BA69" s="65">
        <f t="shared" si="44"/>
        <v>0</v>
      </c>
      <c r="BB69" s="64">
        <f t="shared" si="45"/>
        <v>0</v>
      </c>
      <c r="BC69" s="67">
        <f t="shared" si="46"/>
        <v>0</v>
      </c>
      <c r="BD69" s="66">
        <f t="shared" si="47"/>
        <v>0</v>
      </c>
      <c r="BE69" s="64"/>
      <c r="BF69" s="66">
        <f t="shared" si="48"/>
        <v>0</v>
      </c>
      <c r="BG69" s="66">
        <f t="shared" si="49"/>
        <v>0</v>
      </c>
      <c r="BH69" s="65">
        <f>VLOOKUP(AA69,Table1551[#All],2,FALSE)</f>
        <v>1</v>
      </c>
      <c r="BI69" s="65">
        <f t="shared" si="50"/>
        <v>0</v>
      </c>
      <c r="BJ69" s="64" t="str">
        <f t="shared" si="51"/>
        <v>0</v>
      </c>
      <c r="CK69" s="86" t="s">
        <v>136</v>
      </c>
      <c r="CL69" s="2">
        <v>1.24</v>
      </c>
      <c r="CM69" s="2">
        <f t="shared" si="52"/>
        <v>1.3640000000000001</v>
      </c>
      <c r="CN69" s="10">
        <v>1.5</v>
      </c>
      <c r="CO69" s="84">
        <f t="shared" si="53"/>
        <v>0</v>
      </c>
    </row>
    <row r="70" spans="1:93" ht="11.1" hidden="1" customHeight="1" x14ac:dyDescent="0.45">
      <c r="A70" s="83"/>
      <c r="B70" s="266"/>
      <c r="C70" s="267"/>
      <c r="D70" s="267"/>
      <c r="E70" s="268"/>
      <c r="F70" s="64"/>
      <c r="G70" s="64"/>
      <c r="H70" s="82"/>
      <c r="I70" s="81"/>
      <c r="J70" s="64"/>
      <c r="K70" s="80"/>
      <c r="L70" s="79">
        <f t="shared" si="27"/>
        <v>0</v>
      </c>
      <c r="M70" s="64"/>
      <c r="N70" s="64"/>
      <c r="O70" s="64"/>
      <c r="P70" s="80"/>
      <c r="Q70" s="79">
        <f t="shared" si="28"/>
        <v>0</v>
      </c>
      <c r="R70" s="269"/>
      <c r="S70" s="270"/>
      <c r="T70" s="266"/>
      <c r="U70" s="267"/>
      <c r="V70" s="267"/>
      <c r="W70" s="268"/>
      <c r="X70" s="271" t="str">
        <f>IFERROR(INDEX(Table3941[],MATCH(R70,Table3941[Film Type],),3),"")</f>
        <v/>
      </c>
      <c r="Y70" s="271"/>
      <c r="Z70" s="78" t="s">
        <v>55</v>
      </c>
      <c r="AA70" s="78" t="s">
        <v>55</v>
      </c>
      <c r="AB70" s="77"/>
      <c r="AC70" s="76"/>
      <c r="AD70" s="75">
        <f t="shared" si="29"/>
        <v>0</v>
      </c>
      <c r="AG70" s="74">
        <f t="shared" si="30"/>
        <v>0</v>
      </c>
      <c r="AK70" s="65">
        <f t="shared" si="31"/>
        <v>0</v>
      </c>
      <c r="AL70" s="65">
        <f t="shared" si="32"/>
        <v>0</v>
      </c>
      <c r="AM70" s="65">
        <f t="shared" si="33"/>
        <v>0</v>
      </c>
      <c r="AN70" s="73">
        <f t="shared" si="34"/>
        <v>0</v>
      </c>
      <c r="AO70" s="65" t="str">
        <f t="shared" si="35"/>
        <v>0.00</v>
      </c>
      <c r="AP70" s="65" t="str">
        <f t="shared" si="36"/>
        <v>0</v>
      </c>
      <c r="AQ70" s="71">
        <f t="shared" si="37"/>
        <v>0</v>
      </c>
      <c r="AR70" s="72">
        <f t="shared" si="38"/>
        <v>0</v>
      </c>
      <c r="AS70" s="71">
        <f t="shared" si="39"/>
        <v>0</v>
      </c>
      <c r="AT70" s="70">
        <f t="shared" si="40"/>
        <v>0</v>
      </c>
      <c r="AU70" s="70">
        <f t="shared" si="41"/>
        <v>0</v>
      </c>
      <c r="AV70" s="2"/>
      <c r="AW70" s="66">
        <f t="shared" si="42"/>
        <v>0</v>
      </c>
      <c r="AX70" s="68">
        <f>_xlfn.IFNA(INDEX(Table3941[I $ p/ft2],MATCH(R70,Table3941[Film Type],0)),1.75)</f>
        <v>1.75</v>
      </c>
      <c r="AY70" s="69">
        <f>VLOOKUP(Z70,Table1349[#All],2,FALSE)</f>
        <v>1</v>
      </c>
      <c r="AZ70" s="68">
        <f t="shared" si="43"/>
        <v>1.75</v>
      </c>
      <c r="BA70" s="65">
        <f t="shared" si="44"/>
        <v>0</v>
      </c>
      <c r="BB70" s="64">
        <f t="shared" si="45"/>
        <v>0</v>
      </c>
      <c r="BC70" s="67">
        <f t="shared" si="46"/>
        <v>0</v>
      </c>
      <c r="BD70" s="66">
        <f t="shared" si="47"/>
        <v>0</v>
      </c>
      <c r="BE70" s="64"/>
      <c r="BF70" s="66">
        <f t="shared" si="48"/>
        <v>0</v>
      </c>
      <c r="BG70" s="66">
        <f t="shared" si="49"/>
        <v>0</v>
      </c>
      <c r="BH70" s="65">
        <f>VLOOKUP(AA70,Table1551[#All],2,FALSE)</f>
        <v>1</v>
      </c>
      <c r="BI70" s="65">
        <f t="shared" si="50"/>
        <v>0</v>
      </c>
      <c r="BJ70" s="64" t="str">
        <f t="shared" si="51"/>
        <v>0</v>
      </c>
      <c r="CK70" s="86" t="s">
        <v>135</v>
      </c>
      <c r="CL70" s="2">
        <v>1.24</v>
      </c>
      <c r="CM70" s="2">
        <f t="shared" si="52"/>
        <v>1.3640000000000001</v>
      </c>
      <c r="CN70" s="10">
        <v>1.5</v>
      </c>
      <c r="CO70" s="84">
        <f t="shared" si="53"/>
        <v>0</v>
      </c>
    </row>
    <row r="71" spans="1:93" ht="11.1" hidden="1" customHeight="1" x14ac:dyDescent="0.45">
      <c r="A71" s="83"/>
      <c r="B71" s="266"/>
      <c r="C71" s="267"/>
      <c r="D71" s="267"/>
      <c r="E71" s="268"/>
      <c r="F71" s="64"/>
      <c r="G71" s="64"/>
      <c r="H71" s="82"/>
      <c r="I71" s="81"/>
      <c r="J71" s="64"/>
      <c r="K71" s="80"/>
      <c r="L71" s="79">
        <f t="shared" ref="L71:L102" si="54">(I71*J71*K71)/144</f>
        <v>0</v>
      </c>
      <c r="M71" s="64"/>
      <c r="N71" s="64"/>
      <c r="O71" s="64"/>
      <c r="P71" s="80"/>
      <c r="Q71" s="79">
        <f t="shared" ref="Q71:Q102" si="55">IF(P71&lt;&gt;"",M71*O71*P71/144,L71*(1+$Q$5))</f>
        <v>0</v>
      </c>
      <c r="R71" s="269"/>
      <c r="S71" s="270"/>
      <c r="T71" s="266"/>
      <c r="U71" s="267"/>
      <c r="V71" s="267"/>
      <c r="W71" s="268"/>
      <c r="X71" s="271" t="str">
        <f>IFERROR(INDEX(Table3941[],MATCH(R71,Table3941[Film Type],),3),"")</f>
        <v/>
      </c>
      <c r="Y71" s="271"/>
      <c r="Z71" s="78" t="s">
        <v>55</v>
      </c>
      <c r="AA71" s="78" t="s">
        <v>55</v>
      </c>
      <c r="AB71" s="77"/>
      <c r="AC71" s="76"/>
      <c r="AD71" s="75">
        <f t="shared" ref="AD71:AD102" si="56">SUM(AT71+AU71)</f>
        <v>0</v>
      </c>
      <c r="AG71" s="74">
        <f t="shared" ref="AG71:AG102" si="57">(((I71*2)+(J71*2))*K71)/12</f>
        <v>0</v>
      </c>
      <c r="AK71" s="65">
        <f t="shared" ref="AK71:AK102" si="58">IFERROR((Q71*X71),0)</f>
        <v>0</v>
      </c>
      <c r="AL71" s="65">
        <f t="shared" ref="AL71:AL102" si="59">IFERROR((AW71/$B$158)*$X$4,0)</f>
        <v>0</v>
      </c>
      <c r="AM71" s="65">
        <f t="shared" ref="AM71:AM102" si="60">BA71+BI71+BC71</f>
        <v>0</v>
      </c>
      <c r="AN71" s="73">
        <f t="shared" ref="AN71:AN102" si="61">IFERROR((AW71/$B$158)*(($AB$4*$AI$7)+($AC$2*$AI$7)),0)</f>
        <v>0</v>
      </c>
      <c r="AO71" s="65" t="str">
        <f t="shared" ref="AO71:AO102" si="62">IF(AND($X$2="Yes", $Z$2="No"), ((AM71+AN71)*0.25),"0.00")</f>
        <v>0.00</v>
      </c>
      <c r="AP71" s="65" t="str">
        <f t="shared" ref="AP71:AP102" si="63">IF($Z$2="No","0", (((AN71/$AI$7)+BD71+BG71)*$AI$13)-(AN71+BA71+BC71+BI71))</f>
        <v>0</v>
      </c>
      <c r="AQ71" s="71">
        <f t="shared" ref="AQ71:AQ102" si="64">(BD71+BG71)*$AI$10</f>
        <v>0</v>
      </c>
      <c r="AR71" s="72">
        <f t="shared" ref="AR71:AR102" si="65">AD71*$AB$163</f>
        <v>0</v>
      </c>
      <c r="AS71" s="71">
        <f t="shared" ref="AS71:AS102" si="66">AD71-AT71-AR71-AQ71</f>
        <v>0</v>
      </c>
      <c r="AT71" s="70">
        <f t="shared" ref="AT71:AT102" si="67">SUM(AK71+AL71+AM71+AN71+AO71+AP71)</f>
        <v>0</v>
      </c>
      <c r="AU71" s="70">
        <f t="shared" ref="AU71:AU102" si="68">AT71*$AB$167</f>
        <v>0</v>
      </c>
      <c r="AV71" s="2"/>
      <c r="AW71" s="66">
        <f t="shared" ref="AW71:AW102" si="69">IF(R71="removal only",0,((I71*J71*K71)/144))</f>
        <v>0</v>
      </c>
      <c r="AX71" s="68">
        <f>_xlfn.IFNA(INDEX(Table3941[I $ p/ft2],MATCH(R71,Table3941[Film Type],0)),1.75)</f>
        <v>1.75</v>
      </c>
      <c r="AY71" s="69">
        <f>VLOOKUP(Z71,Table1349[#All],2,FALSE)</f>
        <v>1</v>
      </c>
      <c r="AZ71" s="68">
        <f t="shared" ref="AZ71:AZ102" si="70">AX71*AY71</f>
        <v>1.75</v>
      </c>
      <c r="BA71" s="65">
        <f t="shared" ref="BA71:BA102" si="71">IF(R71="removal only",0,(AW71*AZ71))</f>
        <v>0</v>
      </c>
      <c r="BB71" s="64">
        <f t="shared" ref="BB71:BB102" si="72">IF(R71="removal only",0,K71)</f>
        <v>0</v>
      </c>
      <c r="BC71" s="67">
        <f t="shared" ref="BC71:BC102" si="73">(AB71/60)*$AI$7</f>
        <v>0</v>
      </c>
      <c r="BD71" s="66">
        <f t="shared" ref="BD71:BD102" si="74">IF(R71="removal only",0,(BA71+BC71)/$AI$7)</f>
        <v>0</v>
      </c>
      <c r="BE71" s="64"/>
      <c r="BF71" s="66">
        <f t="shared" ref="BF71:BF102" si="75">IF(H71="Yes",((I71*J71*K71)/144),0)</f>
        <v>0</v>
      </c>
      <c r="BG71" s="66">
        <f t="shared" ref="BG71:BG102" si="76">IF(BF71="0",0,BI71/$AI$7)</f>
        <v>0</v>
      </c>
      <c r="BH71" s="65">
        <f>VLOOKUP(AA71,Table1551[#All],2,FALSE)</f>
        <v>1</v>
      </c>
      <c r="BI71" s="65">
        <f t="shared" ref="BI71:BI102" si="77">IF(H71="Yes",BF71*BH71,0)</f>
        <v>0</v>
      </c>
      <c r="BJ71" s="64" t="str">
        <f t="shared" ref="BJ71:BJ102" si="78">IF(H71="Yes",K71,"0")</f>
        <v>0</v>
      </c>
      <c r="CK71" s="86" t="s">
        <v>134</v>
      </c>
      <c r="CL71" s="2">
        <v>1.24</v>
      </c>
      <c r="CM71" s="2">
        <f t="shared" ref="CM71:CM102" si="79">CL71*1.1</f>
        <v>1.3640000000000001</v>
      </c>
      <c r="CN71" s="10">
        <v>1.5</v>
      </c>
      <c r="CO71" s="84">
        <f t="shared" ref="CO71:CO102" si="80">ROUNDUP(MAX((P71*O71)/12)*(K71*J71)/12,0)</f>
        <v>0</v>
      </c>
    </row>
    <row r="72" spans="1:93" ht="11.1" hidden="1" customHeight="1" x14ac:dyDescent="0.45">
      <c r="A72" s="83"/>
      <c r="B72" s="266"/>
      <c r="C72" s="267"/>
      <c r="D72" s="267"/>
      <c r="E72" s="268"/>
      <c r="F72" s="64"/>
      <c r="G72" s="64"/>
      <c r="H72" s="82"/>
      <c r="I72" s="81"/>
      <c r="J72" s="64"/>
      <c r="K72" s="80"/>
      <c r="L72" s="79">
        <f t="shared" si="54"/>
        <v>0</v>
      </c>
      <c r="M72" s="64"/>
      <c r="N72" s="64"/>
      <c r="O72" s="64"/>
      <c r="P72" s="80"/>
      <c r="Q72" s="79">
        <f t="shared" si="55"/>
        <v>0</v>
      </c>
      <c r="R72" s="269"/>
      <c r="S72" s="270"/>
      <c r="T72" s="266"/>
      <c r="U72" s="267"/>
      <c r="V72" s="267"/>
      <c r="W72" s="268"/>
      <c r="X72" s="271" t="str">
        <f>IFERROR(INDEX(Table3941[],MATCH(R72,Table3941[Film Type],),3),"")</f>
        <v/>
      </c>
      <c r="Y72" s="271"/>
      <c r="Z72" s="78" t="s">
        <v>55</v>
      </c>
      <c r="AA72" s="78" t="s">
        <v>55</v>
      </c>
      <c r="AB72" s="77"/>
      <c r="AC72" s="76"/>
      <c r="AD72" s="75">
        <f t="shared" si="56"/>
        <v>0</v>
      </c>
      <c r="AG72" s="74">
        <f t="shared" si="57"/>
        <v>0</v>
      </c>
      <c r="AK72" s="65">
        <f t="shared" si="58"/>
        <v>0</v>
      </c>
      <c r="AL72" s="65">
        <f t="shared" si="59"/>
        <v>0</v>
      </c>
      <c r="AM72" s="65">
        <f t="shared" si="60"/>
        <v>0</v>
      </c>
      <c r="AN72" s="73">
        <f t="shared" si="61"/>
        <v>0</v>
      </c>
      <c r="AO72" s="65" t="str">
        <f t="shared" si="62"/>
        <v>0.00</v>
      </c>
      <c r="AP72" s="65" t="str">
        <f t="shared" si="63"/>
        <v>0</v>
      </c>
      <c r="AQ72" s="71">
        <f t="shared" si="64"/>
        <v>0</v>
      </c>
      <c r="AR72" s="72">
        <f t="shared" si="65"/>
        <v>0</v>
      </c>
      <c r="AS72" s="71">
        <f t="shared" si="66"/>
        <v>0</v>
      </c>
      <c r="AT72" s="70">
        <f t="shared" si="67"/>
        <v>0</v>
      </c>
      <c r="AU72" s="70">
        <f t="shared" si="68"/>
        <v>0</v>
      </c>
      <c r="AV72" s="2"/>
      <c r="AW72" s="66">
        <f t="shared" si="69"/>
        <v>0</v>
      </c>
      <c r="AX72" s="68">
        <f>_xlfn.IFNA(INDEX(Table3941[I $ p/ft2],MATCH(R72,Table3941[Film Type],0)),1.75)</f>
        <v>1.75</v>
      </c>
      <c r="AY72" s="69">
        <f>VLOOKUP(Z72,Table1349[#All],2,FALSE)</f>
        <v>1</v>
      </c>
      <c r="AZ72" s="68">
        <f t="shared" si="70"/>
        <v>1.75</v>
      </c>
      <c r="BA72" s="65">
        <f t="shared" si="71"/>
        <v>0</v>
      </c>
      <c r="BB72" s="64">
        <f t="shared" si="72"/>
        <v>0</v>
      </c>
      <c r="BC72" s="67">
        <f t="shared" si="73"/>
        <v>0</v>
      </c>
      <c r="BD72" s="66">
        <f t="shared" si="74"/>
        <v>0</v>
      </c>
      <c r="BE72" s="64"/>
      <c r="BF72" s="66">
        <f t="shared" si="75"/>
        <v>0</v>
      </c>
      <c r="BG72" s="66">
        <f t="shared" si="76"/>
        <v>0</v>
      </c>
      <c r="BH72" s="65">
        <f>VLOOKUP(AA72,Table1551[#All],2,FALSE)</f>
        <v>1</v>
      </c>
      <c r="BI72" s="65">
        <f t="shared" si="77"/>
        <v>0</v>
      </c>
      <c r="BJ72" s="64" t="str">
        <f t="shared" si="78"/>
        <v>0</v>
      </c>
      <c r="CK72" s="86" t="s">
        <v>133</v>
      </c>
      <c r="CL72" s="2">
        <v>0.98</v>
      </c>
      <c r="CM72" s="2">
        <f t="shared" si="79"/>
        <v>1.0780000000000001</v>
      </c>
      <c r="CN72" s="10">
        <v>1.5</v>
      </c>
      <c r="CO72" s="84">
        <f t="shared" si="80"/>
        <v>0</v>
      </c>
    </row>
    <row r="73" spans="1:93" ht="11.1" hidden="1" customHeight="1" x14ac:dyDescent="0.45">
      <c r="A73" s="83"/>
      <c r="B73" s="266"/>
      <c r="C73" s="267"/>
      <c r="D73" s="267"/>
      <c r="E73" s="268"/>
      <c r="F73" s="64"/>
      <c r="G73" s="64"/>
      <c r="H73" s="82"/>
      <c r="I73" s="81"/>
      <c r="J73" s="64"/>
      <c r="K73" s="80"/>
      <c r="L73" s="79">
        <f t="shared" si="54"/>
        <v>0</v>
      </c>
      <c r="M73" s="64"/>
      <c r="N73" s="64"/>
      <c r="O73" s="64"/>
      <c r="P73" s="80"/>
      <c r="Q73" s="79">
        <f t="shared" si="55"/>
        <v>0</v>
      </c>
      <c r="R73" s="269"/>
      <c r="S73" s="270"/>
      <c r="T73" s="266"/>
      <c r="U73" s="267"/>
      <c r="V73" s="267"/>
      <c r="W73" s="268"/>
      <c r="X73" s="271" t="str">
        <f>IFERROR(INDEX(Table3941[],MATCH(R73,Table3941[Film Type],),3),"")</f>
        <v/>
      </c>
      <c r="Y73" s="271"/>
      <c r="Z73" s="78" t="s">
        <v>55</v>
      </c>
      <c r="AA73" s="78" t="s">
        <v>55</v>
      </c>
      <c r="AB73" s="77"/>
      <c r="AC73" s="76"/>
      <c r="AD73" s="75">
        <f t="shared" si="56"/>
        <v>0</v>
      </c>
      <c r="AG73" s="74">
        <f t="shared" si="57"/>
        <v>0</v>
      </c>
      <c r="AK73" s="65">
        <f t="shared" si="58"/>
        <v>0</v>
      </c>
      <c r="AL73" s="65">
        <f t="shared" si="59"/>
        <v>0</v>
      </c>
      <c r="AM73" s="65">
        <f t="shared" si="60"/>
        <v>0</v>
      </c>
      <c r="AN73" s="73">
        <f t="shared" si="61"/>
        <v>0</v>
      </c>
      <c r="AO73" s="65" t="str">
        <f t="shared" si="62"/>
        <v>0.00</v>
      </c>
      <c r="AP73" s="65" t="str">
        <f t="shared" si="63"/>
        <v>0</v>
      </c>
      <c r="AQ73" s="71">
        <f t="shared" si="64"/>
        <v>0</v>
      </c>
      <c r="AR73" s="72">
        <f t="shared" si="65"/>
        <v>0</v>
      </c>
      <c r="AS73" s="71">
        <f t="shared" si="66"/>
        <v>0</v>
      </c>
      <c r="AT73" s="70">
        <f t="shared" si="67"/>
        <v>0</v>
      </c>
      <c r="AU73" s="70">
        <f t="shared" si="68"/>
        <v>0</v>
      </c>
      <c r="AV73" s="2"/>
      <c r="AW73" s="66">
        <f t="shared" si="69"/>
        <v>0</v>
      </c>
      <c r="AX73" s="68">
        <f>_xlfn.IFNA(INDEX(Table3941[I $ p/ft2],MATCH(R73,Table3941[Film Type],0)),1.75)</f>
        <v>1.75</v>
      </c>
      <c r="AY73" s="69">
        <f>VLOOKUP(Z73,Table1349[#All],2,FALSE)</f>
        <v>1</v>
      </c>
      <c r="AZ73" s="68">
        <f t="shared" si="70"/>
        <v>1.75</v>
      </c>
      <c r="BA73" s="65">
        <f t="shared" si="71"/>
        <v>0</v>
      </c>
      <c r="BB73" s="64">
        <f t="shared" si="72"/>
        <v>0</v>
      </c>
      <c r="BC73" s="67">
        <f t="shared" si="73"/>
        <v>0</v>
      </c>
      <c r="BD73" s="66">
        <f t="shared" si="74"/>
        <v>0</v>
      </c>
      <c r="BE73" s="64"/>
      <c r="BF73" s="66">
        <f t="shared" si="75"/>
        <v>0</v>
      </c>
      <c r="BG73" s="66">
        <f t="shared" si="76"/>
        <v>0</v>
      </c>
      <c r="BH73" s="65">
        <f>VLOOKUP(AA73,Table1551[#All],2,FALSE)</f>
        <v>1</v>
      </c>
      <c r="BI73" s="65">
        <f t="shared" si="77"/>
        <v>0</v>
      </c>
      <c r="BJ73" s="64" t="str">
        <f t="shared" si="78"/>
        <v>0</v>
      </c>
      <c r="CK73" s="86" t="s">
        <v>132</v>
      </c>
      <c r="CL73" s="2">
        <v>0.98</v>
      </c>
      <c r="CM73" s="2">
        <f t="shared" si="79"/>
        <v>1.0780000000000001</v>
      </c>
      <c r="CN73" s="10">
        <v>1.5</v>
      </c>
      <c r="CO73" s="84">
        <f t="shared" si="80"/>
        <v>0</v>
      </c>
    </row>
    <row r="74" spans="1:93" ht="11.1" hidden="1" customHeight="1" x14ac:dyDescent="0.45">
      <c r="A74" s="83"/>
      <c r="B74" s="266"/>
      <c r="C74" s="267"/>
      <c r="D74" s="267"/>
      <c r="E74" s="268"/>
      <c r="F74" s="64"/>
      <c r="G74" s="64"/>
      <c r="H74" s="82"/>
      <c r="I74" s="81"/>
      <c r="J74" s="64"/>
      <c r="K74" s="80"/>
      <c r="L74" s="79">
        <f t="shared" si="54"/>
        <v>0</v>
      </c>
      <c r="M74" s="64"/>
      <c r="N74" s="64"/>
      <c r="O74" s="64"/>
      <c r="P74" s="80"/>
      <c r="Q74" s="79">
        <f t="shared" si="55"/>
        <v>0</v>
      </c>
      <c r="R74" s="269"/>
      <c r="S74" s="270"/>
      <c r="T74" s="266"/>
      <c r="U74" s="267"/>
      <c r="V74" s="267"/>
      <c r="W74" s="268"/>
      <c r="X74" s="271" t="str">
        <f>IFERROR(INDEX(Table3941[],MATCH(R74,Table3941[Film Type],),3),"")</f>
        <v/>
      </c>
      <c r="Y74" s="271"/>
      <c r="Z74" s="78" t="s">
        <v>55</v>
      </c>
      <c r="AA74" s="78" t="s">
        <v>55</v>
      </c>
      <c r="AB74" s="77"/>
      <c r="AC74" s="76"/>
      <c r="AD74" s="75">
        <f t="shared" si="56"/>
        <v>0</v>
      </c>
      <c r="AG74" s="74">
        <f t="shared" si="57"/>
        <v>0</v>
      </c>
      <c r="AK74" s="65">
        <f t="shared" si="58"/>
        <v>0</v>
      </c>
      <c r="AL74" s="65">
        <f t="shared" si="59"/>
        <v>0</v>
      </c>
      <c r="AM74" s="65">
        <f t="shared" si="60"/>
        <v>0</v>
      </c>
      <c r="AN74" s="73">
        <f t="shared" si="61"/>
        <v>0</v>
      </c>
      <c r="AO74" s="65" t="str">
        <f t="shared" si="62"/>
        <v>0.00</v>
      </c>
      <c r="AP74" s="65" t="str">
        <f t="shared" si="63"/>
        <v>0</v>
      </c>
      <c r="AQ74" s="71">
        <f t="shared" si="64"/>
        <v>0</v>
      </c>
      <c r="AR74" s="72">
        <f t="shared" si="65"/>
        <v>0</v>
      </c>
      <c r="AS74" s="71">
        <f t="shared" si="66"/>
        <v>0</v>
      </c>
      <c r="AT74" s="70">
        <f t="shared" si="67"/>
        <v>0</v>
      </c>
      <c r="AU74" s="70">
        <f t="shared" si="68"/>
        <v>0</v>
      </c>
      <c r="AV74" s="2"/>
      <c r="AW74" s="66">
        <f t="shared" si="69"/>
        <v>0</v>
      </c>
      <c r="AX74" s="68">
        <f>_xlfn.IFNA(INDEX(Table3941[I $ p/ft2],MATCH(R74,Table3941[Film Type],0)),1.75)</f>
        <v>1.75</v>
      </c>
      <c r="AY74" s="69">
        <f>VLOOKUP(Z74,Table1349[#All],2,FALSE)</f>
        <v>1</v>
      </c>
      <c r="AZ74" s="68">
        <f t="shared" si="70"/>
        <v>1.75</v>
      </c>
      <c r="BA74" s="65">
        <f t="shared" si="71"/>
        <v>0</v>
      </c>
      <c r="BB74" s="64">
        <f t="shared" si="72"/>
        <v>0</v>
      </c>
      <c r="BC74" s="67">
        <f t="shared" si="73"/>
        <v>0</v>
      </c>
      <c r="BD74" s="66">
        <f t="shared" si="74"/>
        <v>0</v>
      </c>
      <c r="BE74" s="64"/>
      <c r="BF74" s="66">
        <f t="shared" si="75"/>
        <v>0</v>
      </c>
      <c r="BG74" s="66">
        <f t="shared" si="76"/>
        <v>0</v>
      </c>
      <c r="BH74" s="65">
        <f>VLOOKUP(AA74,Table1551[#All],2,FALSE)</f>
        <v>1</v>
      </c>
      <c r="BI74" s="65">
        <f t="shared" si="77"/>
        <v>0</v>
      </c>
      <c r="BJ74" s="64" t="str">
        <f t="shared" si="78"/>
        <v>0</v>
      </c>
      <c r="CK74" s="86" t="s">
        <v>131</v>
      </c>
      <c r="CL74" s="2">
        <v>1.41</v>
      </c>
      <c r="CM74" s="2">
        <f t="shared" si="79"/>
        <v>1.5509999999999999</v>
      </c>
      <c r="CN74" s="10">
        <v>1.5</v>
      </c>
      <c r="CO74" s="84">
        <f t="shared" si="80"/>
        <v>0</v>
      </c>
    </row>
    <row r="75" spans="1:93" ht="11.1" hidden="1" customHeight="1" x14ac:dyDescent="0.45">
      <c r="A75" s="83"/>
      <c r="B75" s="266"/>
      <c r="C75" s="267"/>
      <c r="D75" s="267"/>
      <c r="E75" s="268"/>
      <c r="F75" s="64"/>
      <c r="G75" s="64"/>
      <c r="H75" s="82"/>
      <c r="I75" s="81"/>
      <c r="J75" s="64"/>
      <c r="K75" s="80"/>
      <c r="L75" s="79">
        <f t="shared" si="54"/>
        <v>0</v>
      </c>
      <c r="M75" s="64"/>
      <c r="N75" s="64"/>
      <c r="O75" s="64"/>
      <c r="P75" s="80"/>
      <c r="Q75" s="79">
        <f t="shared" si="55"/>
        <v>0</v>
      </c>
      <c r="R75" s="269"/>
      <c r="S75" s="270"/>
      <c r="T75" s="266"/>
      <c r="U75" s="267"/>
      <c r="V75" s="267"/>
      <c r="W75" s="268"/>
      <c r="X75" s="271" t="str">
        <f>IFERROR(INDEX(Table3941[],MATCH(R75,Table3941[Film Type],),3),"")</f>
        <v/>
      </c>
      <c r="Y75" s="271"/>
      <c r="Z75" s="78" t="s">
        <v>55</v>
      </c>
      <c r="AA75" s="78" t="s">
        <v>55</v>
      </c>
      <c r="AB75" s="77"/>
      <c r="AC75" s="76"/>
      <c r="AD75" s="75">
        <f t="shared" si="56"/>
        <v>0</v>
      </c>
      <c r="AG75" s="74">
        <f t="shared" si="57"/>
        <v>0</v>
      </c>
      <c r="AK75" s="65">
        <f t="shared" si="58"/>
        <v>0</v>
      </c>
      <c r="AL75" s="65">
        <f t="shared" si="59"/>
        <v>0</v>
      </c>
      <c r="AM75" s="65">
        <f t="shared" si="60"/>
        <v>0</v>
      </c>
      <c r="AN75" s="73">
        <f t="shared" si="61"/>
        <v>0</v>
      </c>
      <c r="AO75" s="65" t="str">
        <f t="shared" si="62"/>
        <v>0.00</v>
      </c>
      <c r="AP75" s="65" t="str">
        <f t="shared" si="63"/>
        <v>0</v>
      </c>
      <c r="AQ75" s="71">
        <f t="shared" si="64"/>
        <v>0</v>
      </c>
      <c r="AR75" s="72">
        <f t="shared" si="65"/>
        <v>0</v>
      </c>
      <c r="AS75" s="71">
        <f t="shared" si="66"/>
        <v>0</v>
      </c>
      <c r="AT75" s="70">
        <f t="shared" si="67"/>
        <v>0</v>
      </c>
      <c r="AU75" s="70">
        <f t="shared" si="68"/>
        <v>0</v>
      </c>
      <c r="AV75" s="2"/>
      <c r="AW75" s="66">
        <f t="shared" si="69"/>
        <v>0</v>
      </c>
      <c r="AX75" s="68">
        <f>_xlfn.IFNA(INDEX(Table3941[I $ p/ft2],MATCH(R75,Table3941[Film Type],0)),1.75)</f>
        <v>1.75</v>
      </c>
      <c r="AY75" s="69">
        <f>VLOOKUP(Z75,Table1349[#All],2,FALSE)</f>
        <v>1</v>
      </c>
      <c r="AZ75" s="68">
        <f t="shared" si="70"/>
        <v>1.75</v>
      </c>
      <c r="BA75" s="65">
        <f t="shared" si="71"/>
        <v>0</v>
      </c>
      <c r="BB75" s="64">
        <f t="shared" si="72"/>
        <v>0</v>
      </c>
      <c r="BC75" s="67">
        <f t="shared" si="73"/>
        <v>0</v>
      </c>
      <c r="BD75" s="66">
        <f t="shared" si="74"/>
        <v>0</v>
      </c>
      <c r="BE75" s="64"/>
      <c r="BF75" s="66">
        <f t="shared" si="75"/>
        <v>0</v>
      </c>
      <c r="BG75" s="66">
        <f t="shared" si="76"/>
        <v>0</v>
      </c>
      <c r="BH75" s="65">
        <f>VLOOKUP(AA75,Table1551[#All],2,FALSE)</f>
        <v>1</v>
      </c>
      <c r="BI75" s="65">
        <f t="shared" si="77"/>
        <v>0</v>
      </c>
      <c r="BJ75" s="64" t="str">
        <f t="shared" si="78"/>
        <v>0</v>
      </c>
      <c r="CK75" s="86" t="s">
        <v>130</v>
      </c>
      <c r="CL75" s="2">
        <v>1.41</v>
      </c>
      <c r="CM75" s="2">
        <f t="shared" si="79"/>
        <v>1.5509999999999999</v>
      </c>
      <c r="CN75" s="10">
        <v>1.5</v>
      </c>
      <c r="CO75" s="84">
        <f t="shared" si="80"/>
        <v>0</v>
      </c>
    </row>
    <row r="76" spans="1:93" ht="11.1" hidden="1" customHeight="1" x14ac:dyDescent="0.45">
      <c r="A76" s="83"/>
      <c r="B76" s="266"/>
      <c r="C76" s="267"/>
      <c r="D76" s="267"/>
      <c r="E76" s="268"/>
      <c r="F76" s="64"/>
      <c r="G76" s="64"/>
      <c r="H76" s="82"/>
      <c r="I76" s="81"/>
      <c r="J76" s="64"/>
      <c r="K76" s="80"/>
      <c r="L76" s="79">
        <f t="shared" si="54"/>
        <v>0</v>
      </c>
      <c r="M76" s="64"/>
      <c r="N76" s="64"/>
      <c r="O76" s="64"/>
      <c r="P76" s="80"/>
      <c r="Q76" s="79">
        <f t="shared" si="55"/>
        <v>0</v>
      </c>
      <c r="R76" s="269"/>
      <c r="S76" s="270"/>
      <c r="T76" s="266"/>
      <c r="U76" s="267"/>
      <c r="V76" s="267"/>
      <c r="W76" s="268"/>
      <c r="X76" s="271" t="str">
        <f>IFERROR(INDEX(Table3941[],MATCH(R76,Table3941[Film Type],),3),"")</f>
        <v/>
      </c>
      <c r="Y76" s="271"/>
      <c r="Z76" s="78" t="s">
        <v>55</v>
      </c>
      <c r="AA76" s="78" t="s">
        <v>55</v>
      </c>
      <c r="AB76" s="77"/>
      <c r="AC76" s="76"/>
      <c r="AD76" s="75">
        <f t="shared" si="56"/>
        <v>0</v>
      </c>
      <c r="AG76" s="74">
        <f t="shared" si="57"/>
        <v>0</v>
      </c>
      <c r="AK76" s="65">
        <f t="shared" si="58"/>
        <v>0</v>
      </c>
      <c r="AL76" s="65">
        <f t="shared" si="59"/>
        <v>0</v>
      </c>
      <c r="AM76" s="65">
        <f t="shared" si="60"/>
        <v>0</v>
      </c>
      <c r="AN76" s="73">
        <f t="shared" si="61"/>
        <v>0</v>
      </c>
      <c r="AO76" s="65" t="str">
        <f t="shared" si="62"/>
        <v>0.00</v>
      </c>
      <c r="AP76" s="65" t="str">
        <f t="shared" si="63"/>
        <v>0</v>
      </c>
      <c r="AQ76" s="71">
        <f t="shared" si="64"/>
        <v>0</v>
      </c>
      <c r="AR76" s="72">
        <f t="shared" si="65"/>
        <v>0</v>
      </c>
      <c r="AS76" s="71">
        <f t="shared" si="66"/>
        <v>0</v>
      </c>
      <c r="AT76" s="70">
        <f t="shared" si="67"/>
        <v>0</v>
      </c>
      <c r="AU76" s="70">
        <f t="shared" si="68"/>
        <v>0</v>
      </c>
      <c r="AV76" s="2"/>
      <c r="AW76" s="66">
        <f t="shared" si="69"/>
        <v>0</v>
      </c>
      <c r="AX76" s="68">
        <f>_xlfn.IFNA(INDEX(Table3941[I $ p/ft2],MATCH(R76,Table3941[Film Type],0)),1.75)</f>
        <v>1.75</v>
      </c>
      <c r="AY76" s="69">
        <f>VLOOKUP(Z76,Table1349[#All],2,FALSE)</f>
        <v>1</v>
      </c>
      <c r="AZ76" s="68">
        <f t="shared" si="70"/>
        <v>1.75</v>
      </c>
      <c r="BA76" s="65">
        <f t="shared" si="71"/>
        <v>0</v>
      </c>
      <c r="BB76" s="64">
        <f t="shared" si="72"/>
        <v>0</v>
      </c>
      <c r="BC76" s="67">
        <f t="shared" si="73"/>
        <v>0</v>
      </c>
      <c r="BD76" s="66">
        <f t="shared" si="74"/>
        <v>0</v>
      </c>
      <c r="BE76" s="64"/>
      <c r="BF76" s="66">
        <f t="shared" si="75"/>
        <v>0</v>
      </c>
      <c r="BG76" s="66">
        <f t="shared" si="76"/>
        <v>0</v>
      </c>
      <c r="BH76" s="65">
        <f>VLOOKUP(AA76,Table1551[#All],2,FALSE)</f>
        <v>1</v>
      </c>
      <c r="BI76" s="65">
        <f t="shared" si="77"/>
        <v>0</v>
      </c>
      <c r="BJ76" s="64" t="str">
        <f t="shared" si="78"/>
        <v>0</v>
      </c>
      <c r="CK76" s="86" t="s">
        <v>129</v>
      </c>
      <c r="CL76" s="2">
        <v>1.41</v>
      </c>
      <c r="CM76" s="2">
        <f t="shared" si="79"/>
        <v>1.5509999999999999</v>
      </c>
      <c r="CN76" s="10">
        <v>1.5</v>
      </c>
      <c r="CO76" s="84">
        <f t="shared" si="80"/>
        <v>0</v>
      </c>
    </row>
    <row r="77" spans="1:93" ht="11.1" hidden="1" customHeight="1" x14ac:dyDescent="0.45">
      <c r="A77" s="83"/>
      <c r="B77" s="266"/>
      <c r="C77" s="267"/>
      <c r="D77" s="267"/>
      <c r="E77" s="268"/>
      <c r="F77" s="64"/>
      <c r="G77" s="64"/>
      <c r="H77" s="82"/>
      <c r="I77" s="81"/>
      <c r="J77" s="64"/>
      <c r="K77" s="80"/>
      <c r="L77" s="79">
        <f t="shared" si="54"/>
        <v>0</v>
      </c>
      <c r="M77" s="64"/>
      <c r="N77" s="64"/>
      <c r="O77" s="64"/>
      <c r="P77" s="80"/>
      <c r="Q77" s="79">
        <f t="shared" si="55"/>
        <v>0</v>
      </c>
      <c r="R77" s="269"/>
      <c r="S77" s="270"/>
      <c r="T77" s="266"/>
      <c r="U77" s="267"/>
      <c r="V77" s="267"/>
      <c r="W77" s="268"/>
      <c r="X77" s="271" t="str">
        <f>IFERROR(INDEX(Table3941[],MATCH(R77,Table3941[Film Type],),3),"")</f>
        <v/>
      </c>
      <c r="Y77" s="271"/>
      <c r="Z77" s="78" t="s">
        <v>55</v>
      </c>
      <c r="AA77" s="78" t="s">
        <v>55</v>
      </c>
      <c r="AB77" s="77"/>
      <c r="AC77" s="76"/>
      <c r="AD77" s="75">
        <f t="shared" si="56"/>
        <v>0</v>
      </c>
      <c r="AG77" s="74">
        <f t="shared" si="57"/>
        <v>0</v>
      </c>
      <c r="AK77" s="65">
        <f t="shared" si="58"/>
        <v>0</v>
      </c>
      <c r="AL77" s="65">
        <f t="shared" si="59"/>
        <v>0</v>
      </c>
      <c r="AM77" s="65">
        <f t="shared" si="60"/>
        <v>0</v>
      </c>
      <c r="AN77" s="73">
        <f t="shared" si="61"/>
        <v>0</v>
      </c>
      <c r="AO77" s="65" t="str">
        <f t="shared" si="62"/>
        <v>0.00</v>
      </c>
      <c r="AP77" s="65" t="str">
        <f t="shared" si="63"/>
        <v>0</v>
      </c>
      <c r="AQ77" s="71">
        <f t="shared" si="64"/>
        <v>0</v>
      </c>
      <c r="AR77" s="72">
        <f t="shared" si="65"/>
        <v>0</v>
      </c>
      <c r="AS77" s="71">
        <f t="shared" si="66"/>
        <v>0</v>
      </c>
      <c r="AT77" s="70">
        <f t="shared" si="67"/>
        <v>0</v>
      </c>
      <c r="AU77" s="70">
        <f t="shared" si="68"/>
        <v>0</v>
      </c>
      <c r="AV77" s="2"/>
      <c r="AW77" s="66">
        <f t="shared" si="69"/>
        <v>0</v>
      </c>
      <c r="AX77" s="68">
        <f>_xlfn.IFNA(INDEX(Table3941[I $ p/ft2],MATCH(R77,Table3941[Film Type],0)),1.75)</f>
        <v>1.75</v>
      </c>
      <c r="AY77" s="69">
        <f>VLOOKUP(Z77,Table1349[#All],2,FALSE)</f>
        <v>1</v>
      </c>
      <c r="AZ77" s="68">
        <f t="shared" si="70"/>
        <v>1.75</v>
      </c>
      <c r="BA77" s="65">
        <f t="shared" si="71"/>
        <v>0</v>
      </c>
      <c r="BB77" s="64">
        <f t="shared" si="72"/>
        <v>0</v>
      </c>
      <c r="BC77" s="67">
        <f t="shared" si="73"/>
        <v>0</v>
      </c>
      <c r="BD77" s="66">
        <f t="shared" si="74"/>
        <v>0</v>
      </c>
      <c r="BE77" s="64"/>
      <c r="BF77" s="66">
        <f t="shared" si="75"/>
        <v>0</v>
      </c>
      <c r="BG77" s="66">
        <f t="shared" si="76"/>
        <v>0</v>
      </c>
      <c r="BH77" s="65">
        <f>VLOOKUP(AA77,Table1551[#All],2,FALSE)</f>
        <v>1</v>
      </c>
      <c r="BI77" s="65">
        <f t="shared" si="77"/>
        <v>0</v>
      </c>
      <c r="BJ77" s="64" t="str">
        <f t="shared" si="78"/>
        <v>0</v>
      </c>
      <c r="CK77" s="86" t="s">
        <v>128</v>
      </c>
      <c r="CL77" s="2">
        <v>3.8</v>
      </c>
      <c r="CM77" s="2">
        <f t="shared" si="79"/>
        <v>4.18</v>
      </c>
      <c r="CN77" s="10">
        <v>1.5</v>
      </c>
      <c r="CO77" s="84">
        <f t="shared" si="80"/>
        <v>0</v>
      </c>
    </row>
    <row r="78" spans="1:93" ht="11.1" hidden="1" customHeight="1" x14ac:dyDescent="0.45">
      <c r="A78" s="83"/>
      <c r="B78" s="266"/>
      <c r="C78" s="267"/>
      <c r="D78" s="267"/>
      <c r="E78" s="268"/>
      <c r="F78" s="64"/>
      <c r="G78" s="64"/>
      <c r="H78" s="82"/>
      <c r="I78" s="81"/>
      <c r="J78" s="64"/>
      <c r="K78" s="80"/>
      <c r="L78" s="79">
        <f t="shared" si="54"/>
        <v>0</v>
      </c>
      <c r="M78" s="64"/>
      <c r="N78" s="64"/>
      <c r="O78" s="64"/>
      <c r="P78" s="80"/>
      <c r="Q78" s="79">
        <f t="shared" si="55"/>
        <v>0</v>
      </c>
      <c r="R78" s="269"/>
      <c r="S78" s="270"/>
      <c r="T78" s="266"/>
      <c r="U78" s="267"/>
      <c r="V78" s="267"/>
      <c r="W78" s="268"/>
      <c r="X78" s="271" t="str">
        <f>IFERROR(INDEX(Table3941[],MATCH(R78,Table3941[Film Type],),3),"")</f>
        <v/>
      </c>
      <c r="Y78" s="271"/>
      <c r="Z78" s="78" t="s">
        <v>55</v>
      </c>
      <c r="AA78" s="78" t="s">
        <v>55</v>
      </c>
      <c r="AB78" s="77"/>
      <c r="AC78" s="76"/>
      <c r="AD78" s="75">
        <f t="shared" si="56"/>
        <v>0</v>
      </c>
      <c r="AG78" s="74">
        <f t="shared" si="57"/>
        <v>0</v>
      </c>
      <c r="AK78" s="65">
        <f t="shared" si="58"/>
        <v>0</v>
      </c>
      <c r="AL78" s="65">
        <f t="shared" si="59"/>
        <v>0</v>
      </c>
      <c r="AM78" s="65">
        <f t="shared" si="60"/>
        <v>0</v>
      </c>
      <c r="AN78" s="73">
        <f t="shared" si="61"/>
        <v>0</v>
      </c>
      <c r="AO78" s="65" t="str">
        <f t="shared" si="62"/>
        <v>0.00</v>
      </c>
      <c r="AP78" s="65" t="str">
        <f t="shared" si="63"/>
        <v>0</v>
      </c>
      <c r="AQ78" s="71">
        <f t="shared" si="64"/>
        <v>0</v>
      </c>
      <c r="AR78" s="72">
        <f t="shared" si="65"/>
        <v>0</v>
      </c>
      <c r="AS78" s="71">
        <f t="shared" si="66"/>
        <v>0</v>
      </c>
      <c r="AT78" s="70">
        <f t="shared" si="67"/>
        <v>0</v>
      </c>
      <c r="AU78" s="70">
        <f t="shared" si="68"/>
        <v>0</v>
      </c>
      <c r="AV78" s="2"/>
      <c r="AW78" s="66">
        <f t="shared" si="69"/>
        <v>0</v>
      </c>
      <c r="AX78" s="68">
        <f>_xlfn.IFNA(INDEX(Table3941[I $ p/ft2],MATCH(R78,Table3941[Film Type],0)),1.75)</f>
        <v>1.75</v>
      </c>
      <c r="AY78" s="69">
        <f>VLOOKUP(Z78,Table1349[#All],2,FALSE)</f>
        <v>1</v>
      </c>
      <c r="AZ78" s="68">
        <f t="shared" si="70"/>
        <v>1.75</v>
      </c>
      <c r="BA78" s="65">
        <f t="shared" si="71"/>
        <v>0</v>
      </c>
      <c r="BB78" s="64">
        <f t="shared" si="72"/>
        <v>0</v>
      </c>
      <c r="BC78" s="67">
        <f t="shared" si="73"/>
        <v>0</v>
      </c>
      <c r="BD78" s="66">
        <f t="shared" si="74"/>
        <v>0</v>
      </c>
      <c r="BE78" s="64"/>
      <c r="BF78" s="66">
        <f t="shared" si="75"/>
        <v>0</v>
      </c>
      <c r="BG78" s="66">
        <f t="shared" si="76"/>
        <v>0</v>
      </c>
      <c r="BH78" s="65">
        <f>VLOOKUP(AA78,Table1551[#All],2,FALSE)</f>
        <v>1</v>
      </c>
      <c r="BI78" s="65">
        <f t="shared" si="77"/>
        <v>0</v>
      </c>
      <c r="BJ78" s="64" t="str">
        <f t="shared" si="78"/>
        <v>0</v>
      </c>
      <c r="CK78" s="86" t="s">
        <v>127</v>
      </c>
      <c r="CL78" s="2">
        <v>3.8</v>
      </c>
      <c r="CM78" s="2">
        <f t="shared" si="79"/>
        <v>4.18</v>
      </c>
      <c r="CN78" s="10">
        <v>1.5</v>
      </c>
      <c r="CO78" s="84">
        <f t="shared" si="80"/>
        <v>0</v>
      </c>
    </row>
    <row r="79" spans="1:93" ht="11.1" hidden="1" customHeight="1" x14ac:dyDescent="0.45">
      <c r="A79" s="83"/>
      <c r="B79" s="266"/>
      <c r="C79" s="267"/>
      <c r="D79" s="267"/>
      <c r="E79" s="268"/>
      <c r="F79" s="64"/>
      <c r="G79" s="64"/>
      <c r="H79" s="82"/>
      <c r="I79" s="81"/>
      <c r="J79" s="64"/>
      <c r="K79" s="80"/>
      <c r="L79" s="79">
        <f t="shared" si="54"/>
        <v>0</v>
      </c>
      <c r="M79" s="64"/>
      <c r="N79" s="64"/>
      <c r="O79" s="64"/>
      <c r="P79" s="80"/>
      <c r="Q79" s="79">
        <f t="shared" si="55"/>
        <v>0</v>
      </c>
      <c r="R79" s="269"/>
      <c r="S79" s="270"/>
      <c r="T79" s="266"/>
      <c r="U79" s="267"/>
      <c r="V79" s="267"/>
      <c r="W79" s="268"/>
      <c r="X79" s="271" t="str">
        <f>IFERROR(INDEX(Table3941[],MATCH(R79,Table3941[Film Type],),3),"")</f>
        <v/>
      </c>
      <c r="Y79" s="271"/>
      <c r="Z79" s="78" t="s">
        <v>55</v>
      </c>
      <c r="AA79" s="78" t="s">
        <v>55</v>
      </c>
      <c r="AB79" s="77"/>
      <c r="AC79" s="76"/>
      <c r="AD79" s="75">
        <f t="shared" si="56"/>
        <v>0</v>
      </c>
      <c r="AG79" s="74">
        <f t="shared" si="57"/>
        <v>0</v>
      </c>
      <c r="AK79" s="65">
        <f t="shared" si="58"/>
        <v>0</v>
      </c>
      <c r="AL79" s="65">
        <f t="shared" si="59"/>
        <v>0</v>
      </c>
      <c r="AM79" s="65">
        <f t="shared" si="60"/>
        <v>0</v>
      </c>
      <c r="AN79" s="73">
        <f t="shared" si="61"/>
        <v>0</v>
      </c>
      <c r="AO79" s="65" t="str">
        <f t="shared" si="62"/>
        <v>0.00</v>
      </c>
      <c r="AP79" s="65" t="str">
        <f t="shared" si="63"/>
        <v>0</v>
      </c>
      <c r="AQ79" s="71">
        <f t="shared" si="64"/>
        <v>0</v>
      </c>
      <c r="AR79" s="72">
        <f t="shared" si="65"/>
        <v>0</v>
      </c>
      <c r="AS79" s="71">
        <f t="shared" si="66"/>
        <v>0</v>
      </c>
      <c r="AT79" s="70">
        <f t="shared" si="67"/>
        <v>0</v>
      </c>
      <c r="AU79" s="70">
        <f t="shared" si="68"/>
        <v>0</v>
      </c>
      <c r="AV79" s="2"/>
      <c r="AW79" s="66">
        <f t="shared" si="69"/>
        <v>0</v>
      </c>
      <c r="AX79" s="68">
        <f>_xlfn.IFNA(INDEX(Table3941[I $ p/ft2],MATCH(R79,Table3941[Film Type],0)),1.75)</f>
        <v>1.75</v>
      </c>
      <c r="AY79" s="69">
        <f>VLOOKUP(Z79,Table1349[#All],2,FALSE)</f>
        <v>1</v>
      </c>
      <c r="AZ79" s="68">
        <f t="shared" si="70"/>
        <v>1.75</v>
      </c>
      <c r="BA79" s="65">
        <f t="shared" si="71"/>
        <v>0</v>
      </c>
      <c r="BB79" s="64">
        <f t="shared" si="72"/>
        <v>0</v>
      </c>
      <c r="BC79" s="67">
        <f t="shared" si="73"/>
        <v>0</v>
      </c>
      <c r="BD79" s="66">
        <f t="shared" si="74"/>
        <v>0</v>
      </c>
      <c r="BE79" s="64"/>
      <c r="BF79" s="66">
        <f t="shared" si="75"/>
        <v>0</v>
      </c>
      <c r="BG79" s="66">
        <f t="shared" si="76"/>
        <v>0</v>
      </c>
      <c r="BH79" s="65">
        <f>VLOOKUP(AA79,Table1551[#All],2,FALSE)</f>
        <v>1</v>
      </c>
      <c r="BI79" s="65">
        <f t="shared" si="77"/>
        <v>0</v>
      </c>
      <c r="BJ79" s="64" t="str">
        <f t="shared" si="78"/>
        <v>0</v>
      </c>
      <c r="CK79" s="86" t="s">
        <v>126</v>
      </c>
      <c r="CL79" s="2">
        <v>1.98</v>
      </c>
      <c r="CM79" s="2">
        <f t="shared" si="79"/>
        <v>2.1779999999999999</v>
      </c>
      <c r="CN79" s="10">
        <v>1.5</v>
      </c>
      <c r="CO79" s="84">
        <f t="shared" si="80"/>
        <v>0</v>
      </c>
    </row>
    <row r="80" spans="1:93" ht="11.1" hidden="1" customHeight="1" x14ac:dyDescent="0.45">
      <c r="A80" s="83"/>
      <c r="B80" s="266"/>
      <c r="C80" s="267"/>
      <c r="D80" s="267"/>
      <c r="E80" s="268"/>
      <c r="F80" s="64"/>
      <c r="G80" s="64"/>
      <c r="H80" s="82"/>
      <c r="I80" s="81"/>
      <c r="J80" s="64"/>
      <c r="K80" s="80"/>
      <c r="L80" s="79">
        <f t="shared" si="54"/>
        <v>0</v>
      </c>
      <c r="M80" s="64"/>
      <c r="N80" s="64"/>
      <c r="O80" s="64"/>
      <c r="P80" s="80"/>
      <c r="Q80" s="79">
        <f t="shared" si="55"/>
        <v>0</v>
      </c>
      <c r="R80" s="269"/>
      <c r="S80" s="270"/>
      <c r="T80" s="266"/>
      <c r="U80" s="267"/>
      <c r="V80" s="267"/>
      <c r="W80" s="268"/>
      <c r="X80" s="271" t="str">
        <f>IFERROR(INDEX(Table3941[],MATCH(R80,Table3941[Film Type],),3),"")</f>
        <v/>
      </c>
      <c r="Y80" s="271"/>
      <c r="Z80" s="78" t="s">
        <v>55</v>
      </c>
      <c r="AA80" s="78" t="s">
        <v>55</v>
      </c>
      <c r="AB80" s="77"/>
      <c r="AC80" s="76"/>
      <c r="AD80" s="75">
        <f t="shared" si="56"/>
        <v>0</v>
      </c>
      <c r="AG80" s="74">
        <f t="shared" si="57"/>
        <v>0</v>
      </c>
      <c r="AK80" s="65">
        <f t="shared" si="58"/>
        <v>0</v>
      </c>
      <c r="AL80" s="65">
        <f t="shared" si="59"/>
        <v>0</v>
      </c>
      <c r="AM80" s="65">
        <f t="shared" si="60"/>
        <v>0</v>
      </c>
      <c r="AN80" s="73">
        <f t="shared" si="61"/>
        <v>0</v>
      </c>
      <c r="AO80" s="65" t="str">
        <f t="shared" si="62"/>
        <v>0.00</v>
      </c>
      <c r="AP80" s="65" t="str">
        <f t="shared" si="63"/>
        <v>0</v>
      </c>
      <c r="AQ80" s="71">
        <f t="shared" si="64"/>
        <v>0</v>
      </c>
      <c r="AR80" s="72">
        <f t="shared" si="65"/>
        <v>0</v>
      </c>
      <c r="AS80" s="71">
        <f t="shared" si="66"/>
        <v>0</v>
      </c>
      <c r="AT80" s="70">
        <f t="shared" si="67"/>
        <v>0</v>
      </c>
      <c r="AU80" s="70">
        <f t="shared" si="68"/>
        <v>0</v>
      </c>
      <c r="AV80" s="2"/>
      <c r="AW80" s="66">
        <f t="shared" si="69"/>
        <v>0</v>
      </c>
      <c r="AX80" s="68">
        <f>_xlfn.IFNA(INDEX(Table3941[I $ p/ft2],MATCH(R80,Table3941[Film Type],0)),1.75)</f>
        <v>1.75</v>
      </c>
      <c r="AY80" s="69">
        <f>VLOOKUP(Z80,Table1349[#All],2,FALSE)</f>
        <v>1</v>
      </c>
      <c r="AZ80" s="68">
        <f t="shared" si="70"/>
        <v>1.75</v>
      </c>
      <c r="BA80" s="65">
        <f t="shared" si="71"/>
        <v>0</v>
      </c>
      <c r="BB80" s="64">
        <f t="shared" si="72"/>
        <v>0</v>
      </c>
      <c r="BC80" s="67">
        <f t="shared" si="73"/>
        <v>0</v>
      </c>
      <c r="BD80" s="66">
        <f t="shared" si="74"/>
        <v>0</v>
      </c>
      <c r="BE80" s="64"/>
      <c r="BF80" s="66">
        <f t="shared" si="75"/>
        <v>0</v>
      </c>
      <c r="BG80" s="66">
        <f t="shared" si="76"/>
        <v>0</v>
      </c>
      <c r="BH80" s="65">
        <f>VLOOKUP(AA80,Table1551[#All],2,FALSE)</f>
        <v>1</v>
      </c>
      <c r="BI80" s="65">
        <f t="shared" si="77"/>
        <v>0</v>
      </c>
      <c r="BJ80" s="64" t="str">
        <f t="shared" si="78"/>
        <v>0</v>
      </c>
      <c r="CK80" s="86" t="s">
        <v>125</v>
      </c>
      <c r="CL80" s="2">
        <v>1.98</v>
      </c>
      <c r="CM80" s="2">
        <f t="shared" si="79"/>
        <v>2.1779999999999999</v>
      </c>
      <c r="CN80" s="10">
        <v>1.5</v>
      </c>
      <c r="CO80" s="84">
        <f t="shared" si="80"/>
        <v>0</v>
      </c>
    </row>
    <row r="81" spans="1:93" ht="11.1" hidden="1" customHeight="1" x14ac:dyDescent="0.45">
      <c r="A81" s="83"/>
      <c r="B81" s="266"/>
      <c r="C81" s="267"/>
      <c r="D81" s="267"/>
      <c r="E81" s="268"/>
      <c r="F81" s="64"/>
      <c r="G81" s="64"/>
      <c r="H81" s="82"/>
      <c r="I81" s="81"/>
      <c r="J81" s="64"/>
      <c r="K81" s="80"/>
      <c r="L81" s="79">
        <f t="shared" si="54"/>
        <v>0</v>
      </c>
      <c r="M81" s="64"/>
      <c r="N81" s="64"/>
      <c r="O81" s="64"/>
      <c r="P81" s="80"/>
      <c r="Q81" s="79">
        <f t="shared" si="55"/>
        <v>0</v>
      </c>
      <c r="R81" s="269"/>
      <c r="S81" s="270"/>
      <c r="T81" s="266"/>
      <c r="U81" s="267"/>
      <c r="V81" s="267"/>
      <c r="W81" s="268"/>
      <c r="X81" s="271" t="str">
        <f>IFERROR(INDEX(Table3941[],MATCH(R81,Table3941[Film Type],),3),"")</f>
        <v/>
      </c>
      <c r="Y81" s="271"/>
      <c r="Z81" s="78" t="s">
        <v>55</v>
      </c>
      <c r="AA81" s="78" t="s">
        <v>55</v>
      </c>
      <c r="AB81" s="77"/>
      <c r="AC81" s="76"/>
      <c r="AD81" s="75">
        <f t="shared" si="56"/>
        <v>0</v>
      </c>
      <c r="AG81" s="74">
        <f t="shared" si="57"/>
        <v>0</v>
      </c>
      <c r="AK81" s="65">
        <f t="shared" si="58"/>
        <v>0</v>
      </c>
      <c r="AL81" s="65">
        <f t="shared" si="59"/>
        <v>0</v>
      </c>
      <c r="AM81" s="65">
        <f t="shared" si="60"/>
        <v>0</v>
      </c>
      <c r="AN81" s="73">
        <f t="shared" si="61"/>
        <v>0</v>
      </c>
      <c r="AO81" s="65" t="str">
        <f t="shared" si="62"/>
        <v>0.00</v>
      </c>
      <c r="AP81" s="65" t="str">
        <f t="shared" si="63"/>
        <v>0</v>
      </c>
      <c r="AQ81" s="71">
        <f t="shared" si="64"/>
        <v>0</v>
      </c>
      <c r="AR81" s="72">
        <f t="shared" si="65"/>
        <v>0</v>
      </c>
      <c r="AS81" s="71">
        <f t="shared" si="66"/>
        <v>0</v>
      </c>
      <c r="AT81" s="70">
        <f t="shared" si="67"/>
        <v>0</v>
      </c>
      <c r="AU81" s="70">
        <f t="shared" si="68"/>
        <v>0</v>
      </c>
      <c r="AV81" s="2"/>
      <c r="AW81" s="66">
        <f t="shared" si="69"/>
        <v>0</v>
      </c>
      <c r="AX81" s="68">
        <f>_xlfn.IFNA(INDEX(Table3941[I $ p/ft2],MATCH(R81,Table3941[Film Type],0)),1.75)</f>
        <v>1.75</v>
      </c>
      <c r="AY81" s="69">
        <f>VLOOKUP(Z81,Table1349[#All],2,FALSE)</f>
        <v>1</v>
      </c>
      <c r="AZ81" s="68">
        <f t="shared" si="70"/>
        <v>1.75</v>
      </c>
      <c r="BA81" s="65">
        <f t="shared" si="71"/>
        <v>0</v>
      </c>
      <c r="BB81" s="64">
        <f t="shared" si="72"/>
        <v>0</v>
      </c>
      <c r="BC81" s="67">
        <f t="shared" si="73"/>
        <v>0</v>
      </c>
      <c r="BD81" s="66">
        <f t="shared" si="74"/>
        <v>0</v>
      </c>
      <c r="BE81" s="64"/>
      <c r="BF81" s="66">
        <f t="shared" si="75"/>
        <v>0</v>
      </c>
      <c r="BG81" s="66">
        <f t="shared" si="76"/>
        <v>0</v>
      </c>
      <c r="BH81" s="65">
        <f>VLOOKUP(AA81,Table1551[#All],2,FALSE)</f>
        <v>1</v>
      </c>
      <c r="BI81" s="65">
        <f t="shared" si="77"/>
        <v>0</v>
      </c>
      <c r="BJ81" s="64" t="str">
        <f t="shared" si="78"/>
        <v>0</v>
      </c>
      <c r="CK81" s="86" t="s">
        <v>124</v>
      </c>
      <c r="CL81" s="2">
        <v>1.98</v>
      </c>
      <c r="CM81" s="2">
        <f t="shared" si="79"/>
        <v>2.1779999999999999</v>
      </c>
      <c r="CN81" s="10">
        <v>1.5</v>
      </c>
      <c r="CO81" s="84">
        <f t="shared" si="80"/>
        <v>0</v>
      </c>
    </row>
    <row r="82" spans="1:93" ht="11.1" hidden="1" customHeight="1" x14ac:dyDescent="0.45">
      <c r="A82" s="83"/>
      <c r="B82" s="266"/>
      <c r="C82" s="267"/>
      <c r="D82" s="267"/>
      <c r="E82" s="268"/>
      <c r="F82" s="64"/>
      <c r="G82" s="64"/>
      <c r="H82" s="82"/>
      <c r="I82" s="81"/>
      <c r="J82" s="64"/>
      <c r="K82" s="80"/>
      <c r="L82" s="79">
        <f t="shared" si="54"/>
        <v>0</v>
      </c>
      <c r="M82" s="64"/>
      <c r="N82" s="64"/>
      <c r="O82" s="64"/>
      <c r="P82" s="80"/>
      <c r="Q82" s="79">
        <f t="shared" si="55"/>
        <v>0</v>
      </c>
      <c r="R82" s="269"/>
      <c r="S82" s="270"/>
      <c r="T82" s="266"/>
      <c r="U82" s="267"/>
      <c r="V82" s="267"/>
      <c r="W82" s="268"/>
      <c r="X82" s="271" t="str">
        <f>IFERROR(INDEX(Table3941[],MATCH(R82,Table3941[Film Type],),3),"")</f>
        <v/>
      </c>
      <c r="Y82" s="271"/>
      <c r="Z82" s="78" t="s">
        <v>55</v>
      </c>
      <c r="AA82" s="78" t="s">
        <v>55</v>
      </c>
      <c r="AB82" s="77"/>
      <c r="AC82" s="76"/>
      <c r="AD82" s="75">
        <f t="shared" si="56"/>
        <v>0</v>
      </c>
      <c r="AG82" s="74">
        <f t="shared" si="57"/>
        <v>0</v>
      </c>
      <c r="AK82" s="65">
        <f t="shared" si="58"/>
        <v>0</v>
      </c>
      <c r="AL82" s="65">
        <f t="shared" si="59"/>
        <v>0</v>
      </c>
      <c r="AM82" s="65">
        <f t="shared" si="60"/>
        <v>0</v>
      </c>
      <c r="AN82" s="73">
        <f t="shared" si="61"/>
        <v>0</v>
      </c>
      <c r="AO82" s="65" t="str">
        <f t="shared" si="62"/>
        <v>0.00</v>
      </c>
      <c r="AP82" s="65" t="str">
        <f t="shared" si="63"/>
        <v>0</v>
      </c>
      <c r="AQ82" s="71">
        <f t="shared" si="64"/>
        <v>0</v>
      </c>
      <c r="AR82" s="72">
        <f t="shared" si="65"/>
        <v>0</v>
      </c>
      <c r="AS82" s="71">
        <f t="shared" si="66"/>
        <v>0</v>
      </c>
      <c r="AT82" s="70">
        <f t="shared" si="67"/>
        <v>0</v>
      </c>
      <c r="AU82" s="70">
        <f t="shared" si="68"/>
        <v>0</v>
      </c>
      <c r="AV82" s="2"/>
      <c r="AW82" s="66">
        <f t="shared" si="69"/>
        <v>0</v>
      </c>
      <c r="AX82" s="68">
        <f>_xlfn.IFNA(INDEX(Table3941[I $ p/ft2],MATCH(R82,Table3941[Film Type],0)),1.75)</f>
        <v>1.75</v>
      </c>
      <c r="AY82" s="69">
        <f>VLOOKUP(Z82,Table1349[#All],2,FALSE)</f>
        <v>1</v>
      </c>
      <c r="AZ82" s="68">
        <f t="shared" si="70"/>
        <v>1.75</v>
      </c>
      <c r="BA82" s="65">
        <f t="shared" si="71"/>
        <v>0</v>
      </c>
      <c r="BB82" s="64">
        <f t="shared" si="72"/>
        <v>0</v>
      </c>
      <c r="BC82" s="67">
        <f t="shared" si="73"/>
        <v>0</v>
      </c>
      <c r="BD82" s="66">
        <f t="shared" si="74"/>
        <v>0</v>
      </c>
      <c r="BE82" s="64"/>
      <c r="BF82" s="66">
        <f t="shared" si="75"/>
        <v>0</v>
      </c>
      <c r="BG82" s="66">
        <f t="shared" si="76"/>
        <v>0</v>
      </c>
      <c r="BH82" s="65">
        <f>VLOOKUP(AA82,Table1551[#All],2,FALSE)</f>
        <v>1</v>
      </c>
      <c r="BI82" s="65">
        <f t="shared" si="77"/>
        <v>0</v>
      </c>
      <c r="BJ82" s="64" t="str">
        <f t="shared" si="78"/>
        <v>0</v>
      </c>
      <c r="CK82" s="86" t="s">
        <v>123</v>
      </c>
      <c r="CL82" s="2">
        <v>2.63</v>
      </c>
      <c r="CM82" s="2">
        <f t="shared" si="79"/>
        <v>2.8930000000000002</v>
      </c>
      <c r="CN82" s="87">
        <v>2</v>
      </c>
      <c r="CO82" s="84">
        <f t="shared" si="80"/>
        <v>0</v>
      </c>
    </row>
    <row r="83" spans="1:93" ht="11.1" hidden="1" customHeight="1" x14ac:dyDescent="0.45">
      <c r="A83" s="83"/>
      <c r="B83" s="266"/>
      <c r="C83" s="267"/>
      <c r="D83" s="267"/>
      <c r="E83" s="268"/>
      <c r="F83" s="64"/>
      <c r="G83" s="64"/>
      <c r="H83" s="82"/>
      <c r="I83" s="81"/>
      <c r="J83" s="64"/>
      <c r="K83" s="80"/>
      <c r="L83" s="79">
        <f t="shared" si="54"/>
        <v>0</v>
      </c>
      <c r="M83" s="64"/>
      <c r="N83" s="64"/>
      <c r="O83" s="64"/>
      <c r="P83" s="80"/>
      <c r="Q83" s="79">
        <f t="shared" si="55"/>
        <v>0</v>
      </c>
      <c r="R83" s="269"/>
      <c r="S83" s="270"/>
      <c r="T83" s="266"/>
      <c r="U83" s="267"/>
      <c r="V83" s="267"/>
      <c r="W83" s="268"/>
      <c r="X83" s="271" t="str">
        <f>IFERROR(INDEX(Table3941[],MATCH(R83,Table3941[Film Type],),3),"")</f>
        <v/>
      </c>
      <c r="Y83" s="271"/>
      <c r="Z83" s="78" t="s">
        <v>55</v>
      </c>
      <c r="AA83" s="78" t="s">
        <v>55</v>
      </c>
      <c r="AB83" s="77"/>
      <c r="AC83" s="76"/>
      <c r="AD83" s="75">
        <f t="shared" si="56"/>
        <v>0</v>
      </c>
      <c r="AG83" s="74">
        <f t="shared" si="57"/>
        <v>0</v>
      </c>
      <c r="AK83" s="65">
        <f t="shared" si="58"/>
        <v>0</v>
      </c>
      <c r="AL83" s="65">
        <f t="shared" si="59"/>
        <v>0</v>
      </c>
      <c r="AM83" s="65">
        <f t="shared" si="60"/>
        <v>0</v>
      </c>
      <c r="AN83" s="73">
        <f t="shared" si="61"/>
        <v>0</v>
      </c>
      <c r="AO83" s="65" t="str">
        <f t="shared" si="62"/>
        <v>0.00</v>
      </c>
      <c r="AP83" s="65" t="str">
        <f t="shared" si="63"/>
        <v>0</v>
      </c>
      <c r="AQ83" s="71">
        <f t="shared" si="64"/>
        <v>0</v>
      </c>
      <c r="AR83" s="72">
        <f t="shared" si="65"/>
        <v>0</v>
      </c>
      <c r="AS83" s="71">
        <f t="shared" si="66"/>
        <v>0</v>
      </c>
      <c r="AT83" s="70">
        <f t="shared" si="67"/>
        <v>0</v>
      </c>
      <c r="AU83" s="70">
        <f t="shared" si="68"/>
        <v>0</v>
      </c>
      <c r="AV83" s="2"/>
      <c r="AW83" s="66">
        <f t="shared" si="69"/>
        <v>0</v>
      </c>
      <c r="AX83" s="68">
        <f>_xlfn.IFNA(INDEX(Table3941[I $ p/ft2],MATCH(R83,Table3941[Film Type],0)),1.75)</f>
        <v>1.75</v>
      </c>
      <c r="AY83" s="69">
        <f>VLOOKUP(Z83,Table1349[#All],2,FALSE)</f>
        <v>1</v>
      </c>
      <c r="AZ83" s="68">
        <f t="shared" si="70"/>
        <v>1.75</v>
      </c>
      <c r="BA83" s="65">
        <f t="shared" si="71"/>
        <v>0</v>
      </c>
      <c r="BB83" s="64">
        <f t="shared" si="72"/>
        <v>0</v>
      </c>
      <c r="BC83" s="67">
        <f t="shared" si="73"/>
        <v>0</v>
      </c>
      <c r="BD83" s="66">
        <f t="shared" si="74"/>
        <v>0</v>
      </c>
      <c r="BE83" s="64"/>
      <c r="BF83" s="66">
        <f t="shared" si="75"/>
        <v>0</v>
      </c>
      <c r="BG83" s="66">
        <f t="shared" si="76"/>
        <v>0</v>
      </c>
      <c r="BH83" s="65">
        <f>VLOOKUP(AA83,Table1551[#All],2,FALSE)</f>
        <v>1</v>
      </c>
      <c r="BI83" s="65">
        <f t="shared" si="77"/>
        <v>0</v>
      </c>
      <c r="BJ83" s="64" t="str">
        <f t="shared" si="78"/>
        <v>0</v>
      </c>
      <c r="CK83" s="86" t="s">
        <v>122</v>
      </c>
      <c r="CL83" s="2">
        <v>0.91</v>
      </c>
      <c r="CM83" s="2">
        <f t="shared" si="79"/>
        <v>1.0010000000000001</v>
      </c>
      <c r="CN83" s="10">
        <v>1.5</v>
      </c>
      <c r="CO83" s="84">
        <f t="shared" si="80"/>
        <v>0</v>
      </c>
    </row>
    <row r="84" spans="1:93" ht="11.1" hidden="1" customHeight="1" x14ac:dyDescent="0.45">
      <c r="A84" s="83"/>
      <c r="B84" s="266"/>
      <c r="C84" s="267"/>
      <c r="D84" s="267"/>
      <c r="E84" s="268"/>
      <c r="F84" s="64"/>
      <c r="G84" s="64"/>
      <c r="H84" s="82"/>
      <c r="I84" s="81"/>
      <c r="J84" s="64"/>
      <c r="K84" s="80"/>
      <c r="L84" s="79">
        <f t="shared" si="54"/>
        <v>0</v>
      </c>
      <c r="M84" s="64"/>
      <c r="N84" s="64"/>
      <c r="O84" s="64"/>
      <c r="P84" s="80"/>
      <c r="Q84" s="79">
        <f t="shared" si="55"/>
        <v>0</v>
      </c>
      <c r="R84" s="269"/>
      <c r="S84" s="270"/>
      <c r="T84" s="266"/>
      <c r="U84" s="267"/>
      <c r="V84" s="267"/>
      <c r="W84" s="268"/>
      <c r="X84" s="271" t="str">
        <f>IFERROR(INDEX(Table3941[],MATCH(R84,Table3941[Film Type],),3),"")</f>
        <v/>
      </c>
      <c r="Y84" s="271"/>
      <c r="Z84" s="78" t="s">
        <v>55</v>
      </c>
      <c r="AA84" s="78" t="s">
        <v>55</v>
      </c>
      <c r="AB84" s="77"/>
      <c r="AC84" s="76"/>
      <c r="AD84" s="75">
        <f t="shared" si="56"/>
        <v>0</v>
      </c>
      <c r="AG84" s="74">
        <f t="shared" si="57"/>
        <v>0</v>
      </c>
      <c r="AK84" s="65">
        <f t="shared" si="58"/>
        <v>0</v>
      </c>
      <c r="AL84" s="65">
        <f t="shared" si="59"/>
        <v>0</v>
      </c>
      <c r="AM84" s="65">
        <f t="shared" si="60"/>
        <v>0</v>
      </c>
      <c r="AN84" s="73">
        <f t="shared" si="61"/>
        <v>0</v>
      </c>
      <c r="AO84" s="65" t="str">
        <f t="shared" si="62"/>
        <v>0.00</v>
      </c>
      <c r="AP84" s="65" t="str">
        <f t="shared" si="63"/>
        <v>0</v>
      </c>
      <c r="AQ84" s="71">
        <f t="shared" si="64"/>
        <v>0</v>
      </c>
      <c r="AR84" s="72">
        <f t="shared" si="65"/>
        <v>0</v>
      </c>
      <c r="AS84" s="71">
        <f t="shared" si="66"/>
        <v>0</v>
      </c>
      <c r="AT84" s="70">
        <f t="shared" si="67"/>
        <v>0</v>
      </c>
      <c r="AU84" s="70">
        <f t="shared" si="68"/>
        <v>0</v>
      </c>
      <c r="AV84" s="2"/>
      <c r="AW84" s="66">
        <f t="shared" si="69"/>
        <v>0</v>
      </c>
      <c r="AX84" s="68">
        <f>_xlfn.IFNA(INDEX(Table3941[I $ p/ft2],MATCH(R84,Table3941[Film Type],0)),1.75)</f>
        <v>1.75</v>
      </c>
      <c r="AY84" s="69">
        <f>VLOOKUP(Z84,Table1349[#All],2,FALSE)</f>
        <v>1</v>
      </c>
      <c r="AZ84" s="68">
        <f t="shared" si="70"/>
        <v>1.75</v>
      </c>
      <c r="BA84" s="65">
        <f t="shared" si="71"/>
        <v>0</v>
      </c>
      <c r="BB84" s="64">
        <f t="shared" si="72"/>
        <v>0</v>
      </c>
      <c r="BC84" s="67">
        <f t="shared" si="73"/>
        <v>0</v>
      </c>
      <c r="BD84" s="66">
        <f t="shared" si="74"/>
        <v>0</v>
      </c>
      <c r="BE84" s="64"/>
      <c r="BF84" s="66">
        <f t="shared" si="75"/>
        <v>0</v>
      </c>
      <c r="BG84" s="66">
        <f t="shared" si="76"/>
        <v>0</v>
      </c>
      <c r="BH84" s="65">
        <f>VLOOKUP(AA84,Table1551[#All],2,FALSE)</f>
        <v>1</v>
      </c>
      <c r="BI84" s="65">
        <f t="shared" si="77"/>
        <v>0</v>
      </c>
      <c r="BJ84" s="64" t="str">
        <f t="shared" si="78"/>
        <v>0</v>
      </c>
      <c r="CK84" s="86" t="s">
        <v>121</v>
      </c>
      <c r="CL84" s="2">
        <v>1.1000000000000001</v>
      </c>
      <c r="CM84" s="2">
        <f t="shared" si="79"/>
        <v>1.2100000000000002</v>
      </c>
      <c r="CN84" s="10">
        <v>1.5</v>
      </c>
      <c r="CO84" s="84">
        <f t="shared" si="80"/>
        <v>0</v>
      </c>
    </row>
    <row r="85" spans="1:93" ht="11.1" hidden="1" customHeight="1" x14ac:dyDescent="0.45">
      <c r="A85" s="83"/>
      <c r="B85" s="266"/>
      <c r="C85" s="267"/>
      <c r="D85" s="267"/>
      <c r="E85" s="268"/>
      <c r="F85" s="64"/>
      <c r="G85" s="64"/>
      <c r="H85" s="82"/>
      <c r="I85" s="81"/>
      <c r="J85" s="64"/>
      <c r="K85" s="80"/>
      <c r="L85" s="79">
        <f t="shared" si="54"/>
        <v>0</v>
      </c>
      <c r="M85" s="64"/>
      <c r="N85" s="64"/>
      <c r="O85" s="64"/>
      <c r="P85" s="80"/>
      <c r="Q85" s="79">
        <f t="shared" si="55"/>
        <v>0</v>
      </c>
      <c r="R85" s="269"/>
      <c r="S85" s="270"/>
      <c r="T85" s="266"/>
      <c r="U85" s="267"/>
      <c r="V85" s="267"/>
      <c r="W85" s="268"/>
      <c r="X85" s="271" t="str">
        <f>IFERROR(INDEX(Table3941[],MATCH(R85,Table3941[Film Type],),3),"")</f>
        <v/>
      </c>
      <c r="Y85" s="271"/>
      <c r="Z85" s="78" t="s">
        <v>55</v>
      </c>
      <c r="AA85" s="78" t="s">
        <v>55</v>
      </c>
      <c r="AB85" s="77"/>
      <c r="AC85" s="76"/>
      <c r="AD85" s="75">
        <f t="shared" si="56"/>
        <v>0</v>
      </c>
      <c r="AG85" s="74">
        <f t="shared" si="57"/>
        <v>0</v>
      </c>
      <c r="AK85" s="65">
        <f t="shared" si="58"/>
        <v>0</v>
      </c>
      <c r="AL85" s="65">
        <f t="shared" si="59"/>
        <v>0</v>
      </c>
      <c r="AM85" s="65">
        <f t="shared" si="60"/>
        <v>0</v>
      </c>
      <c r="AN85" s="73">
        <f t="shared" si="61"/>
        <v>0</v>
      </c>
      <c r="AO85" s="65" t="str">
        <f t="shared" si="62"/>
        <v>0.00</v>
      </c>
      <c r="AP85" s="65" t="str">
        <f t="shared" si="63"/>
        <v>0</v>
      </c>
      <c r="AQ85" s="71">
        <f t="shared" si="64"/>
        <v>0</v>
      </c>
      <c r="AR85" s="72">
        <f t="shared" si="65"/>
        <v>0</v>
      </c>
      <c r="AS85" s="71">
        <f t="shared" si="66"/>
        <v>0</v>
      </c>
      <c r="AT85" s="70">
        <f t="shared" si="67"/>
        <v>0</v>
      </c>
      <c r="AU85" s="70">
        <f t="shared" si="68"/>
        <v>0</v>
      </c>
      <c r="AV85" s="2"/>
      <c r="AW85" s="66">
        <f t="shared" si="69"/>
        <v>0</v>
      </c>
      <c r="AX85" s="68">
        <f>_xlfn.IFNA(INDEX(Table3941[I $ p/ft2],MATCH(R85,Table3941[Film Type],0)),1.75)</f>
        <v>1.75</v>
      </c>
      <c r="AY85" s="69">
        <f>VLOOKUP(Z85,Table1349[#All],2,FALSE)</f>
        <v>1</v>
      </c>
      <c r="AZ85" s="68">
        <f t="shared" si="70"/>
        <v>1.75</v>
      </c>
      <c r="BA85" s="65">
        <f t="shared" si="71"/>
        <v>0</v>
      </c>
      <c r="BB85" s="64">
        <f t="shared" si="72"/>
        <v>0</v>
      </c>
      <c r="BC85" s="67">
        <f t="shared" si="73"/>
        <v>0</v>
      </c>
      <c r="BD85" s="66">
        <f t="shared" si="74"/>
        <v>0</v>
      </c>
      <c r="BE85" s="64"/>
      <c r="BF85" s="66">
        <f t="shared" si="75"/>
        <v>0</v>
      </c>
      <c r="BG85" s="66">
        <f t="shared" si="76"/>
        <v>0</v>
      </c>
      <c r="BH85" s="65">
        <f>VLOOKUP(AA85,Table1551[#All],2,FALSE)</f>
        <v>1</v>
      </c>
      <c r="BI85" s="65">
        <f t="shared" si="77"/>
        <v>0</v>
      </c>
      <c r="BJ85" s="64" t="str">
        <f t="shared" si="78"/>
        <v>0</v>
      </c>
      <c r="CK85" s="86" t="s">
        <v>120</v>
      </c>
      <c r="CL85" s="2">
        <v>0.77</v>
      </c>
      <c r="CM85" s="2">
        <f t="shared" si="79"/>
        <v>0.84700000000000009</v>
      </c>
      <c r="CN85" s="10">
        <v>1.5</v>
      </c>
      <c r="CO85" s="84">
        <f t="shared" si="80"/>
        <v>0</v>
      </c>
    </row>
    <row r="86" spans="1:93" ht="11.1" hidden="1" customHeight="1" x14ac:dyDescent="0.45">
      <c r="A86" s="83"/>
      <c r="B86" s="266"/>
      <c r="C86" s="267"/>
      <c r="D86" s="267"/>
      <c r="E86" s="268"/>
      <c r="F86" s="64"/>
      <c r="G86" s="64"/>
      <c r="H86" s="82"/>
      <c r="I86" s="81"/>
      <c r="J86" s="64"/>
      <c r="K86" s="80"/>
      <c r="L86" s="79">
        <f t="shared" si="54"/>
        <v>0</v>
      </c>
      <c r="M86" s="64"/>
      <c r="N86" s="64"/>
      <c r="O86" s="64"/>
      <c r="P86" s="80"/>
      <c r="Q86" s="79">
        <f t="shared" si="55"/>
        <v>0</v>
      </c>
      <c r="R86" s="269"/>
      <c r="S86" s="270"/>
      <c r="T86" s="266"/>
      <c r="U86" s="267"/>
      <c r="V86" s="267"/>
      <c r="W86" s="268"/>
      <c r="X86" s="271" t="str">
        <f>IFERROR(INDEX(Table3941[],MATCH(R86,Table3941[Film Type],),3),"")</f>
        <v/>
      </c>
      <c r="Y86" s="271"/>
      <c r="Z86" s="78" t="s">
        <v>55</v>
      </c>
      <c r="AA86" s="78" t="s">
        <v>55</v>
      </c>
      <c r="AB86" s="77"/>
      <c r="AC86" s="76"/>
      <c r="AD86" s="75">
        <f t="shared" si="56"/>
        <v>0</v>
      </c>
      <c r="AG86" s="74">
        <f t="shared" si="57"/>
        <v>0</v>
      </c>
      <c r="AK86" s="65">
        <f t="shared" si="58"/>
        <v>0</v>
      </c>
      <c r="AL86" s="65">
        <f t="shared" si="59"/>
        <v>0</v>
      </c>
      <c r="AM86" s="65">
        <f t="shared" si="60"/>
        <v>0</v>
      </c>
      <c r="AN86" s="73">
        <f t="shared" si="61"/>
        <v>0</v>
      </c>
      <c r="AO86" s="65" t="str">
        <f t="shared" si="62"/>
        <v>0.00</v>
      </c>
      <c r="AP86" s="65" t="str">
        <f t="shared" si="63"/>
        <v>0</v>
      </c>
      <c r="AQ86" s="71">
        <f t="shared" si="64"/>
        <v>0</v>
      </c>
      <c r="AR86" s="72">
        <f t="shared" si="65"/>
        <v>0</v>
      </c>
      <c r="AS86" s="71">
        <f t="shared" si="66"/>
        <v>0</v>
      </c>
      <c r="AT86" s="70">
        <f t="shared" si="67"/>
        <v>0</v>
      </c>
      <c r="AU86" s="70">
        <f t="shared" si="68"/>
        <v>0</v>
      </c>
      <c r="AV86" s="2"/>
      <c r="AW86" s="66">
        <f t="shared" si="69"/>
        <v>0</v>
      </c>
      <c r="AX86" s="68">
        <f>_xlfn.IFNA(INDEX(Table3941[I $ p/ft2],MATCH(R86,Table3941[Film Type],0)),1.75)</f>
        <v>1.75</v>
      </c>
      <c r="AY86" s="69">
        <f>VLOOKUP(Z86,Table1349[#All],2,FALSE)</f>
        <v>1</v>
      </c>
      <c r="AZ86" s="68">
        <f t="shared" si="70"/>
        <v>1.75</v>
      </c>
      <c r="BA86" s="65">
        <f t="shared" si="71"/>
        <v>0</v>
      </c>
      <c r="BB86" s="64">
        <f t="shared" si="72"/>
        <v>0</v>
      </c>
      <c r="BC86" s="67">
        <f t="shared" si="73"/>
        <v>0</v>
      </c>
      <c r="BD86" s="66">
        <f t="shared" si="74"/>
        <v>0</v>
      </c>
      <c r="BE86" s="64"/>
      <c r="BF86" s="66">
        <f t="shared" si="75"/>
        <v>0</v>
      </c>
      <c r="BG86" s="66">
        <f t="shared" si="76"/>
        <v>0</v>
      </c>
      <c r="BH86" s="65">
        <f>VLOOKUP(AA86,Table1551[#All],2,FALSE)</f>
        <v>1</v>
      </c>
      <c r="BI86" s="65">
        <f t="shared" si="77"/>
        <v>0</v>
      </c>
      <c r="BJ86" s="64" t="str">
        <f t="shared" si="78"/>
        <v>0</v>
      </c>
      <c r="CK86" s="86" t="s">
        <v>119</v>
      </c>
      <c r="CL86" s="2">
        <v>1.84</v>
      </c>
      <c r="CM86" s="2">
        <f t="shared" si="79"/>
        <v>2.0240000000000005</v>
      </c>
      <c r="CN86" s="87">
        <v>2</v>
      </c>
      <c r="CO86" s="84">
        <f t="shared" si="80"/>
        <v>0</v>
      </c>
    </row>
    <row r="87" spans="1:93" ht="11.1" hidden="1" customHeight="1" x14ac:dyDescent="0.45">
      <c r="A87" s="83"/>
      <c r="B87" s="266"/>
      <c r="C87" s="267"/>
      <c r="D87" s="267"/>
      <c r="E87" s="268"/>
      <c r="F87" s="64"/>
      <c r="G87" s="64"/>
      <c r="H87" s="82"/>
      <c r="I87" s="81"/>
      <c r="J87" s="64"/>
      <c r="K87" s="80"/>
      <c r="L87" s="79">
        <f t="shared" si="54"/>
        <v>0</v>
      </c>
      <c r="M87" s="64"/>
      <c r="N87" s="64"/>
      <c r="O87" s="64"/>
      <c r="P87" s="80"/>
      <c r="Q87" s="79">
        <f t="shared" si="55"/>
        <v>0</v>
      </c>
      <c r="R87" s="269"/>
      <c r="S87" s="270"/>
      <c r="T87" s="266"/>
      <c r="U87" s="267"/>
      <c r="V87" s="267"/>
      <c r="W87" s="268"/>
      <c r="X87" s="271" t="str">
        <f>IFERROR(INDEX(Table3941[],MATCH(R87,Table3941[Film Type],),3),"")</f>
        <v/>
      </c>
      <c r="Y87" s="271"/>
      <c r="Z87" s="78" t="s">
        <v>55</v>
      </c>
      <c r="AA87" s="78" t="s">
        <v>55</v>
      </c>
      <c r="AB87" s="77"/>
      <c r="AC87" s="76"/>
      <c r="AD87" s="75">
        <f t="shared" si="56"/>
        <v>0</v>
      </c>
      <c r="AG87" s="74">
        <f t="shared" si="57"/>
        <v>0</v>
      </c>
      <c r="AK87" s="65">
        <f t="shared" si="58"/>
        <v>0</v>
      </c>
      <c r="AL87" s="65">
        <f t="shared" si="59"/>
        <v>0</v>
      </c>
      <c r="AM87" s="65">
        <f t="shared" si="60"/>
        <v>0</v>
      </c>
      <c r="AN87" s="73">
        <f t="shared" si="61"/>
        <v>0</v>
      </c>
      <c r="AO87" s="65" t="str">
        <f t="shared" si="62"/>
        <v>0.00</v>
      </c>
      <c r="AP87" s="65" t="str">
        <f t="shared" si="63"/>
        <v>0</v>
      </c>
      <c r="AQ87" s="71">
        <f t="shared" si="64"/>
        <v>0</v>
      </c>
      <c r="AR87" s="72">
        <f t="shared" si="65"/>
        <v>0</v>
      </c>
      <c r="AS87" s="71">
        <f t="shared" si="66"/>
        <v>0</v>
      </c>
      <c r="AT87" s="70">
        <f t="shared" si="67"/>
        <v>0</v>
      </c>
      <c r="AU87" s="70">
        <f t="shared" si="68"/>
        <v>0</v>
      </c>
      <c r="AV87" s="2"/>
      <c r="AW87" s="66">
        <f t="shared" si="69"/>
        <v>0</v>
      </c>
      <c r="AX87" s="68">
        <f>_xlfn.IFNA(INDEX(Table3941[I $ p/ft2],MATCH(R87,Table3941[Film Type],0)),1.75)</f>
        <v>1.75</v>
      </c>
      <c r="AY87" s="69">
        <f>VLOOKUP(Z87,Table1349[#All],2,FALSE)</f>
        <v>1</v>
      </c>
      <c r="AZ87" s="68">
        <f t="shared" si="70"/>
        <v>1.75</v>
      </c>
      <c r="BA87" s="65">
        <f t="shared" si="71"/>
        <v>0</v>
      </c>
      <c r="BB87" s="64">
        <f t="shared" si="72"/>
        <v>0</v>
      </c>
      <c r="BC87" s="67">
        <f t="shared" si="73"/>
        <v>0</v>
      </c>
      <c r="BD87" s="66">
        <f t="shared" si="74"/>
        <v>0</v>
      </c>
      <c r="BE87" s="64"/>
      <c r="BF87" s="66">
        <f t="shared" si="75"/>
        <v>0</v>
      </c>
      <c r="BG87" s="66">
        <f t="shared" si="76"/>
        <v>0</v>
      </c>
      <c r="BH87" s="65">
        <f>VLOOKUP(AA87,Table1551[#All],2,FALSE)</f>
        <v>1</v>
      </c>
      <c r="BI87" s="65">
        <f t="shared" si="77"/>
        <v>0</v>
      </c>
      <c r="BJ87" s="64" t="str">
        <f t="shared" si="78"/>
        <v>0</v>
      </c>
      <c r="CK87" s="86" t="s">
        <v>118</v>
      </c>
      <c r="CL87" s="2">
        <v>1.1299999999999999</v>
      </c>
      <c r="CM87" s="2">
        <f t="shared" si="79"/>
        <v>1.2429999999999999</v>
      </c>
      <c r="CN87" s="10">
        <v>1.5</v>
      </c>
      <c r="CO87" s="84">
        <f t="shared" si="80"/>
        <v>0</v>
      </c>
    </row>
    <row r="88" spans="1:93" ht="11.1" hidden="1" customHeight="1" x14ac:dyDescent="0.45">
      <c r="A88" s="83"/>
      <c r="B88" s="266"/>
      <c r="C88" s="267"/>
      <c r="D88" s="267"/>
      <c r="E88" s="268"/>
      <c r="F88" s="64"/>
      <c r="G88" s="64"/>
      <c r="H88" s="82"/>
      <c r="I88" s="81"/>
      <c r="J88" s="64"/>
      <c r="K88" s="80"/>
      <c r="L88" s="79">
        <f t="shared" si="54"/>
        <v>0</v>
      </c>
      <c r="M88" s="64"/>
      <c r="N88" s="64"/>
      <c r="O88" s="64"/>
      <c r="P88" s="80"/>
      <c r="Q88" s="79">
        <f t="shared" si="55"/>
        <v>0</v>
      </c>
      <c r="R88" s="269"/>
      <c r="S88" s="270"/>
      <c r="T88" s="266"/>
      <c r="U88" s="267"/>
      <c r="V88" s="267"/>
      <c r="W88" s="268"/>
      <c r="X88" s="271" t="str">
        <f>IFERROR(INDEX(Table3941[],MATCH(R88,Table3941[Film Type],),3),"")</f>
        <v/>
      </c>
      <c r="Y88" s="271"/>
      <c r="Z88" s="78" t="s">
        <v>55</v>
      </c>
      <c r="AA88" s="78" t="s">
        <v>55</v>
      </c>
      <c r="AB88" s="77"/>
      <c r="AC88" s="76"/>
      <c r="AD88" s="75">
        <f t="shared" si="56"/>
        <v>0</v>
      </c>
      <c r="AG88" s="74">
        <f t="shared" si="57"/>
        <v>0</v>
      </c>
      <c r="AK88" s="65">
        <f t="shared" si="58"/>
        <v>0</v>
      </c>
      <c r="AL88" s="65">
        <f t="shared" si="59"/>
        <v>0</v>
      </c>
      <c r="AM88" s="65">
        <f t="shared" si="60"/>
        <v>0</v>
      </c>
      <c r="AN88" s="73">
        <f t="shared" si="61"/>
        <v>0</v>
      </c>
      <c r="AO88" s="65" t="str">
        <f t="shared" si="62"/>
        <v>0.00</v>
      </c>
      <c r="AP88" s="65" t="str">
        <f t="shared" si="63"/>
        <v>0</v>
      </c>
      <c r="AQ88" s="71">
        <f t="shared" si="64"/>
        <v>0</v>
      </c>
      <c r="AR88" s="72">
        <f t="shared" si="65"/>
        <v>0</v>
      </c>
      <c r="AS88" s="71">
        <f t="shared" si="66"/>
        <v>0</v>
      </c>
      <c r="AT88" s="70">
        <f t="shared" si="67"/>
        <v>0</v>
      </c>
      <c r="AU88" s="70">
        <f t="shared" si="68"/>
        <v>0</v>
      </c>
      <c r="AV88" s="2"/>
      <c r="AW88" s="66">
        <f t="shared" si="69"/>
        <v>0</v>
      </c>
      <c r="AX88" s="68">
        <f>_xlfn.IFNA(INDEX(Table3941[I $ p/ft2],MATCH(R88,Table3941[Film Type],0)),1.75)</f>
        <v>1.75</v>
      </c>
      <c r="AY88" s="69">
        <f>VLOOKUP(Z88,Table1349[#All],2,FALSE)</f>
        <v>1</v>
      </c>
      <c r="AZ88" s="68">
        <f t="shared" si="70"/>
        <v>1.75</v>
      </c>
      <c r="BA88" s="65">
        <f t="shared" si="71"/>
        <v>0</v>
      </c>
      <c r="BB88" s="64">
        <f t="shared" si="72"/>
        <v>0</v>
      </c>
      <c r="BC88" s="67">
        <f t="shared" si="73"/>
        <v>0</v>
      </c>
      <c r="BD88" s="66">
        <f t="shared" si="74"/>
        <v>0</v>
      </c>
      <c r="BE88" s="64"/>
      <c r="BF88" s="66">
        <f t="shared" si="75"/>
        <v>0</v>
      </c>
      <c r="BG88" s="66">
        <f t="shared" si="76"/>
        <v>0</v>
      </c>
      <c r="BH88" s="65">
        <f>VLOOKUP(AA88,Table1551[#All],2,FALSE)</f>
        <v>1</v>
      </c>
      <c r="BI88" s="65">
        <f t="shared" si="77"/>
        <v>0</v>
      </c>
      <c r="BJ88" s="64" t="str">
        <f t="shared" si="78"/>
        <v>0</v>
      </c>
      <c r="CK88" s="86" t="s">
        <v>117</v>
      </c>
      <c r="CL88" s="2">
        <v>1.1499999999999999</v>
      </c>
      <c r="CM88" s="2">
        <f t="shared" si="79"/>
        <v>1.2649999999999999</v>
      </c>
      <c r="CN88" s="10">
        <v>2</v>
      </c>
      <c r="CO88" s="84">
        <f t="shared" si="80"/>
        <v>0</v>
      </c>
    </row>
    <row r="89" spans="1:93" ht="11.1" hidden="1" customHeight="1" x14ac:dyDescent="0.45">
      <c r="A89" s="83"/>
      <c r="B89" s="266"/>
      <c r="C89" s="267"/>
      <c r="D89" s="267"/>
      <c r="E89" s="268"/>
      <c r="F89" s="64"/>
      <c r="G89" s="64"/>
      <c r="H89" s="82"/>
      <c r="I89" s="81"/>
      <c r="J89" s="64"/>
      <c r="K89" s="80"/>
      <c r="L89" s="79">
        <f t="shared" si="54"/>
        <v>0</v>
      </c>
      <c r="M89" s="64"/>
      <c r="N89" s="64"/>
      <c r="O89" s="64"/>
      <c r="P89" s="80"/>
      <c r="Q89" s="79">
        <f t="shared" si="55"/>
        <v>0</v>
      </c>
      <c r="R89" s="269"/>
      <c r="S89" s="270"/>
      <c r="T89" s="266"/>
      <c r="U89" s="267"/>
      <c r="V89" s="267"/>
      <c r="W89" s="268"/>
      <c r="X89" s="271" t="str">
        <f>IFERROR(INDEX(Table3941[],MATCH(R89,Table3941[Film Type],),3),"")</f>
        <v/>
      </c>
      <c r="Y89" s="271"/>
      <c r="Z89" s="78" t="s">
        <v>55</v>
      </c>
      <c r="AA89" s="78" t="s">
        <v>55</v>
      </c>
      <c r="AB89" s="77"/>
      <c r="AC89" s="76"/>
      <c r="AD89" s="75">
        <f t="shared" si="56"/>
        <v>0</v>
      </c>
      <c r="AG89" s="74">
        <f t="shared" si="57"/>
        <v>0</v>
      </c>
      <c r="AK89" s="65">
        <f t="shared" si="58"/>
        <v>0</v>
      </c>
      <c r="AL89" s="65">
        <f t="shared" si="59"/>
        <v>0</v>
      </c>
      <c r="AM89" s="65">
        <f t="shared" si="60"/>
        <v>0</v>
      </c>
      <c r="AN89" s="73">
        <f t="shared" si="61"/>
        <v>0</v>
      </c>
      <c r="AO89" s="65" t="str">
        <f t="shared" si="62"/>
        <v>0.00</v>
      </c>
      <c r="AP89" s="65" t="str">
        <f t="shared" si="63"/>
        <v>0</v>
      </c>
      <c r="AQ89" s="71">
        <f t="shared" si="64"/>
        <v>0</v>
      </c>
      <c r="AR89" s="72">
        <f t="shared" si="65"/>
        <v>0</v>
      </c>
      <c r="AS89" s="71">
        <f t="shared" si="66"/>
        <v>0</v>
      </c>
      <c r="AT89" s="70">
        <f t="shared" si="67"/>
        <v>0</v>
      </c>
      <c r="AU89" s="70">
        <f t="shared" si="68"/>
        <v>0</v>
      </c>
      <c r="AV89" s="2"/>
      <c r="AW89" s="66">
        <f t="shared" si="69"/>
        <v>0</v>
      </c>
      <c r="AX89" s="68">
        <f>_xlfn.IFNA(INDEX(Table3941[I $ p/ft2],MATCH(R89,Table3941[Film Type],0)),1.75)</f>
        <v>1.75</v>
      </c>
      <c r="AY89" s="69">
        <f>VLOOKUP(Z89,Table1349[#All],2,FALSE)</f>
        <v>1</v>
      </c>
      <c r="AZ89" s="68">
        <f t="shared" si="70"/>
        <v>1.75</v>
      </c>
      <c r="BA89" s="65">
        <f t="shared" si="71"/>
        <v>0</v>
      </c>
      <c r="BB89" s="64">
        <f t="shared" si="72"/>
        <v>0</v>
      </c>
      <c r="BC89" s="67">
        <f t="shared" si="73"/>
        <v>0</v>
      </c>
      <c r="BD89" s="66">
        <f t="shared" si="74"/>
        <v>0</v>
      </c>
      <c r="BE89" s="64"/>
      <c r="BF89" s="66">
        <f t="shared" si="75"/>
        <v>0</v>
      </c>
      <c r="BG89" s="66">
        <f t="shared" si="76"/>
        <v>0</v>
      </c>
      <c r="BH89" s="65">
        <f>VLOOKUP(AA89,Table1551[#All],2,FALSE)</f>
        <v>1</v>
      </c>
      <c r="BI89" s="65">
        <f t="shared" si="77"/>
        <v>0</v>
      </c>
      <c r="BJ89" s="64" t="str">
        <f t="shared" si="78"/>
        <v>0</v>
      </c>
      <c r="CK89" s="86" t="s">
        <v>116</v>
      </c>
      <c r="CL89" s="2">
        <v>1.36</v>
      </c>
      <c r="CM89" s="2">
        <f t="shared" si="79"/>
        <v>1.4960000000000002</v>
      </c>
      <c r="CN89" s="10">
        <v>2</v>
      </c>
      <c r="CO89" s="84">
        <f t="shared" si="80"/>
        <v>0</v>
      </c>
    </row>
    <row r="90" spans="1:93" ht="11.1" hidden="1" customHeight="1" x14ac:dyDescent="0.45">
      <c r="A90" s="83"/>
      <c r="B90" s="266"/>
      <c r="C90" s="267"/>
      <c r="D90" s="267"/>
      <c r="E90" s="268"/>
      <c r="F90" s="64"/>
      <c r="G90" s="64"/>
      <c r="H90" s="82"/>
      <c r="I90" s="81"/>
      <c r="J90" s="64"/>
      <c r="K90" s="80"/>
      <c r="L90" s="79">
        <f t="shared" si="54"/>
        <v>0</v>
      </c>
      <c r="M90" s="64"/>
      <c r="N90" s="64"/>
      <c r="O90" s="64"/>
      <c r="P90" s="80"/>
      <c r="Q90" s="79">
        <f t="shared" si="55"/>
        <v>0</v>
      </c>
      <c r="R90" s="269"/>
      <c r="S90" s="270"/>
      <c r="T90" s="266"/>
      <c r="U90" s="267"/>
      <c r="V90" s="267"/>
      <c r="W90" s="268"/>
      <c r="X90" s="271" t="str">
        <f>IFERROR(INDEX(Table3941[],MATCH(R90,Table3941[Film Type],),3),"")</f>
        <v/>
      </c>
      <c r="Y90" s="271"/>
      <c r="Z90" s="78" t="s">
        <v>55</v>
      </c>
      <c r="AA90" s="78" t="s">
        <v>55</v>
      </c>
      <c r="AB90" s="77"/>
      <c r="AC90" s="76"/>
      <c r="AD90" s="75">
        <f t="shared" si="56"/>
        <v>0</v>
      </c>
      <c r="AG90" s="74">
        <f t="shared" si="57"/>
        <v>0</v>
      </c>
      <c r="AK90" s="65">
        <f t="shared" si="58"/>
        <v>0</v>
      </c>
      <c r="AL90" s="65">
        <f t="shared" si="59"/>
        <v>0</v>
      </c>
      <c r="AM90" s="65">
        <f t="shared" si="60"/>
        <v>0</v>
      </c>
      <c r="AN90" s="73">
        <f t="shared" si="61"/>
        <v>0</v>
      </c>
      <c r="AO90" s="65" t="str">
        <f t="shared" si="62"/>
        <v>0.00</v>
      </c>
      <c r="AP90" s="65" t="str">
        <f t="shared" si="63"/>
        <v>0</v>
      </c>
      <c r="AQ90" s="71">
        <f t="shared" si="64"/>
        <v>0</v>
      </c>
      <c r="AR90" s="72">
        <f t="shared" si="65"/>
        <v>0</v>
      </c>
      <c r="AS90" s="71">
        <f t="shared" si="66"/>
        <v>0</v>
      </c>
      <c r="AT90" s="70">
        <f t="shared" si="67"/>
        <v>0</v>
      </c>
      <c r="AU90" s="70">
        <f t="shared" si="68"/>
        <v>0</v>
      </c>
      <c r="AV90" s="2"/>
      <c r="AW90" s="66">
        <f t="shared" si="69"/>
        <v>0</v>
      </c>
      <c r="AX90" s="68">
        <f>_xlfn.IFNA(INDEX(Table3941[I $ p/ft2],MATCH(R90,Table3941[Film Type],0)),1.75)</f>
        <v>1.75</v>
      </c>
      <c r="AY90" s="69">
        <f>VLOOKUP(Z90,Table1349[#All],2,FALSE)</f>
        <v>1</v>
      </c>
      <c r="AZ90" s="68">
        <f t="shared" si="70"/>
        <v>1.75</v>
      </c>
      <c r="BA90" s="65">
        <f t="shared" si="71"/>
        <v>0</v>
      </c>
      <c r="BB90" s="64">
        <f t="shared" si="72"/>
        <v>0</v>
      </c>
      <c r="BC90" s="67">
        <f t="shared" si="73"/>
        <v>0</v>
      </c>
      <c r="BD90" s="66">
        <f t="shared" si="74"/>
        <v>0</v>
      </c>
      <c r="BE90" s="64"/>
      <c r="BF90" s="66">
        <f t="shared" si="75"/>
        <v>0</v>
      </c>
      <c r="BG90" s="66">
        <f t="shared" si="76"/>
        <v>0</v>
      </c>
      <c r="BH90" s="65">
        <f>VLOOKUP(AA90,Table1551[#All],2,FALSE)</f>
        <v>1</v>
      </c>
      <c r="BI90" s="65">
        <f t="shared" si="77"/>
        <v>0</v>
      </c>
      <c r="BJ90" s="64" t="str">
        <f t="shared" si="78"/>
        <v>0</v>
      </c>
      <c r="CK90" s="86" t="s">
        <v>115</v>
      </c>
      <c r="CL90" s="2">
        <v>1.72</v>
      </c>
      <c r="CM90" s="2">
        <f t="shared" si="79"/>
        <v>1.8920000000000001</v>
      </c>
      <c r="CN90" s="10">
        <v>2</v>
      </c>
      <c r="CO90" s="84">
        <f t="shared" si="80"/>
        <v>0</v>
      </c>
    </row>
    <row r="91" spans="1:93" ht="11.1" hidden="1" customHeight="1" x14ac:dyDescent="0.45">
      <c r="A91" s="83"/>
      <c r="B91" s="266"/>
      <c r="C91" s="267"/>
      <c r="D91" s="267"/>
      <c r="E91" s="268"/>
      <c r="F91" s="64"/>
      <c r="G91" s="64"/>
      <c r="H91" s="82"/>
      <c r="I91" s="81"/>
      <c r="J91" s="64"/>
      <c r="K91" s="80"/>
      <c r="L91" s="79">
        <f t="shared" si="54"/>
        <v>0</v>
      </c>
      <c r="M91" s="64"/>
      <c r="N91" s="64"/>
      <c r="O91" s="64"/>
      <c r="P91" s="80"/>
      <c r="Q91" s="79">
        <f t="shared" si="55"/>
        <v>0</v>
      </c>
      <c r="R91" s="269"/>
      <c r="S91" s="270"/>
      <c r="T91" s="266"/>
      <c r="U91" s="267"/>
      <c r="V91" s="267"/>
      <c r="W91" s="268"/>
      <c r="X91" s="271" t="str">
        <f>IFERROR(INDEX(Table3941[],MATCH(R91,Table3941[Film Type],),3),"")</f>
        <v/>
      </c>
      <c r="Y91" s="271"/>
      <c r="Z91" s="78" t="s">
        <v>55</v>
      </c>
      <c r="AA91" s="78" t="s">
        <v>55</v>
      </c>
      <c r="AB91" s="77"/>
      <c r="AC91" s="76"/>
      <c r="AD91" s="75">
        <f t="shared" si="56"/>
        <v>0</v>
      </c>
      <c r="AG91" s="74">
        <f t="shared" si="57"/>
        <v>0</v>
      </c>
      <c r="AK91" s="65">
        <f t="shared" si="58"/>
        <v>0</v>
      </c>
      <c r="AL91" s="65">
        <f t="shared" si="59"/>
        <v>0</v>
      </c>
      <c r="AM91" s="65">
        <f t="shared" si="60"/>
        <v>0</v>
      </c>
      <c r="AN91" s="73">
        <f t="shared" si="61"/>
        <v>0</v>
      </c>
      <c r="AO91" s="65" t="str">
        <f t="shared" si="62"/>
        <v>0.00</v>
      </c>
      <c r="AP91" s="65" t="str">
        <f t="shared" si="63"/>
        <v>0</v>
      </c>
      <c r="AQ91" s="71">
        <f t="shared" si="64"/>
        <v>0</v>
      </c>
      <c r="AR91" s="72">
        <f t="shared" si="65"/>
        <v>0</v>
      </c>
      <c r="AS91" s="71">
        <f t="shared" si="66"/>
        <v>0</v>
      </c>
      <c r="AT91" s="70">
        <f t="shared" si="67"/>
        <v>0</v>
      </c>
      <c r="AU91" s="70">
        <f t="shared" si="68"/>
        <v>0</v>
      </c>
      <c r="AV91" s="2"/>
      <c r="AW91" s="66">
        <f t="shared" si="69"/>
        <v>0</v>
      </c>
      <c r="AX91" s="68">
        <f>_xlfn.IFNA(INDEX(Table3941[I $ p/ft2],MATCH(R91,Table3941[Film Type],0)),1.75)</f>
        <v>1.75</v>
      </c>
      <c r="AY91" s="69">
        <f>VLOOKUP(Z91,Table1349[#All],2,FALSE)</f>
        <v>1</v>
      </c>
      <c r="AZ91" s="68">
        <f t="shared" si="70"/>
        <v>1.75</v>
      </c>
      <c r="BA91" s="65">
        <f t="shared" si="71"/>
        <v>0</v>
      </c>
      <c r="BB91" s="64">
        <f t="shared" si="72"/>
        <v>0</v>
      </c>
      <c r="BC91" s="67">
        <f t="shared" si="73"/>
        <v>0</v>
      </c>
      <c r="BD91" s="66">
        <f t="shared" si="74"/>
        <v>0</v>
      </c>
      <c r="BE91" s="64"/>
      <c r="BF91" s="66">
        <f t="shared" si="75"/>
        <v>0</v>
      </c>
      <c r="BG91" s="66">
        <f t="shared" si="76"/>
        <v>0</v>
      </c>
      <c r="BH91" s="65">
        <f>VLOOKUP(AA91,Table1551[#All],2,FALSE)</f>
        <v>1</v>
      </c>
      <c r="BI91" s="65">
        <f t="shared" si="77"/>
        <v>0</v>
      </c>
      <c r="BJ91" s="64" t="str">
        <f t="shared" si="78"/>
        <v>0</v>
      </c>
      <c r="CK91" s="86" t="s">
        <v>114</v>
      </c>
      <c r="CL91" s="2">
        <v>1.44</v>
      </c>
      <c r="CM91" s="2">
        <f t="shared" si="79"/>
        <v>1.5840000000000001</v>
      </c>
      <c r="CN91" s="10">
        <v>2</v>
      </c>
      <c r="CO91" s="84">
        <f t="shared" si="80"/>
        <v>0</v>
      </c>
    </row>
    <row r="92" spans="1:93" ht="11.1" hidden="1" customHeight="1" x14ac:dyDescent="0.45">
      <c r="A92" s="83"/>
      <c r="B92" s="266"/>
      <c r="C92" s="267"/>
      <c r="D92" s="267"/>
      <c r="E92" s="268"/>
      <c r="F92" s="64"/>
      <c r="G92" s="64"/>
      <c r="H92" s="82"/>
      <c r="I92" s="81"/>
      <c r="J92" s="64"/>
      <c r="K92" s="80"/>
      <c r="L92" s="79">
        <f t="shared" si="54"/>
        <v>0</v>
      </c>
      <c r="M92" s="64"/>
      <c r="N92" s="64"/>
      <c r="O92" s="64"/>
      <c r="P92" s="80"/>
      <c r="Q92" s="79">
        <f t="shared" si="55"/>
        <v>0</v>
      </c>
      <c r="R92" s="269"/>
      <c r="S92" s="270"/>
      <c r="T92" s="266"/>
      <c r="U92" s="267"/>
      <c r="V92" s="267"/>
      <c r="W92" s="268"/>
      <c r="X92" s="271" t="str">
        <f>IFERROR(INDEX(Table3941[],MATCH(R92,Table3941[Film Type],),3),"")</f>
        <v/>
      </c>
      <c r="Y92" s="271"/>
      <c r="Z92" s="78" t="s">
        <v>55</v>
      </c>
      <c r="AA92" s="78" t="s">
        <v>55</v>
      </c>
      <c r="AB92" s="77"/>
      <c r="AC92" s="76"/>
      <c r="AD92" s="75">
        <f t="shared" si="56"/>
        <v>0</v>
      </c>
      <c r="AG92" s="74">
        <f t="shared" si="57"/>
        <v>0</v>
      </c>
      <c r="AK92" s="65">
        <f t="shared" si="58"/>
        <v>0</v>
      </c>
      <c r="AL92" s="65">
        <f t="shared" si="59"/>
        <v>0</v>
      </c>
      <c r="AM92" s="65">
        <f t="shared" si="60"/>
        <v>0</v>
      </c>
      <c r="AN92" s="73">
        <f t="shared" si="61"/>
        <v>0</v>
      </c>
      <c r="AO92" s="65" t="str">
        <f t="shared" si="62"/>
        <v>0.00</v>
      </c>
      <c r="AP92" s="65" t="str">
        <f t="shared" si="63"/>
        <v>0</v>
      </c>
      <c r="AQ92" s="71">
        <f t="shared" si="64"/>
        <v>0</v>
      </c>
      <c r="AR92" s="72">
        <f t="shared" si="65"/>
        <v>0</v>
      </c>
      <c r="AS92" s="71">
        <f t="shared" si="66"/>
        <v>0</v>
      </c>
      <c r="AT92" s="70">
        <f t="shared" si="67"/>
        <v>0</v>
      </c>
      <c r="AU92" s="70">
        <f t="shared" si="68"/>
        <v>0</v>
      </c>
      <c r="AV92" s="2"/>
      <c r="AW92" s="66">
        <f t="shared" si="69"/>
        <v>0</v>
      </c>
      <c r="AX92" s="68">
        <f>_xlfn.IFNA(INDEX(Table3941[I $ p/ft2],MATCH(R92,Table3941[Film Type],0)),1.75)</f>
        <v>1.75</v>
      </c>
      <c r="AY92" s="69">
        <f>VLOOKUP(Z92,Table1349[#All],2,FALSE)</f>
        <v>1</v>
      </c>
      <c r="AZ92" s="68">
        <f t="shared" si="70"/>
        <v>1.75</v>
      </c>
      <c r="BA92" s="65">
        <f t="shared" si="71"/>
        <v>0</v>
      </c>
      <c r="BB92" s="64">
        <f t="shared" si="72"/>
        <v>0</v>
      </c>
      <c r="BC92" s="67">
        <f t="shared" si="73"/>
        <v>0</v>
      </c>
      <c r="BD92" s="66">
        <f t="shared" si="74"/>
        <v>0</v>
      </c>
      <c r="BE92" s="64"/>
      <c r="BF92" s="66">
        <f t="shared" si="75"/>
        <v>0</v>
      </c>
      <c r="BG92" s="66">
        <f t="shared" si="76"/>
        <v>0</v>
      </c>
      <c r="BH92" s="65">
        <f>VLOOKUP(AA92,Table1551[#All],2,FALSE)</f>
        <v>1</v>
      </c>
      <c r="BI92" s="65">
        <f t="shared" si="77"/>
        <v>0</v>
      </c>
      <c r="BJ92" s="64" t="str">
        <f t="shared" si="78"/>
        <v>0</v>
      </c>
      <c r="CK92" s="86"/>
      <c r="CM92" s="2">
        <f t="shared" si="79"/>
        <v>0</v>
      </c>
      <c r="CN92" s="10"/>
      <c r="CO92" s="84">
        <f t="shared" si="80"/>
        <v>0</v>
      </c>
    </row>
    <row r="93" spans="1:93" ht="11.1" hidden="1" customHeight="1" x14ac:dyDescent="0.45">
      <c r="A93" s="83"/>
      <c r="B93" s="266"/>
      <c r="C93" s="267"/>
      <c r="D93" s="267"/>
      <c r="E93" s="268"/>
      <c r="F93" s="64"/>
      <c r="G93" s="64"/>
      <c r="H93" s="82"/>
      <c r="I93" s="81"/>
      <c r="J93" s="64"/>
      <c r="K93" s="80"/>
      <c r="L93" s="79">
        <f t="shared" si="54"/>
        <v>0</v>
      </c>
      <c r="M93" s="64"/>
      <c r="N93" s="64"/>
      <c r="O93" s="64"/>
      <c r="P93" s="80"/>
      <c r="Q93" s="79">
        <f t="shared" si="55"/>
        <v>0</v>
      </c>
      <c r="R93" s="269"/>
      <c r="S93" s="270"/>
      <c r="T93" s="266"/>
      <c r="U93" s="267"/>
      <c r="V93" s="267"/>
      <c r="W93" s="268"/>
      <c r="X93" s="271" t="str">
        <f>IFERROR(INDEX(Table3941[],MATCH(R93,Table3941[Film Type],),3),"")</f>
        <v/>
      </c>
      <c r="Y93" s="271"/>
      <c r="Z93" s="78" t="s">
        <v>55</v>
      </c>
      <c r="AA93" s="78" t="s">
        <v>55</v>
      </c>
      <c r="AB93" s="77"/>
      <c r="AC93" s="76"/>
      <c r="AD93" s="75">
        <f t="shared" si="56"/>
        <v>0</v>
      </c>
      <c r="AG93" s="74">
        <f t="shared" si="57"/>
        <v>0</v>
      </c>
      <c r="AK93" s="65">
        <f t="shared" si="58"/>
        <v>0</v>
      </c>
      <c r="AL93" s="65">
        <f t="shared" si="59"/>
        <v>0</v>
      </c>
      <c r="AM93" s="65">
        <f t="shared" si="60"/>
        <v>0</v>
      </c>
      <c r="AN93" s="73">
        <f t="shared" si="61"/>
        <v>0</v>
      </c>
      <c r="AO93" s="65" t="str">
        <f t="shared" si="62"/>
        <v>0.00</v>
      </c>
      <c r="AP93" s="65" t="str">
        <f t="shared" si="63"/>
        <v>0</v>
      </c>
      <c r="AQ93" s="71">
        <f t="shared" si="64"/>
        <v>0</v>
      </c>
      <c r="AR93" s="72">
        <f t="shared" si="65"/>
        <v>0</v>
      </c>
      <c r="AS93" s="71">
        <f t="shared" si="66"/>
        <v>0</v>
      </c>
      <c r="AT93" s="70">
        <f t="shared" si="67"/>
        <v>0</v>
      </c>
      <c r="AU93" s="70">
        <f t="shared" si="68"/>
        <v>0</v>
      </c>
      <c r="AV93" s="2"/>
      <c r="AW93" s="66">
        <f t="shared" si="69"/>
        <v>0</v>
      </c>
      <c r="AX93" s="68">
        <f>_xlfn.IFNA(INDEX(Table3941[I $ p/ft2],MATCH(R93,Table3941[Film Type],0)),1.75)</f>
        <v>1.75</v>
      </c>
      <c r="AY93" s="69">
        <f>VLOOKUP(Z93,Table1349[#All],2,FALSE)</f>
        <v>1</v>
      </c>
      <c r="AZ93" s="68">
        <f t="shared" si="70"/>
        <v>1.75</v>
      </c>
      <c r="BA93" s="65">
        <f t="shared" si="71"/>
        <v>0</v>
      </c>
      <c r="BB93" s="64">
        <f t="shared" si="72"/>
        <v>0</v>
      </c>
      <c r="BC93" s="67">
        <f t="shared" si="73"/>
        <v>0</v>
      </c>
      <c r="BD93" s="66">
        <f t="shared" si="74"/>
        <v>0</v>
      </c>
      <c r="BE93" s="64"/>
      <c r="BF93" s="66">
        <f t="shared" si="75"/>
        <v>0</v>
      </c>
      <c r="BG93" s="66">
        <f t="shared" si="76"/>
        <v>0</v>
      </c>
      <c r="BH93" s="65">
        <f>VLOOKUP(AA93,Table1551[#All],2,FALSE)</f>
        <v>1</v>
      </c>
      <c r="BI93" s="65">
        <f t="shared" si="77"/>
        <v>0</v>
      </c>
      <c r="BJ93" s="64" t="str">
        <f t="shared" si="78"/>
        <v>0</v>
      </c>
      <c r="CK93" s="86" t="s">
        <v>113</v>
      </c>
      <c r="CL93" s="2">
        <v>1.52</v>
      </c>
      <c r="CM93" s="2">
        <f t="shared" si="79"/>
        <v>1.6720000000000002</v>
      </c>
      <c r="CN93" s="10">
        <v>1.5</v>
      </c>
      <c r="CO93" s="84">
        <f t="shared" si="80"/>
        <v>0</v>
      </c>
    </row>
    <row r="94" spans="1:93" ht="11.1" hidden="1" customHeight="1" x14ac:dyDescent="0.45">
      <c r="A94" s="83"/>
      <c r="B94" s="266"/>
      <c r="C94" s="267"/>
      <c r="D94" s="267"/>
      <c r="E94" s="268"/>
      <c r="F94" s="64"/>
      <c r="G94" s="64"/>
      <c r="H94" s="82"/>
      <c r="I94" s="81"/>
      <c r="J94" s="64"/>
      <c r="K94" s="80"/>
      <c r="L94" s="79">
        <f t="shared" si="54"/>
        <v>0</v>
      </c>
      <c r="M94" s="64"/>
      <c r="N94" s="64"/>
      <c r="O94" s="64"/>
      <c r="P94" s="80"/>
      <c r="Q94" s="79">
        <f t="shared" si="55"/>
        <v>0</v>
      </c>
      <c r="R94" s="269"/>
      <c r="S94" s="270"/>
      <c r="T94" s="266"/>
      <c r="U94" s="267"/>
      <c r="V94" s="267"/>
      <c r="W94" s="268"/>
      <c r="X94" s="271" t="str">
        <f>IFERROR(INDEX(Table3941[],MATCH(R94,Table3941[Film Type],),3),"")</f>
        <v/>
      </c>
      <c r="Y94" s="271"/>
      <c r="Z94" s="78" t="s">
        <v>55</v>
      </c>
      <c r="AA94" s="78" t="s">
        <v>55</v>
      </c>
      <c r="AB94" s="77"/>
      <c r="AC94" s="76"/>
      <c r="AD94" s="75">
        <f t="shared" si="56"/>
        <v>0</v>
      </c>
      <c r="AG94" s="74">
        <f t="shared" si="57"/>
        <v>0</v>
      </c>
      <c r="AK94" s="65">
        <f t="shared" si="58"/>
        <v>0</v>
      </c>
      <c r="AL94" s="65">
        <f t="shared" si="59"/>
        <v>0</v>
      </c>
      <c r="AM94" s="65">
        <f t="shared" si="60"/>
        <v>0</v>
      </c>
      <c r="AN94" s="73">
        <f t="shared" si="61"/>
        <v>0</v>
      </c>
      <c r="AO94" s="65" t="str">
        <f t="shared" si="62"/>
        <v>0.00</v>
      </c>
      <c r="AP94" s="65" t="str">
        <f t="shared" si="63"/>
        <v>0</v>
      </c>
      <c r="AQ94" s="71">
        <f t="shared" si="64"/>
        <v>0</v>
      </c>
      <c r="AR94" s="72">
        <f t="shared" si="65"/>
        <v>0</v>
      </c>
      <c r="AS94" s="71">
        <f t="shared" si="66"/>
        <v>0</v>
      </c>
      <c r="AT94" s="70">
        <f t="shared" si="67"/>
        <v>0</v>
      </c>
      <c r="AU94" s="70">
        <f t="shared" si="68"/>
        <v>0</v>
      </c>
      <c r="AV94" s="2"/>
      <c r="AW94" s="66">
        <f t="shared" si="69"/>
        <v>0</v>
      </c>
      <c r="AX94" s="68">
        <f>_xlfn.IFNA(INDEX(Table3941[I $ p/ft2],MATCH(R94,Table3941[Film Type],0)),1.75)</f>
        <v>1.75</v>
      </c>
      <c r="AY94" s="69">
        <f>VLOOKUP(Z94,Table1349[#All],2,FALSE)</f>
        <v>1</v>
      </c>
      <c r="AZ94" s="68">
        <f t="shared" si="70"/>
        <v>1.75</v>
      </c>
      <c r="BA94" s="65">
        <f t="shared" si="71"/>
        <v>0</v>
      </c>
      <c r="BB94" s="64">
        <f t="shared" si="72"/>
        <v>0</v>
      </c>
      <c r="BC94" s="67">
        <f t="shared" si="73"/>
        <v>0</v>
      </c>
      <c r="BD94" s="66">
        <f t="shared" si="74"/>
        <v>0</v>
      </c>
      <c r="BE94" s="64"/>
      <c r="BF94" s="66">
        <f t="shared" si="75"/>
        <v>0</v>
      </c>
      <c r="BG94" s="66">
        <f t="shared" si="76"/>
        <v>0</v>
      </c>
      <c r="BH94" s="65">
        <f>VLOOKUP(AA94,Table1551[#All],2,FALSE)</f>
        <v>1</v>
      </c>
      <c r="BI94" s="65">
        <f t="shared" si="77"/>
        <v>0</v>
      </c>
      <c r="BJ94" s="64" t="str">
        <f t="shared" si="78"/>
        <v>0</v>
      </c>
      <c r="CK94" s="86" t="s">
        <v>112</v>
      </c>
      <c r="CL94" s="2">
        <v>1.52</v>
      </c>
      <c r="CM94" s="2">
        <f t="shared" si="79"/>
        <v>1.6720000000000002</v>
      </c>
      <c r="CN94" s="10">
        <v>1.5</v>
      </c>
      <c r="CO94" s="84">
        <f t="shared" si="80"/>
        <v>0</v>
      </c>
    </row>
    <row r="95" spans="1:93" ht="11.1" hidden="1" customHeight="1" x14ac:dyDescent="0.45">
      <c r="A95" s="83"/>
      <c r="B95" s="266"/>
      <c r="C95" s="267"/>
      <c r="D95" s="267"/>
      <c r="E95" s="268"/>
      <c r="F95" s="64"/>
      <c r="G95" s="64"/>
      <c r="H95" s="82"/>
      <c r="I95" s="81"/>
      <c r="J95" s="64"/>
      <c r="K95" s="80"/>
      <c r="L95" s="79">
        <f t="shared" si="54"/>
        <v>0</v>
      </c>
      <c r="M95" s="64"/>
      <c r="N95" s="64"/>
      <c r="O95" s="64"/>
      <c r="P95" s="80"/>
      <c r="Q95" s="79">
        <f t="shared" si="55"/>
        <v>0</v>
      </c>
      <c r="R95" s="269"/>
      <c r="S95" s="270"/>
      <c r="T95" s="266"/>
      <c r="U95" s="267"/>
      <c r="V95" s="267"/>
      <c r="W95" s="268"/>
      <c r="X95" s="271" t="str">
        <f>IFERROR(INDEX(Table3941[],MATCH(R95,Table3941[Film Type],),3),"")</f>
        <v/>
      </c>
      <c r="Y95" s="271"/>
      <c r="Z95" s="78" t="s">
        <v>55</v>
      </c>
      <c r="AA95" s="78" t="s">
        <v>55</v>
      </c>
      <c r="AB95" s="77"/>
      <c r="AC95" s="76"/>
      <c r="AD95" s="75">
        <f t="shared" si="56"/>
        <v>0</v>
      </c>
      <c r="AG95" s="74">
        <f t="shared" si="57"/>
        <v>0</v>
      </c>
      <c r="AK95" s="65">
        <f t="shared" si="58"/>
        <v>0</v>
      </c>
      <c r="AL95" s="65">
        <f t="shared" si="59"/>
        <v>0</v>
      </c>
      <c r="AM95" s="65">
        <f t="shared" si="60"/>
        <v>0</v>
      </c>
      <c r="AN95" s="73">
        <f t="shared" si="61"/>
        <v>0</v>
      </c>
      <c r="AO95" s="65" t="str">
        <f t="shared" si="62"/>
        <v>0.00</v>
      </c>
      <c r="AP95" s="65" t="str">
        <f t="shared" si="63"/>
        <v>0</v>
      </c>
      <c r="AQ95" s="71">
        <f t="shared" si="64"/>
        <v>0</v>
      </c>
      <c r="AR95" s="72">
        <f t="shared" si="65"/>
        <v>0</v>
      </c>
      <c r="AS95" s="71">
        <f t="shared" si="66"/>
        <v>0</v>
      </c>
      <c r="AT95" s="70">
        <f t="shared" si="67"/>
        <v>0</v>
      </c>
      <c r="AU95" s="70">
        <f t="shared" si="68"/>
        <v>0</v>
      </c>
      <c r="AV95" s="2"/>
      <c r="AW95" s="66">
        <f t="shared" si="69"/>
        <v>0</v>
      </c>
      <c r="AX95" s="68">
        <f>_xlfn.IFNA(INDEX(Table3941[I $ p/ft2],MATCH(R95,Table3941[Film Type],0)),1.75)</f>
        <v>1.75</v>
      </c>
      <c r="AY95" s="69">
        <f>VLOOKUP(Z95,Table1349[#All],2,FALSE)</f>
        <v>1</v>
      </c>
      <c r="AZ95" s="68">
        <f t="shared" si="70"/>
        <v>1.75</v>
      </c>
      <c r="BA95" s="65">
        <f t="shared" si="71"/>
        <v>0</v>
      </c>
      <c r="BB95" s="64">
        <f t="shared" si="72"/>
        <v>0</v>
      </c>
      <c r="BC95" s="67">
        <f t="shared" si="73"/>
        <v>0</v>
      </c>
      <c r="BD95" s="66">
        <f t="shared" si="74"/>
        <v>0</v>
      </c>
      <c r="BE95" s="64"/>
      <c r="BF95" s="66">
        <f t="shared" si="75"/>
        <v>0</v>
      </c>
      <c r="BG95" s="66">
        <f t="shared" si="76"/>
        <v>0</v>
      </c>
      <c r="BH95" s="65">
        <f>VLOOKUP(AA95,Table1551[#All],2,FALSE)</f>
        <v>1</v>
      </c>
      <c r="BI95" s="65">
        <f t="shared" si="77"/>
        <v>0</v>
      </c>
      <c r="BJ95" s="64" t="str">
        <f t="shared" si="78"/>
        <v>0</v>
      </c>
      <c r="CK95" s="86" t="s">
        <v>111</v>
      </c>
      <c r="CL95" s="2">
        <v>1.76</v>
      </c>
      <c r="CM95" s="2">
        <f t="shared" si="79"/>
        <v>1.9360000000000002</v>
      </c>
      <c r="CN95" s="10">
        <v>1.5</v>
      </c>
      <c r="CO95" s="84">
        <f t="shared" si="80"/>
        <v>0</v>
      </c>
    </row>
    <row r="96" spans="1:93" ht="11.1" hidden="1" customHeight="1" x14ac:dyDescent="0.45">
      <c r="A96" s="83"/>
      <c r="B96" s="266"/>
      <c r="C96" s="267"/>
      <c r="D96" s="267"/>
      <c r="E96" s="268"/>
      <c r="F96" s="64"/>
      <c r="G96" s="64"/>
      <c r="H96" s="82"/>
      <c r="I96" s="81"/>
      <c r="J96" s="64"/>
      <c r="K96" s="80"/>
      <c r="L96" s="79">
        <f t="shared" si="54"/>
        <v>0</v>
      </c>
      <c r="M96" s="64"/>
      <c r="N96" s="64"/>
      <c r="O96" s="64"/>
      <c r="P96" s="80"/>
      <c r="Q96" s="79">
        <f t="shared" si="55"/>
        <v>0</v>
      </c>
      <c r="R96" s="269"/>
      <c r="S96" s="270"/>
      <c r="T96" s="266"/>
      <c r="U96" s="267"/>
      <c r="V96" s="267"/>
      <c r="W96" s="268"/>
      <c r="X96" s="271" t="str">
        <f>IFERROR(INDEX(Table3941[],MATCH(R96,Table3941[Film Type],),3),"")</f>
        <v/>
      </c>
      <c r="Y96" s="271"/>
      <c r="Z96" s="78" t="s">
        <v>55</v>
      </c>
      <c r="AA96" s="78" t="s">
        <v>55</v>
      </c>
      <c r="AB96" s="77"/>
      <c r="AC96" s="76"/>
      <c r="AD96" s="75">
        <f t="shared" si="56"/>
        <v>0</v>
      </c>
      <c r="AG96" s="74">
        <f t="shared" si="57"/>
        <v>0</v>
      </c>
      <c r="AK96" s="65">
        <f t="shared" si="58"/>
        <v>0</v>
      </c>
      <c r="AL96" s="65">
        <f t="shared" si="59"/>
        <v>0</v>
      </c>
      <c r="AM96" s="65">
        <f t="shared" si="60"/>
        <v>0</v>
      </c>
      <c r="AN96" s="73">
        <f t="shared" si="61"/>
        <v>0</v>
      </c>
      <c r="AO96" s="65" t="str">
        <f t="shared" si="62"/>
        <v>0.00</v>
      </c>
      <c r="AP96" s="65" t="str">
        <f t="shared" si="63"/>
        <v>0</v>
      </c>
      <c r="AQ96" s="71">
        <f t="shared" si="64"/>
        <v>0</v>
      </c>
      <c r="AR96" s="72">
        <f t="shared" si="65"/>
        <v>0</v>
      </c>
      <c r="AS96" s="71">
        <f t="shared" si="66"/>
        <v>0</v>
      </c>
      <c r="AT96" s="70">
        <f t="shared" si="67"/>
        <v>0</v>
      </c>
      <c r="AU96" s="70">
        <f t="shared" si="68"/>
        <v>0</v>
      </c>
      <c r="AV96" s="2"/>
      <c r="AW96" s="66">
        <f t="shared" si="69"/>
        <v>0</v>
      </c>
      <c r="AX96" s="68">
        <f>_xlfn.IFNA(INDEX(Table3941[I $ p/ft2],MATCH(R96,Table3941[Film Type],0)),1.75)</f>
        <v>1.75</v>
      </c>
      <c r="AY96" s="69">
        <f>VLOOKUP(Z96,Table1349[#All],2,FALSE)</f>
        <v>1</v>
      </c>
      <c r="AZ96" s="68">
        <f t="shared" si="70"/>
        <v>1.75</v>
      </c>
      <c r="BA96" s="65">
        <f t="shared" si="71"/>
        <v>0</v>
      </c>
      <c r="BB96" s="64">
        <f t="shared" si="72"/>
        <v>0</v>
      </c>
      <c r="BC96" s="67">
        <f t="shared" si="73"/>
        <v>0</v>
      </c>
      <c r="BD96" s="66">
        <f t="shared" si="74"/>
        <v>0</v>
      </c>
      <c r="BE96" s="64"/>
      <c r="BF96" s="66">
        <f t="shared" si="75"/>
        <v>0</v>
      </c>
      <c r="BG96" s="66">
        <f t="shared" si="76"/>
        <v>0</v>
      </c>
      <c r="BH96" s="65">
        <f>VLOOKUP(AA96,Table1551[#All],2,FALSE)</f>
        <v>1</v>
      </c>
      <c r="BI96" s="65">
        <f t="shared" si="77"/>
        <v>0</v>
      </c>
      <c r="BJ96" s="64" t="str">
        <f t="shared" si="78"/>
        <v>0</v>
      </c>
      <c r="CK96" s="86" t="s">
        <v>110</v>
      </c>
      <c r="CL96" s="2">
        <v>1.1299999999999999</v>
      </c>
      <c r="CM96" s="2">
        <f t="shared" si="79"/>
        <v>1.2429999999999999</v>
      </c>
      <c r="CN96" s="10">
        <v>1.5</v>
      </c>
      <c r="CO96" s="84">
        <f t="shared" si="80"/>
        <v>0</v>
      </c>
    </row>
    <row r="97" spans="1:93" ht="11.1" hidden="1" customHeight="1" x14ac:dyDescent="0.45">
      <c r="A97" s="83"/>
      <c r="B97" s="266"/>
      <c r="C97" s="267"/>
      <c r="D97" s="267"/>
      <c r="E97" s="268"/>
      <c r="F97" s="64"/>
      <c r="G97" s="64"/>
      <c r="H97" s="82"/>
      <c r="I97" s="81"/>
      <c r="J97" s="64"/>
      <c r="K97" s="80"/>
      <c r="L97" s="79">
        <f t="shared" si="54"/>
        <v>0</v>
      </c>
      <c r="M97" s="64"/>
      <c r="N97" s="64"/>
      <c r="O97" s="64"/>
      <c r="P97" s="80"/>
      <c r="Q97" s="79">
        <f t="shared" si="55"/>
        <v>0</v>
      </c>
      <c r="R97" s="269"/>
      <c r="S97" s="270"/>
      <c r="T97" s="266"/>
      <c r="U97" s="267"/>
      <c r="V97" s="267"/>
      <c r="W97" s="268"/>
      <c r="X97" s="271" t="str">
        <f>IFERROR(INDEX(Table3941[],MATCH(R97,Table3941[Film Type],),3),"")</f>
        <v/>
      </c>
      <c r="Y97" s="271"/>
      <c r="Z97" s="78" t="s">
        <v>55</v>
      </c>
      <c r="AA97" s="78" t="s">
        <v>55</v>
      </c>
      <c r="AB97" s="77"/>
      <c r="AC97" s="76"/>
      <c r="AD97" s="75">
        <f t="shared" si="56"/>
        <v>0</v>
      </c>
      <c r="AG97" s="74">
        <f t="shared" si="57"/>
        <v>0</v>
      </c>
      <c r="AK97" s="65">
        <f t="shared" si="58"/>
        <v>0</v>
      </c>
      <c r="AL97" s="65">
        <f t="shared" si="59"/>
        <v>0</v>
      </c>
      <c r="AM97" s="65">
        <f t="shared" si="60"/>
        <v>0</v>
      </c>
      <c r="AN97" s="73">
        <f t="shared" si="61"/>
        <v>0</v>
      </c>
      <c r="AO97" s="65" t="str">
        <f t="shared" si="62"/>
        <v>0.00</v>
      </c>
      <c r="AP97" s="65" t="str">
        <f t="shared" si="63"/>
        <v>0</v>
      </c>
      <c r="AQ97" s="71">
        <f t="shared" si="64"/>
        <v>0</v>
      </c>
      <c r="AR97" s="72">
        <f t="shared" si="65"/>
        <v>0</v>
      </c>
      <c r="AS97" s="71">
        <f t="shared" si="66"/>
        <v>0</v>
      </c>
      <c r="AT97" s="70">
        <f t="shared" si="67"/>
        <v>0</v>
      </c>
      <c r="AU97" s="70">
        <f t="shared" si="68"/>
        <v>0</v>
      </c>
      <c r="AV97" s="2"/>
      <c r="AW97" s="66">
        <f t="shared" si="69"/>
        <v>0</v>
      </c>
      <c r="AX97" s="68">
        <f>_xlfn.IFNA(INDEX(Table3941[I $ p/ft2],MATCH(R97,Table3941[Film Type],0)),1.75)</f>
        <v>1.75</v>
      </c>
      <c r="AY97" s="69">
        <f>VLOOKUP(Z97,Table1349[#All],2,FALSE)</f>
        <v>1</v>
      </c>
      <c r="AZ97" s="68">
        <f t="shared" si="70"/>
        <v>1.75</v>
      </c>
      <c r="BA97" s="65">
        <f t="shared" si="71"/>
        <v>0</v>
      </c>
      <c r="BB97" s="64">
        <f t="shared" si="72"/>
        <v>0</v>
      </c>
      <c r="BC97" s="67">
        <f t="shared" si="73"/>
        <v>0</v>
      </c>
      <c r="BD97" s="66">
        <f t="shared" si="74"/>
        <v>0</v>
      </c>
      <c r="BE97" s="64"/>
      <c r="BF97" s="66">
        <f t="shared" si="75"/>
        <v>0</v>
      </c>
      <c r="BG97" s="66">
        <f t="shared" si="76"/>
        <v>0</v>
      </c>
      <c r="BH97" s="65">
        <f>VLOOKUP(AA97,Table1551[#All],2,FALSE)</f>
        <v>1</v>
      </c>
      <c r="BI97" s="65">
        <f t="shared" si="77"/>
        <v>0</v>
      </c>
      <c r="BJ97" s="64" t="str">
        <f t="shared" si="78"/>
        <v>0</v>
      </c>
      <c r="CK97" s="86" t="s">
        <v>109</v>
      </c>
      <c r="CL97" s="2">
        <v>1.1299999999999999</v>
      </c>
      <c r="CM97" s="2">
        <f t="shared" si="79"/>
        <v>1.2429999999999999</v>
      </c>
      <c r="CN97" s="10">
        <v>1.5</v>
      </c>
      <c r="CO97" s="84">
        <f t="shared" si="80"/>
        <v>0</v>
      </c>
    </row>
    <row r="98" spans="1:93" ht="11.1" hidden="1" customHeight="1" x14ac:dyDescent="0.45">
      <c r="A98" s="83"/>
      <c r="B98" s="266"/>
      <c r="C98" s="267"/>
      <c r="D98" s="267"/>
      <c r="E98" s="268"/>
      <c r="F98" s="64"/>
      <c r="G98" s="64"/>
      <c r="H98" s="82"/>
      <c r="I98" s="81"/>
      <c r="J98" s="64"/>
      <c r="K98" s="80"/>
      <c r="L98" s="79">
        <f t="shared" si="54"/>
        <v>0</v>
      </c>
      <c r="M98" s="64"/>
      <c r="N98" s="64"/>
      <c r="O98" s="64"/>
      <c r="P98" s="80"/>
      <c r="Q98" s="79">
        <f t="shared" si="55"/>
        <v>0</v>
      </c>
      <c r="R98" s="269"/>
      <c r="S98" s="270"/>
      <c r="T98" s="266"/>
      <c r="U98" s="267"/>
      <c r="V98" s="267"/>
      <c r="W98" s="268"/>
      <c r="X98" s="271" t="str">
        <f>IFERROR(INDEX(Table3941[],MATCH(R98,Table3941[Film Type],),3),"")</f>
        <v/>
      </c>
      <c r="Y98" s="271"/>
      <c r="Z98" s="78" t="s">
        <v>55</v>
      </c>
      <c r="AA98" s="78" t="s">
        <v>55</v>
      </c>
      <c r="AB98" s="77"/>
      <c r="AC98" s="76"/>
      <c r="AD98" s="75">
        <f t="shared" si="56"/>
        <v>0</v>
      </c>
      <c r="AG98" s="74">
        <f t="shared" si="57"/>
        <v>0</v>
      </c>
      <c r="AK98" s="65">
        <f t="shared" si="58"/>
        <v>0</v>
      </c>
      <c r="AL98" s="65">
        <f t="shared" si="59"/>
        <v>0</v>
      </c>
      <c r="AM98" s="65">
        <f t="shared" si="60"/>
        <v>0</v>
      </c>
      <c r="AN98" s="73">
        <f t="shared" si="61"/>
        <v>0</v>
      </c>
      <c r="AO98" s="65" t="str">
        <f t="shared" si="62"/>
        <v>0.00</v>
      </c>
      <c r="AP98" s="65" t="str">
        <f t="shared" si="63"/>
        <v>0</v>
      </c>
      <c r="AQ98" s="71">
        <f t="shared" si="64"/>
        <v>0</v>
      </c>
      <c r="AR98" s="72">
        <f t="shared" si="65"/>
        <v>0</v>
      </c>
      <c r="AS98" s="71">
        <f t="shared" si="66"/>
        <v>0</v>
      </c>
      <c r="AT98" s="70">
        <f t="shared" si="67"/>
        <v>0</v>
      </c>
      <c r="AU98" s="70">
        <f t="shared" si="68"/>
        <v>0</v>
      </c>
      <c r="AV98" s="2"/>
      <c r="AW98" s="66">
        <f t="shared" si="69"/>
        <v>0</v>
      </c>
      <c r="AX98" s="68">
        <f>_xlfn.IFNA(INDEX(Table3941[I $ p/ft2],MATCH(R98,Table3941[Film Type],0)),1.75)</f>
        <v>1.75</v>
      </c>
      <c r="AY98" s="69">
        <f>VLOOKUP(Z98,Table1349[#All],2,FALSE)</f>
        <v>1</v>
      </c>
      <c r="AZ98" s="68">
        <f t="shared" si="70"/>
        <v>1.75</v>
      </c>
      <c r="BA98" s="65">
        <f t="shared" si="71"/>
        <v>0</v>
      </c>
      <c r="BB98" s="64">
        <f t="shared" si="72"/>
        <v>0</v>
      </c>
      <c r="BC98" s="67">
        <f t="shared" si="73"/>
        <v>0</v>
      </c>
      <c r="BD98" s="66">
        <f t="shared" si="74"/>
        <v>0</v>
      </c>
      <c r="BE98" s="64"/>
      <c r="BF98" s="66">
        <f t="shared" si="75"/>
        <v>0</v>
      </c>
      <c r="BG98" s="66">
        <f t="shared" si="76"/>
        <v>0</v>
      </c>
      <c r="BH98" s="65">
        <f>VLOOKUP(AA98,Table1551[#All],2,FALSE)</f>
        <v>1</v>
      </c>
      <c r="BI98" s="65">
        <f t="shared" si="77"/>
        <v>0</v>
      </c>
      <c r="BJ98" s="64" t="str">
        <f t="shared" si="78"/>
        <v>0</v>
      </c>
      <c r="CK98" s="86" t="s">
        <v>108</v>
      </c>
      <c r="CL98" s="2">
        <v>1.1299999999999999</v>
      </c>
      <c r="CM98" s="2">
        <f t="shared" si="79"/>
        <v>1.2429999999999999</v>
      </c>
      <c r="CN98" s="10">
        <v>1.5</v>
      </c>
      <c r="CO98" s="84">
        <f t="shared" si="80"/>
        <v>0</v>
      </c>
    </row>
    <row r="99" spans="1:93" ht="11.1" hidden="1" customHeight="1" x14ac:dyDescent="0.45">
      <c r="A99" s="83"/>
      <c r="B99" s="266"/>
      <c r="C99" s="267"/>
      <c r="D99" s="267"/>
      <c r="E99" s="268"/>
      <c r="F99" s="64"/>
      <c r="G99" s="64"/>
      <c r="H99" s="82"/>
      <c r="I99" s="81"/>
      <c r="J99" s="64"/>
      <c r="K99" s="80"/>
      <c r="L99" s="79">
        <f t="shared" si="54"/>
        <v>0</v>
      </c>
      <c r="M99" s="64"/>
      <c r="N99" s="64"/>
      <c r="O99" s="64"/>
      <c r="P99" s="80"/>
      <c r="Q99" s="79">
        <f t="shared" si="55"/>
        <v>0</v>
      </c>
      <c r="R99" s="269"/>
      <c r="S99" s="270"/>
      <c r="T99" s="266"/>
      <c r="U99" s="267"/>
      <c r="V99" s="267"/>
      <c r="W99" s="268"/>
      <c r="X99" s="271" t="str">
        <f>IFERROR(INDEX(Table3941[],MATCH(R99,Table3941[Film Type],),3),"")</f>
        <v/>
      </c>
      <c r="Y99" s="271"/>
      <c r="Z99" s="78" t="s">
        <v>55</v>
      </c>
      <c r="AA99" s="78" t="s">
        <v>55</v>
      </c>
      <c r="AB99" s="77"/>
      <c r="AC99" s="76"/>
      <c r="AD99" s="75">
        <f t="shared" si="56"/>
        <v>0</v>
      </c>
      <c r="AG99" s="74">
        <f t="shared" si="57"/>
        <v>0</v>
      </c>
      <c r="AK99" s="65">
        <f t="shared" si="58"/>
        <v>0</v>
      </c>
      <c r="AL99" s="65">
        <f t="shared" si="59"/>
        <v>0</v>
      </c>
      <c r="AM99" s="65">
        <f t="shared" si="60"/>
        <v>0</v>
      </c>
      <c r="AN99" s="73">
        <f t="shared" si="61"/>
        <v>0</v>
      </c>
      <c r="AO99" s="65" t="str">
        <f t="shared" si="62"/>
        <v>0.00</v>
      </c>
      <c r="AP99" s="65" t="str">
        <f t="shared" si="63"/>
        <v>0</v>
      </c>
      <c r="AQ99" s="71">
        <f t="shared" si="64"/>
        <v>0</v>
      </c>
      <c r="AR99" s="72">
        <f t="shared" si="65"/>
        <v>0</v>
      </c>
      <c r="AS99" s="71">
        <f t="shared" si="66"/>
        <v>0</v>
      </c>
      <c r="AT99" s="70">
        <f t="shared" si="67"/>
        <v>0</v>
      </c>
      <c r="AU99" s="70">
        <f t="shared" si="68"/>
        <v>0</v>
      </c>
      <c r="AV99" s="2"/>
      <c r="AW99" s="66">
        <f t="shared" si="69"/>
        <v>0</v>
      </c>
      <c r="AX99" s="68">
        <f>_xlfn.IFNA(INDEX(Table3941[I $ p/ft2],MATCH(R99,Table3941[Film Type],0)),1.75)</f>
        <v>1.75</v>
      </c>
      <c r="AY99" s="69">
        <f>VLOOKUP(Z99,Table1349[#All],2,FALSE)</f>
        <v>1</v>
      </c>
      <c r="AZ99" s="68">
        <f t="shared" si="70"/>
        <v>1.75</v>
      </c>
      <c r="BA99" s="65">
        <f t="shared" si="71"/>
        <v>0</v>
      </c>
      <c r="BB99" s="64">
        <f t="shared" si="72"/>
        <v>0</v>
      </c>
      <c r="BC99" s="67">
        <f t="shared" si="73"/>
        <v>0</v>
      </c>
      <c r="BD99" s="66">
        <f t="shared" si="74"/>
        <v>0</v>
      </c>
      <c r="BE99" s="64"/>
      <c r="BF99" s="66">
        <f t="shared" si="75"/>
        <v>0</v>
      </c>
      <c r="BG99" s="66">
        <f t="shared" si="76"/>
        <v>0</v>
      </c>
      <c r="BH99" s="65">
        <f>VLOOKUP(AA99,Table1551[#All],2,FALSE)</f>
        <v>1</v>
      </c>
      <c r="BI99" s="65">
        <f t="shared" si="77"/>
        <v>0</v>
      </c>
      <c r="BJ99" s="64" t="str">
        <f t="shared" si="78"/>
        <v>0</v>
      </c>
      <c r="CK99" s="86" t="s">
        <v>107</v>
      </c>
      <c r="CL99" s="2">
        <v>1.1599999999999999</v>
      </c>
      <c r="CM99" s="2">
        <f t="shared" si="79"/>
        <v>1.276</v>
      </c>
      <c r="CN99" s="10">
        <v>1.5</v>
      </c>
      <c r="CO99" s="84">
        <f t="shared" si="80"/>
        <v>0</v>
      </c>
    </row>
    <row r="100" spans="1:93" ht="11.1" hidden="1" customHeight="1" x14ac:dyDescent="0.45">
      <c r="A100" s="83"/>
      <c r="B100" s="266"/>
      <c r="C100" s="267"/>
      <c r="D100" s="267"/>
      <c r="E100" s="268"/>
      <c r="F100" s="64"/>
      <c r="G100" s="64"/>
      <c r="H100" s="82"/>
      <c r="I100" s="81"/>
      <c r="J100" s="64"/>
      <c r="K100" s="80"/>
      <c r="L100" s="79">
        <f t="shared" si="54"/>
        <v>0</v>
      </c>
      <c r="M100" s="64"/>
      <c r="N100" s="64"/>
      <c r="O100" s="64"/>
      <c r="P100" s="80"/>
      <c r="Q100" s="79">
        <f t="shared" si="55"/>
        <v>0</v>
      </c>
      <c r="R100" s="269"/>
      <c r="S100" s="270"/>
      <c r="T100" s="266"/>
      <c r="U100" s="267"/>
      <c r="V100" s="267"/>
      <c r="W100" s="268"/>
      <c r="X100" s="271" t="str">
        <f>IFERROR(INDEX(Table3941[],MATCH(R100,Table3941[Film Type],),3),"")</f>
        <v/>
      </c>
      <c r="Y100" s="271"/>
      <c r="Z100" s="78" t="s">
        <v>55</v>
      </c>
      <c r="AA100" s="78" t="s">
        <v>55</v>
      </c>
      <c r="AB100" s="77"/>
      <c r="AC100" s="76"/>
      <c r="AD100" s="75">
        <f t="shared" si="56"/>
        <v>0</v>
      </c>
      <c r="AG100" s="74">
        <f t="shared" si="57"/>
        <v>0</v>
      </c>
      <c r="AK100" s="65">
        <f t="shared" si="58"/>
        <v>0</v>
      </c>
      <c r="AL100" s="65">
        <f t="shared" si="59"/>
        <v>0</v>
      </c>
      <c r="AM100" s="65">
        <f t="shared" si="60"/>
        <v>0</v>
      </c>
      <c r="AN100" s="73">
        <f t="shared" si="61"/>
        <v>0</v>
      </c>
      <c r="AO100" s="65" t="str">
        <f t="shared" si="62"/>
        <v>0.00</v>
      </c>
      <c r="AP100" s="65" t="str">
        <f t="shared" si="63"/>
        <v>0</v>
      </c>
      <c r="AQ100" s="71">
        <f t="shared" si="64"/>
        <v>0</v>
      </c>
      <c r="AR100" s="72">
        <f t="shared" si="65"/>
        <v>0</v>
      </c>
      <c r="AS100" s="71">
        <f t="shared" si="66"/>
        <v>0</v>
      </c>
      <c r="AT100" s="70">
        <f t="shared" si="67"/>
        <v>0</v>
      </c>
      <c r="AU100" s="70">
        <f t="shared" si="68"/>
        <v>0</v>
      </c>
      <c r="AV100" s="2"/>
      <c r="AW100" s="66">
        <f t="shared" si="69"/>
        <v>0</v>
      </c>
      <c r="AX100" s="68">
        <f>_xlfn.IFNA(INDEX(Table3941[I $ p/ft2],MATCH(R100,Table3941[Film Type],0)),1.75)</f>
        <v>1.75</v>
      </c>
      <c r="AY100" s="69">
        <f>VLOOKUP(Z100,Table1349[#All],2,FALSE)</f>
        <v>1</v>
      </c>
      <c r="AZ100" s="68">
        <f t="shared" si="70"/>
        <v>1.75</v>
      </c>
      <c r="BA100" s="65">
        <f t="shared" si="71"/>
        <v>0</v>
      </c>
      <c r="BB100" s="64">
        <f t="shared" si="72"/>
        <v>0</v>
      </c>
      <c r="BC100" s="67">
        <f t="shared" si="73"/>
        <v>0</v>
      </c>
      <c r="BD100" s="66">
        <f t="shared" si="74"/>
        <v>0</v>
      </c>
      <c r="BE100" s="64"/>
      <c r="BF100" s="66">
        <f t="shared" si="75"/>
        <v>0</v>
      </c>
      <c r="BG100" s="66">
        <f t="shared" si="76"/>
        <v>0</v>
      </c>
      <c r="BH100" s="65">
        <f>VLOOKUP(AA100,Table1551[#All],2,FALSE)</f>
        <v>1</v>
      </c>
      <c r="BI100" s="65">
        <f t="shared" si="77"/>
        <v>0</v>
      </c>
      <c r="BJ100" s="64" t="str">
        <f t="shared" si="78"/>
        <v>0</v>
      </c>
      <c r="CK100" s="86" t="s">
        <v>106</v>
      </c>
      <c r="CL100" s="2">
        <v>1.1299999999999999</v>
      </c>
      <c r="CM100" s="2">
        <f t="shared" si="79"/>
        <v>1.2429999999999999</v>
      </c>
      <c r="CN100" s="10">
        <v>1.5</v>
      </c>
      <c r="CO100" s="84">
        <f t="shared" si="80"/>
        <v>0</v>
      </c>
    </row>
    <row r="101" spans="1:93" ht="11.1" hidden="1" customHeight="1" x14ac:dyDescent="0.45">
      <c r="A101" s="83"/>
      <c r="B101" s="266"/>
      <c r="C101" s="267"/>
      <c r="D101" s="267"/>
      <c r="E101" s="268"/>
      <c r="F101" s="64"/>
      <c r="G101" s="64"/>
      <c r="H101" s="82"/>
      <c r="I101" s="81"/>
      <c r="J101" s="64"/>
      <c r="K101" s="80"/>
      <c r="L101" s="79">
        <f t="shared" si="54"/>
        <v>0</v>
      </c>
      <c r="M101" s="64"/>
      <c r="N101" s="64"/>
      <c r="O101" s="64"/>
      <c r="P101" s="80"/>
      <c r="Q101" s="79">
        <f t="shared" si="55"/>
        <v>0</v>
      </c>
      <c r="R101" s="269"/>
      <c r="S101" s="270"/>
      <c r="T101" s="266"/>
      <c r="U101" s="267"/>
      <c r="V101" s="267"/>
      <c r="W101" s="268"/>
      <c r="X101" s="271" t="str">
        <f>IFERROR(INDEX(Table3941[],MATCH(R101,Table3941[Film Type],),3),"")</f>
        <v/>
      </c>
      <c r="Y101" s="271"/>
      <c r="Z101" s="78" t="s">
        <v>55</v>
      </c>
      <c r="AA101" s="78" t="s">
        <v>55</v>
      </c>
      <c r="AB101" s="77"/>
      <c r="AC101" s="76"/>
      <c r="AD101" s="75">
        <f t="shared" si="56"/>
        <v>0</v>
      </c>
      <c r="AG101" s="74">
        <f t="shared" si="57"/>
        <v>0</v>
      </c>
      <c r="AK101" s="65">
        <f t="shared" si="58"/>
        <v>0</v>
      </c>
      <c r="AL101" s="65">
        <f t="shared" si="59"/>
        <v>0</v>
      </c>
      <c r="AM101" s="65">
        <f t="shared" si="60"/>
        <v>0</v>
      </c>
      <c r="AN101" s="73">
        <f t="shared" si="61"/>
        <v>0</v>
      </c>
      <c r="AO101" s="65" t="str">
        <f t="shared" si="62"/>
        <v>0.00</v>
      </c>
      <c r="AP101" s="65" t="str">
        <f t="shared" si="63"/>
        <v>0</v>
      </c>
      <c r="AQ101" s="71">
        <f t="shared" si="64"/>
        <v>0</v>
      </c>
      <c r="AR101" s="72">
        <f t="shared" si="65"/>
        <v>0</v>
      </c>
      <c r="AS101" s="71">
        <f t="shared" si="66"/>
        <v>0</v>
      </c>
      <c r="AT101" s="70">
        <f t="shared" si="67"/>
        <v>0</v>
      </c>
      <c r="AU101" s="70">
        <f t="shared" si="68"/>
        <v>0</v>
      </c>
      <c r="AV101" s="2"/>
      <c r="AW101" s="66">
        <f t="shared" si="69"/>
        <v>0</v>
      </c>
      <c r="AX101" s="68">
        <f>_xlfn.IFNA(INDEX(Table3941[I $ p/ft2],MATCH(R101,Table3941[Film Type],0)),1.75)</f>
        <v>1.75</v>
      </c>
      <c r="AY101" s="69">
        <f>VLOOKUP(Z101,Table1349[#All],2,FALSE)</f>
        <v>1</v>
      </c>
      <c r="AZ101" s="68">
        <f t="shared" si="70"/>
        <v>1.75</v>
      </c>
      <c r="BA101" s="65">
        <f t="shared" si="71"/>
        <v>0</v>
      </c>
      <c r="BB101" s="64">
        <f t="shared" si="72"/>
        <v>0</v>
      </c>
      <c r="BC101" s="67">
        <f t="shared" si="73"/>
        <v>0</v>
      </c>
      <c r="BD101" s="66">
        <f t="shared" si="74"/>
        <v>0</v>
      </c>
      <c r="BE101" s="64"/>
      <c r="BF101" s="66">
        <f t="shared" si="75"/>
        <v>0</v>
      </c>
      <c r="BG101" s="66">
        <f t="shared" si="76"/>
        <v>0</v>
      </c>
      <c r="BH101" s="65">
        <f>VLOOKUP(AA101,Table1551[#All],2,FALSE)</f>
        <v>1</v>
      </c>
      <c r="BI101" s="65">
        <f t="shared" si="77"/>
        <v>0</v>
      </c>
      <c r="BJ101" s="64" t="str">
        <f t="shared" si="78"/>
        <v>0</v>
      </c>
      <c r="CK101" s="86" t="s">
        <v>105</v>
      </c>
      <c r="CL101" s="2">
        <v>1.1299999999999999</v>
      </c>
      <c r="CM101" s="2">
        <f t="shared" si="79"/>
        <v>1.2429999999999999</v>
      </c>
      <c r="CN101" s="10">
        <v>1.5</v>
      </c>
      <c r="CO101" s="84">
        <f t="shared" si="80"/>
        <v>0</v>
      </c>
    </row>
    <row r="102" spans="1:93" ht="11.1" hidden="1" customHeight="1" x14ac:dyDescent="0.45">
      <c r="A102" s="83"/>
      <c r="B102" s="266"/>
      <c r="C102" s="267"/>
      <c r="D102" s="267"/>
      <c r="E102" s="268"/>
      <c r="F102" s="64"/>
      <c r="G102" s="64"/>
      <c r="H102" s="82"/>
      <c r="I102" s="81"/>
      <c r="J102" s="64"/>
      <c r="K102" s="80"/>
      <c r="L102" s="79">
        <f t="shared" si="54"/>
        <v>0</v>
      </c>
      <c r="M102" s="64"/>
      <c r="N102" s="64"/>
      <c r="O102" s="64"/>
      <c r="P102" s="80"/>
      <c r="Q102" s="79">
        <f t="shared" si="55"/>
        <v>0</v>
      </c>
      <c r="R102" s="269"/>
      <c r="S102" s="270"/>
      <c r="T102" s="266"/>
      <c r="U102" s="267"/>
      <c r="V102" s="267"/>
      <c r="W102" s="268"/>
      <c r="X102" s="271" t="str">
        <f>IFERROR(INDEX(Table3941[],MATCH(R102,Table3941[Film Type],),3),"")</f>
        <v/>
      </c>
      <c r="Y102" s="271"/>
      <c r="Z102" s="78" t="s">
        <v>55</v>
      </c>
      <c r="AA102" s="78" t="s">
        <v>55</v>
      </c>
      <c r="AB102" s="77"/>
      <c r="AC102" s="76"/>
      <c r="AD102" s="75">
        <f t="shared" si="56"/>
        <v>0</v>
      </c>
      <c r="AG102" s="74">
        <f t="shared" si="57"/>
        <v>0</v>
      </c>
      <c r="AK102" s="65">
        <f t="shared" si="58"/>
        <v>0</v>
      </c>
      <c r="AL102" s="65">
        <f t="shared" si="59"/>
        <v>0</v>
      </c>
      <c r="AM102" s="65">
        <f t="shared" si="60"/>
        <v>0</v>
      </c>
      <c r="AN102" s="73">
        <f t="shared" si="61"/>
        <v>0</v>
      </c>
      <c r="AO102" s="65" t="str">
        <f t="shared" si="62"/>
        <v>0.00</v>
      </c>
      <c r="AP102" s="65" t="str">
        <f t="shared" si="63"/>
        <v>0</v>
      </c>
      <c r="AQ102" s="71">
        <f t="shared" si="64"/>
        <v>0</v>
      </c>
      <c r="AR102" s="72">
        <f t="shared" si="65"/>
        <v>0</v>
      </c>
      <c r="AS102" s="71">
        <f t="shared" si="66"/>
        <v>0</v>
      </c>
      <c r="AT102" s="70">
        <f t="shared" si="67"/>
        <v>0</v>
      </c>
      <c r="AU102" s="70">
        <f t="shared" si="68"/>
        <v>0</v>
      </c>
      <c r="AV102" s="2"/>
      <c r="AW102" s="66">
        <f t="shared" si="69"/>
        <v>0</v>
      </c>
      <c r="AX102" s="68">
        <f>_xlfn.IFNA(INDEX(Table3941[I $ p/ft2],MATCH(R102,Table3941[Film Type],0)),1.75)</f>
        <v>1.75</v>
      </c>
      <c r="AY102" s="69">
        <f>VLOOKUP(Z102,Table1349[#All],2,FALSE)</f>
        <v>1</v>
      </c>
      <c r="AZ102" s="68">
        <f t="shared" si="70"/>
        <v>1.75</v>
      </c>
      <c r="BA102" s="65">
        <f t="shared" si="71"/>
        <v>0</v>
      </c>
      <c r="BB102" s="64">
        <f t="shared" si="72"/>
        <v>0</v>
      </c>
      <c r="BC102" s="67">
        <f t="shared" si="73"/>
        <v>0</v>
      </c>
      <c r="BD102" s="66">
        <f t="shared" si="74"/>
        <v>0</v>
      </c>
      <c r="BE102" s="64"/>
      <c r="BF102" s="66">
        <f t="shared" si="75"/>
        <v>0</v>
      </c>
      <c r="BG102" s="66">
        <f t="shared" si="76"/>
        <v>0</v>
      </c>
      <c r="BH102" s="65">
        <f>VLOOKUP(AA102,Table1551[#All],2,FALSE)</f>
        <v>1</v>
      </c>
      <c r="BI102" s="65">
        <f t="shared" si="77"/>
        <v>0</v>
      </c>
      <c r="BJ102" s="64" t="str">
        <f t="shared" si="78"/>
        <v>0</v>
      </c>
      <c r="CK102" s="86" t="s">
        <v>104</v>
      </c>
      <c r="CL102" s="2">
        <v>1.1599999999999999</v>
      </c>
      <c r="CM102" s="2">
        <f t="shared" si="79"/>
        <v>1.276</v>
      </c>
      <c r="CN102" s="10">
        <v>1.5</v>
      </c>
      <c r="CO102" s="84">
        <f t="shared" si="80"/>
        <v>0</v>
      </c>
    </row>
    <row r="103" spans="1:93" ht="11.1" hidden="1" customHeight="1" x14ac:dyDescent="0.45">
      <c r="A103" s="83"/>
      <c r="B103" s="266"/>
      <c r="C103" s="267"/>
      <c r="D103" s="267"/>
      <c r="E103" s="268"/>
      <c r="F103" s="64"/>
      <c r="G103" s="64"/>
      <c r="H103" s="82"/>
      <c r="I103" s="81"/>
      <c r="J103" s="64"/>
      <c r="K103" s="80"/>
      <c r="L103" s="79">
        <f t="shared" ref="L103:L134" si="81">(I103*J103*K103)/144</f>
        <v>0</v>
      </c>
      <c r="M103" s="64"/>
      <c r="N103" s="64"/>
      <c r="O103" s="64"/>
      <c r="P103" s="80"/>
      <c r="Q103" s="79">
        <f t="shared" ref="Q103:Q134" si="82">IF(P103&lt;&gt;"",M103*O103*P103/144,L103*(1+$Q$5))</f>
        <v>0</v>
      </c>
      <c r="R103" s="269"/>
      <c r="S103" s="270"/>
      <c r="T103" s="266"/>
      <c r="U103" s="267"/>
      <c r="V103" s="267"/>
      <c r="W103" s="268"/>
      <c r="X103" s="271" t="str">
        <f>IFERROR(INDEX(Table3941[],MATCH(R103,Table3941[Film Type],),3),"")</f>
        <v/>
      </c>
      <c r="Y103" s="271"/>
      <c r="Z103" s="78" t="s">
        <v>55</v>
      </c>
      <c r="AA103" s="78" t="s">
        <v>55</v>
      </c>
      <c r="AB103" s="77"/>
      <c r="AC103" s="76"/>
      <c r="AD103" s="75">
        <f t="shared" ref="AD103:AD134" si="83">SUM(AT103+AU103)</f>
        <v>0</v>
      </c>
      <c r="AG103" s="74">
        <f t="shared" ref="AG103:AG134" si="84">(((I103*2)+(J103*2))*K103)/12</f>
        <v>0</v>
      </c>
      <c r="AK103" s="65">
        <f t="shared" ref="AK103:AK134" si="85">IFERROR((Q103*X103),0)</f>
        <v>0</v>
      </c>
      <c r="AL103" s="65">
        <f t="shared" ref="AL103:AL134" si="86">IFERROR((AW103/$B$158)*$X$4,0)</f>
        <v>0</v>
      </c>
      <c r="AM103" s="65">
        <f t="shared" ref="AM103:AM134" si="87">BA103+BI103+BC103</f>
        <v>0</v>
      </c>
      <c r="AN103" s="73">
        <f t="shared" ref="AN103:AN134" si="88">IFERROR((AW103/$B$158)*(($AB$4*$AI$7)+($AC$2*$AI$7)),0)</f>
        <v>0</v>
      </c>
      <c r="AO103" s="65" t="str">
        <f t="shared" ref="AO103:AO134" si="89">IF(AND($X$2="Yes", $Z$2="No"), ((AM103+AN103)*0.25),"0.00")</f>
        <v>0.00</v>
      </c>
      <c r="AP103" s="65" t="str">
        <f t="shared" ref="AP103:AP134" si="90">IF($Z$2="No","0", (((AN103/$AI$7)+BD103+BG103)*$AI$13)-(AN103+BA103+BC103+BI103))</f>
        <v>0</v>
      </c>
      <c r="AQ103" s="71">
        <f t="shared" ref="AQ103:AQ134" si="91">(BD103+BG103)*$AI$10</f>
        <v>0</v>
      </c>
      <c r="AR103" s="72">
        <f t="shared" ref="AR103:AR134" si="92">AD103*$AB$163</f>
        <v>0</v>
      </c>
      <c r="AS103" s="71">
        <f t="shared" ref="AS103:AS134" si="93">AD103-AT103-AR103-AQ103</f>
        <v>0</v>
      </c>
      <c r="AT103" s="70">
        <f t="shared" ref="AT103:AT134" si="94">SUM(AK103+AL103+AM103+AN103+AO103+AP103)</f>
        <v>0</v>
      </c>
      <c r="AU103" s="70">
        <f t="shared" ref="AU103:AU134" si="95">AT103*$AB$167</f>
        <v>0</v>
      </c>
      <c r="AV103" s="2"/>
      <c r="AW103" s="66">
        <f t="shared" ref="AW103:AW134" si="96">IF(R103="removal only",0,((I103*J103*K103)/144))</f>
        <v>0</v>
      </c>
      <c r="AX103" s="68">
        <f>_xlfn.IFNA(INDEX(Table3941[I $ p/ft2],MATCH(R103,Table3941[Film Type],0)),1.75)</f>
        <v>1.75</v>
      </c>
      <c r="AY103" s="69">
        <f>VLOOKUP(Z103,Table1349[#All],2,FALSE)</f>
        <v>1</v>
      </c>
      <c r="AZ103" s="68">
        <f t="shared" ref="AZ103:AZ134" si="97">AX103*AY103</f>
        <v>1.75</v>
      </c>
      <c r="BA103" s="65">
        <f t="shared" ref="BA103:BA134" si="98">IF(R103="removal only",0,(AW103*AZ103))</f>
        <v>0</v>
      </c>
      <c r="BB103" s="64">
        <f t="shared" ref="BB103:BB134" si="99">IF(R103="removal only",0,K103)</f>
        <v>0</v>
      </c>
      <c r="BC103" s="67">
        <f t="shared" ref="BC103:BC134" si="100">(AB103/60)*$AI$7</f>
        <v>0</v>
      </c>
      <c r="BD103" s="66">
        <f t="shared" ref="BD103:BD134" si="101">IF(R103="removal only",0,(BA103+BC103)/$AI$7)</f>
        <v>0</v>
      </c>
      <c r="BE103" s="64"/>
      <c r="BF103" s="66">
        <f t="shared" ref="BF103:BF134" si="102">IF(H103="Yes",((I103*J103*K103)/144),0)</f>
        <v>0</v>
      </c>
      <c r="BG103" s="66">
        <f t="shared" ref="BG103:BG134" si="103">IF(BF103="0",0,BI103/$AI$7)</f>
        <v>0</v>
      </c>
      <c r="BH103" s="65">
        <f>VLOOKUP(AA103,Table1551[#All],2,FALSE)</f>
        <v>1</v>
      </c>
      <c r="BI103" s="65">
        <f t="shared" ref="BI103:BI134" si="104">IF(H103="Yes",BF103*BH103,0)</f>
        <v>0</v>
      </c>
      <c r="BJ103" s="64" t="str">
        <f t="shared" ref="BJ103:BJ134" si="105">IF(H103="Yes",K103,"0")</f>
        <v>0</v>
      </c>
      <c r="CK103" s="86" t="s">
        <v>103</v>
      </c>
      <c r="CL103" s="2">
        <v>0.8</v>
      </c>
      <c r="CM103" s="2">
        <f t="shared" ref="CM103:CM134" si="106">CL103*1.1</f>
        <v>0.88000000000000012</v>
      </c>
      <c r="CN103" s="10">
        <v>1.5</v>
      </c>
      <c r="CO103" s="84">
        <f t="shared" ref="CO103:CO134" si="107">ROUNDUP(MAX((P103*O103)/12)*(K103*J103)/12,0)</f>
        <v>0</v>
      </c>
    </row>
    <row r="104" spans="1:93" ht="11.1" hidden="1" customHeight="1" x14ac:dyDescent="0.45">
      <c r="A104" s="83"/>
      <c r="B104" s="266"/>
      <c r="C104" s="267"/>
      <c r="D104" s="267"/>
      <c r="E104" s="268"/>
      <c r="F104" s="64"/>
      <c r="G104" s="64"/>
      <c r="H104" s="82"/>
      <c r="I104" s="81"/>
      <c r="J104" s="64"/>
      <c r="K104" s="80"/>
      <c r="L104" s="79">
        <f t="shared" si="81"/>
        <v>0</v>
      </c>
      <c r="M104" s="64"/>
      <c r="N104" s="64"/>
      <c r="O104" s="64"/>
      <c r="P104" s="80"/>
      <c r="Q104" s="79">
        <f t="shared" si="82"/>
        <v>0</v>
      </c>
      <c r="R104" s="269"/>
      <c r="S104" s="270"/>
      <c r="T104" s="266"/>
      <c r="U104" s="267"/>
      <c r="V104" s="267"/>
      <c r="W104" s="268"/>
      <c r="X104" s="271" t="str">
        <f>IFERROR(INDEX(Table3941[],MATCH(R104,Table3941[Film Type],),3),"")</f>
        <v/>
      </c>
      <c r="Y104" s="271"/>
      <c r="Z104" s="78" t="s">
        <v>55</v>
      </c>
      <c r="AA104" s="78" t="s">
        <v>55</v>
      </c>
      <c r="AB104" s="77"/>
      <c r="AC104" s="76"/>
      <c r="AD104" s="75">
        <f t="shared" si="83"/>
        <v>0</v>
      </c>
      <c r="AG104" s="74">
        <f t="shared" si="84"/>
        <v>0</v>
      </c>
      <c r="AK104" s="65">
        <f t="shared" si="85"/>
        <v>0</v>
      </c>
      <c r="AL104" s="65">
        <f t="shared" si="86"/>
        <v>0</v>
      </c>
      <c r="AM104" s="65">
        <f t="shared" si="87"/>
        <v>0</v>
      </c>
      <c r="AN104" s="73">
        <f t="shared" si="88"/>
        <v>0</v>
      </c>
      <c r="AO104" s="65" t="str">
        <f t="shared" si="89"/>
        <v>0.00</v>
      </c>
      <c r="AP104" s="65" t="str">
        <f t="shared" si="90"/>
        <v>0</v>
      </c>
      <c r="AQ104" s="71">
        <f t="shared" si="91"/>
        <v>0</v>
      </c>
      <c r="AR104" s="72">
        <f t="shared" si="92"/>
        <v>0</v>
      </c>
      <c r="AS104" s="71">
        <f t="shared" si="93"/>
        <v>0</v>
      </c>
      <c r="AT104" s="70">
        <f t="shared" si="94"/>
        <v>0</v>
      </c>
      <c r="AU104" s="70">
        <f t="shared" si="95"/>
        <v>0</v>
      </c>
      <c r="AV104" s="2"/>
      <c r="AW104" s="66">
        <f t="shared" si="96"/>
        <v>0</v>
      </c>
      <c r="AX104" s="68">
        <f>_xlfn.IFNA(INDEX(Table3941[I $ p/ft2],MATCH(R104,Table3941[Film Type],0)),1.75)</f>
        <v>1.75</v>
      </c>
      <c r="AY104" s="69">
        <f>VLOOKUP(Z104,Table1349[#All],2,FALSE)</f>
        <v>1</v>
      </c>
      <c r="AZ104" s="68">
        <f t="shared" si="97"/>
        <v>1.75</v>
      </c>
      <c r="BA104" s="65">
        <f t="shared" si="98"/>
        <v>0</v>
      </c>
      <c r="BB104" s="64">
        <f t="shared" si="99"/>
        <v>0</v>
      </c>
      <c r="BC104" s="67">
        <f t="shared" si="100"/>
        <v>0</v>
      </c>
      <c r="BD104" s="66">
        <f t="shared" si="101"/>
        <v>0</v>
      </c>
      <c r="BE104" s="64"/>
      <c r="BF104" s="66">
        <f t="shared" si="102"/>
        <v>0</v>
      </c>
      <c r="BG104" s="66">
        <f t="shared" si="103"/>
        <v>0</v>
      </c>
      <c r="BH104" s="65">
        <f>VLOOKUP(AA104,Table1551[#All],2,FALSE)</f>
        <v>1</v>
      </c>
      <c r="BI104" s="65">
        <f t="shared" si="104"/>
        <v>0</v>
      </c>
      <c r="BJ104" s="64" t="str">
        <f t="shared" si="105"/>
        <v>0</v>
      </c>
      <c r="CK104" s="86" t="s">
        <v>102</v>
      </c>
      <c r="CL104" s="2">
        <v>0.8</v>
      </c>
      <c r="CM104" s="2">
        <f t="shared" si="106"/>
        <v>0.88000000000000012</v>
      </c>
      <c r="CN104" s="10">
        <v>1.5</v>
      </c>
      <c r="CO104" s="84">
        <f t="shared" si="107"/>
        <v>0</v>
      </c>
    </row>
    <row r="105" spans="1:93" ht="11.1" hidden="1" customHeight="1" x14ac:dyDescent="0.45">
      <c r="A105" s="83"/>
      <c r="B105" s="266"/>
      <c r="C105" s="267"/>
      <c r="D105" s="267"/>
      <c r="E105" s="268"/>
      <c r="F105" s="64"/>
      <c r="G105" s="64"/>
      <c r="H105" s="82"/>
      <c r="I105" s="81"/>
      <c r="J105" s="64"/>
      <c r="K105" s="80"/>
      <c r="L105" s="79">
        <f t="shared" si="81"/>
        <v>0</v>
      </c>
      <c r="M105" s="64"/>
      <c r="N105" s="64"/>
      <c r="O105" s="64"/>
      <c r="P105" s="80"/>
      <c r="Q105" s="79">
        <f t="shared" si="82"/>
        <v>0</v>
      </c>
      <c r="R105" s="269"/>
      <c r="S105" s="270"/>
      <c r="T105" s="266"/>
      <c r="U105" s="267"/>
      <c r="V105" s="267"/>
      <c r="W105" s="268"/>
      <c r="X105" s="271" t="str">
        <f>IFERROR(INDEX(Table3941[],MATCH(R105,Table3941[Film Type],),3),"")</f>
        <v/>
      </c>
      <c r="Y105" s="271"/>
      <c r="Z105" s="78" t="s">
        <v>55</v>
      </c>
      <c r="AA105" s="78" t="s">
        <v>55</v>
      </c>
      <c r="AB105" s="77"/>
      <c r="AC105" s="76"/>
      <c r="AD105" s="75">
        <f t="shared" si="83"/>
        <v>0</v>
      </c>
      <c r="AG105" s="74">
        <f t="shared" si="84"/>
        <v>0</v>
      </c>
      <c r="AK105" s="65">
        <f t="shared" si="85"/>
        <v>0</v>
      </c>
      <c r="AL105" s="65">
        <f t="shared" si="86"/>
        <v>0</v>
      </c>
      <c r="AM105" s="65">
        <f t="shared" si="87"/>
        <v>0</v>
      </c>
      <c r="AN105" s="73">
        <f t="shared" si="88"/>
        <v>0</v>
      </c>
      <c r="AO105" s="65" t="str">
        <f t="shared" si="89"/>
        <v>0.00</v>
      </c>
      <c r="AP105" s="65" t="str">
        <f t="shared" si="90"/>
        <v>0</v>
      </c>
      <c r="AQ105" s="71">
        <f t="shared" si="91"/>
        <v>0</v>
      </c>
      <c r="AR105" s="72">
        <f t="shared" si="92"/>
        <v>0</v>
      </c>
      <c r="AS105" s="71">
        <f t="shared" si="93"/>
        <v>0</v>
      </c>
      <c r="AT105" s="70">
        <f t="shared" si="94"/>
        <v>0</v>
      </c>
      <c r="AU105" s="70">
        <f t="shared" si="95"/>
        <v>0</v>
      </c>
      <c r="AV105" s="2"/>
      <c r="AW105" s="66">
        <f t="shared" si="96"/>
        <v>0</v>
      </c>
      <c r="AX105" s="68">
        <f>_xlfn.IFNA(INDEX(Table3941[I $ p/ft2],MATCH(R105,Table3941[Film Type],0)),1.75)</f>
        <v>1.75</v>
      </c>
      <c r="AY105" s="69">
        <f>VLOOKUP(Z105,Table1349[#All],2,FALSE)</f>
        <v>1</v>
      </c>
      <c r="AZ105" s="68">
        <f t="shared" si="97"/>
        <v>1.75</v>
      </c>
      <c r="BA105" s="65">
        <f t="shared" si="98"/>
        <v>0</v>
      </c>
      <c r="BB105" s="64">
        <f t="shared" si="99"/>
        <v>0</v>
      </c>
      <c r="BC105" s="67">
        <f t="shared" si="100"/>
        <v>0</v>
      </c>
      <c r="BD105" s="66">
        <f t="shared" si="101"/>
        <v>0</v>
      </c>
      <c r="BE105" s="64"/>
      <c r="BF105" s="66">
        <f t="shared" si="102"/>
        <v>0</v>
      </c>
      <c r="BG105" s="66">
        <f t="shared" si="103"/>
        <v>0</v>
      </c>
      <c r="BH105" s="65">
        <f>VLOOKUP(AA105,Table1551[#All],2,FALSE)</f>
        <v>1</v>
      </c>
      <c r="BI105" s="65">
        <f t="shared" si="104"/>
        <v>0</v>
      </c>
      <c r="BJ105" s="64" t="str">
        <f t="shared" si="105"/>
        <v>0</v>
      </c>
      <c r="CK105" s="86" t="s">
        <v>101</v>
      </c>
      <c r="CL105" s="2">
        <v>0.94</v>
      </c>
      <c r="CM105" s="2">
        <f t="shared" si="106"/>
        <v>1.034</v>
      </c>
      <c r="CN105" s="10">
        <v>1.5</v>
      </c>
      <c r="CO105" s="84">
        <f t="shared" si="107"/>
        <v>0</v>
      </c>
    </row>
    <row r="106" spans="1:93" ht="11.1" hidden="1" customHeight="1" x14ac:dyDescent="0.45">
      <c r="A106" s="83"/>
      <c r="B106" s="266"/>
      <c r="C106" s="267"/>
      <c r="D106" s="267"/>
      <c r="E106" s="268"/>
      <c r="F106" s="64"/>
      <c r="G106" s="64"/>
      <c r="H106" s="82"/>
      <c r="I106" s="81"/>
      <c r="J106" s="64"/>
      <c r="K106" s="80"/>
      <c r="L106" s="79">
        <f t="shared" si="81"/>
        <v>0</v>
      </c>
      <c r="M106" s="64"/>
      <c r="N106" s="64"/>
      <c r="O106" s="64"/>
      <c r="P106" s="80"/>
      <c r="Q106" s="79">
        <f t="shared" si="82"/>
        <v>0</v>
      </c>
      <c r="R106" s="269"/>
      <c r="S106" s="270"/>
      <c r="T106" s="266"/>
      <c r="U106" s="267"/>
      <c r="V106" s="267"/>
      <c r="W106" s="268"/>
      <c r="X106" s="271" t="str">
        <f>IFERROR(INDEX(Table3941[],MATCH(R106,Table3941[Film Type],),3),"")</f>
        <v/>
      </c>
      <c r="Y106" s="271"/>
      <c r="Z106" s="78" t="s">
        <v>55</v>
      </c>
      <c r="AA106" s="78" t="s">
        <v>55</v>
      </c>
      <c r="AB106" s="77"/>
      <c r="AC106" s="76"/>
      <c r="AD106" s="75">
        <f t="shared" si="83"/>
        <v>0</v>
      </c>
      <c r="AG106" s="74">
        <f t="shared" si="84"/>
        <v>0</v>
      </c>
      <c r="AK106" s="65">
        <f t="shared" si="85"/>
        <v>0</v>
      </c>
      <c r="AL106" s="65">
        <f t="shared" si="86"/>
        <v>0</v>
      </c>
      <c r="AM106" s="65">
        <f t="shared" si="87"/>
        <v>0</v>
      </c>
      <c r="AN106" s="73">
        <f t="shared" si="88"/>
        <v>0</v>
      </c>
      <c r="AO106" s="65" t="str">
        <f t="shared" si="89"/>
        <v>0.00</v>
      </c>
      <c r="AP106" s="65" t="str">
        <f t="shared" si="90"/>
        <v>0</v>
      </c>
      <c r="AQ106" s="71">
        <f t="shared" si="91"/>
        <v>0</v>
      </c>
      <c r="AR106" s="72">
        <f t="shared" si="92"/>
        <v>0</v>
      </c>
      <c r="AS106" s="71">
        <f t="shared" si="93"/>
        <v>0</v>
      </c>
      <c r="AT106" s="70">
        <f t="shared" si="94"/>
        <v>0</v>
      </c>
      <c r="AU106" s="70">
        <f t="shared" si="95"/>
        <v>0</v>
      </c>
      <c r="AV106" s="2"/>
      <c r="AW106" s="66">
        <f t="shared" si="96"/>
        <v>0</v>
      </c>
      <c r="AX106" s="68">
        <f>_xlfn.IFNA(INDEX(Table3941[I $ p/ft2],MATCH(R106,Table3941[Film Type],0)),1.75)</f>
        <v>1.75</v>
      </c>
      <c r="AY106" s="69">
        <f>VLOOKUP(Z106,Table1349[#All],2,FALSE)</f>
        <v>1</v>
      </c>
      <c r="AZ106" s="68">
        <f t="shared" si="97"/>
        <v>1.75</v>
      </c>
      <c r="BA106" s="65">
        <f t="shared" si="98"/>
        <v>0</v>
      </c>
      <c r="BB106" s="64">
        <f t="shared" si="99"/>
        <v>0</v>
      </c>
      <c r="BC106" s="67">
        <f t="shared" si="100"/>
        <v>0</v>
      </c>
      <c r="BD106" s="66">
        <f t="shared" si="101"/>
        <v>0</v>
      </c>
      <c r="BE106" s="64"/>
      <c r="BF106" s="66">
        <f t="shared" si="102"/>
        <v>0</v>
      </c>
      <c r="BG106" s="66">
        <f t="shared" si="103"/>
        <v>0</v>
      </c>
      <c r="BH106" s="65">
        <f>VLOOKUP(AA106,Table1551[#All],2,FALSE)</f>
        <v>1</v>
      </c>
      <c r="BI106" s="65">
        <f t="shared" si="104"/>
        <v>0</v>
      </c>
      <c r="BJ106" s="64" t="str">
        <f t="shared" si="105"/>
        <v>0</v>
      </c>
      <c r="CK106" s="86" t="s">
        <v>100</v>
      </c>
      <c r="CL106" s="2">
        <v>1.01</v>
      </c>
      <c r="CM106" s="2">
        <f t="shared" si="106"/>
        <v>1.1110000000000002</v>
      </c>
      <c r="CN106" s="10">
        <v>1.5</v>
      </c>
      <c r="CO106" s="84">
        <f t="shared" si="107"/>
        <v>0</v>
      </c>
    </row>
    <row r="107" spans="1:93" ht="11.1" hidden="1" customHeight="1" x14ac:dyDescent="0.45">
      <c r="A107" s="83"/>
      <c r="B107" s="266"/>
      <c r="C107" s="267"/>
      <c r="D107" s="267"/>
      <c r="E107" s="268"/>
      <c r="F107" s="64"/>
      <c r="G107" s="64"/>
      <c r="H107" s="82"/>
      <c r="I107" s="81"/>
      <c r="J107" s="64"/>
      <c r="K107" s="80"/>
      <c r="L107" s="79">
        <f t="shared" si="81"/>
        <v>0</v>
      </c>
      <c r="M107" s="64"/>
      <c r="N107" s="64"/>
      <c r="O107" s="64"/>
      <c r="P107" s="80"/>
      <c r="Q107" s="79">
        <f t="shared" si="82"/>
        <v>0</v>
      </c>
      <c r="R107" s="269"/>
      <c r="S107" s="270"/>
      <c r="T107" s="266"/>
      <c r="U107" s="267"/>
      <c r="V107" s="267"/>
      <c r="W107" s="268"/>
      <c r="X107" s="271" t="str">
        <f>IFERROR(INDEX(Table3941[],MATCH(R107,Table3941[Film Type],),3),"")</f>
        <v/>
      </c>
      <c r="Y107" s="271"/>
      <c r="Z107" s="78" t="s">
        <v>55</v>
      </c>
      <c r="AA107" s="78" t="s">
        <v>55</v>
      </c>
      <c r="AB107" s="77"/>
      <c r="AC107" s="76"/>
      <c r="AD107" s="75">
        <f t="shared" si="83"/>
        <v>0</v>
      </c>
      <c r="AG107" s="74">
        <f t="shared" si="84"/>
        <v>0</v>
      </c>
      <c r="AK107" s="65">
        <f t="shared" si="85"/>
        <v>0</v>
      </c>
      <c r="AL107" s="65">
        <f t="shared" si="86"/>
        <v>0</v>
      </c>
      <c r="AM107" s="65">
        <f t="shared" si="87"/>
        <v>0</v>
      </c>
      <c r="AN107" s="73">
        <f t="shared" si="88"/>
        <v>0</v>
      </c>
      <c r="AO107" s="65" t="str">
        <f t="shared" si="89"/>
        <v>0.00</v>
      </c>
      <c r="AP107" s="65" t="str">
        <f t="shared" si="90"/>
        <v>0</v>
      </c>
      <c r="AQ107" s="71">
        <f t="shared" si="91"/>
        <v>0</v>
      </c>
      <c r="AR107" s="72">
        <f t="shared" si="92"/>
        <v>0</v>
      </c>
      <c r="AS107" s="71">
        <f t="shared" si="93"/>
        <v>0</v>
      </c>
      <c r="AT107" s="70">
        <f t="shared" si="94"/>
        <v>0</v>
      </c>
      <c r="AU107" s="70">
        <f t="shared" si="95"/>
        <v>0</v>
      </c>
      <c r="AV107" s="2"/>
      <c r="AW107" s="66">
        <f t="shared" si="96"/>
        <v>0</v>
      </c>
      <c r="AX107" s="68">
        <f>_xlfn.IFNA(INDEX(Table3941[I $ p/ft2],MATCH(R107,Table3941[Film Type],0)),1.75)</f>
        <v>1.75</v>
      </c>
      <c r="AY107" s="69">
        <f>VLOOKUP(Z107,Table1349[#All],2,FALSE)</f>
        <v>1</v>
      </c>
      <c r="AZ107" s="68">
        <f t="shared" si="97"/>
        <v>1.75</v>
      </c>
      <c r="BA107" s="65">
        <f t="shared" si="98"/>
        <v>0</v>
      </c>
      <c r="BB107" s="64">
        <f t="shared" si="99"/>
        <v>0</v>
      </c>
      <c r="BC107" s="67">
        <f t="shared" si="100"/>
        <v>0</v>
      </c>
      <c r="BD107" s="66">
        <f t="shared" si="101"/>
        <v>0</v>
      </c>
      <c r="BE107" s="64"/>
      <c r="BF107" s="66">
        <f t="shared" si="102"/>
        <v>0</v>
      </c>
      <c r="BG107" s="66">
        <f t="shared" si="103"/>
        <v>0</v>
      </c>
      <c r="BH107" s="65">
        <f>VLOOKUP(AA107,Table1551[#All],2,FALSE)</f>
        <v>1</v>
      </c>
      <c r="BI107" s="65">
        <f t="shared" si="104"/>
        <v>0</v>
      </c>
      <c r="BJ107" s="64" t="str">
        <f t="shared" si="105"/>
        <v>0</v>
      </c>
      <c r="CK107" s="86" t="s">
        <v>99</v>
      </c>
      <c r="CL107" s="2">
        <v>0.81</v>
      </c>
      <c r="CM107" s="2">
        <f t="shared" si="106"/>
        <v>0.89100000000000013</v>
      </c>
      <c r="CN107" s="10">
        <v>1.5</v>
      </c>
      <c r="CO107" s="84">
        <f t="shared" si="107"/>
        <v>0</v>
      </c>
    </row>
    <row r="108" spans="1:93" ht="11.1" hidden="1" customHeight="1" x14ac:dyDescent="0.45">
      <c r="A108" s="83"/>
      <c r="B108" s="266"/>
      <c r="C108" s="267"/>
      <c r="D108" s="267"/>
      <c r="E108" s="268"/>
      <c r="F108" s="64"/>
      <c r="G108" s="64"/>
      <c r="H108" s="82"/>
      <c r="I108" s="81"/>
      <c r="J108" s="64"/>
      <c r="K108" s="80"/>
      <c r="L108" s="79">
        <f t="shared" si="81"/>
        <v>0</v>
      </c>
      <c r="M108" s="64"/>
      <c r="N108" s="64"/>
      <c r="O108" s="64"/>
      <c r="P108" s="80"/>
      <c r="Q108" s="79">
        <f t="shared" si="82"/>
        <v>0</v>
      </c>
      <c r="R108" s="269"/>
      <c r="S108" s="270"/>
      <c r="T108" s="266"/>
      <c r="U108" s="267"/>
      <c r="V108" s="267"/>
      <c r="W108" s="268"/>
      <c r="X108" s="271" t="str">
        <f>IFERROR(INDEX(Table3941[],MATCH(R108,Table3941[Film Type],),3),"")</f>
        <v/>
      </c>
      <c r="Y108" s="271"/>
      <c r="Z108" s="78" t="s">
        <v>55</v>
      </c>
      <c r="AA108" s="78" t="s">
        <v>55</v>
      </c>
      <c r="AB108" s="77"/>
      <c r="AC108" s="76"/>
      <c r="AD108" s="75">
        <f t="shared" si="83"/>
        <v>0</v>
      </c>
      <c r="AG108" s="74">
        <f t="shared" si="84"/>
        <v>0</v>
      </c>
      <c r="AK108" s="65">
        <f t="shared" si="85"/>
        <v>0</v>
      </c>
      <c r="AL108" s="65">
        <f t="shared" si="86"/>
        <v>0</v>
      </c>
      <c r="AM108" s="65">
        <f t="shared" si="87"/>
        <v>0</v>
      </c>
      <c r="AN108" s="73">
        <f t="shared" si="88"/>
        <v>0</v>
      </c>
      <c r="AO108" s="65" t="str">
        <f t="shared" si="89"/>
        <v>0.00</v>
      </c>
      <c r="AP108" s="65" t="str">
        <f t="shared" si="90"/>
        <v>0</v>
      </c>
      <c r="AQ108" s="71">
        <f t="shared" si="91"/>
        <v>0</v>
      </c>
      <c r="AR108" s="72">
        <f t="shared" si="92"/>
        <v>0</v>
      </c>
      <c r="AS108" s="71">
        <f t="shared" si="93"/>
        <v>0</v>
      </c>
      <c r="AT108" s="70">
        <f t="shared" si="94"/>
        <v>0</v>
      </c>
      <c r="AU108" s="70">
        <f t="shared" si="95"/>
        <v>0</v>
      </c>
      <c r="AV108" s="2"/>
      <c r="AW108" s="66">
        <f t="shared" si="96"/>
        <v>0</v>
      </c>
      <c r="AX108" s="68">
        <f>_xlfn.IFNA(INDEX(Table3941[I $ p/ft2],MATCH(R108,Table3941[Film Type],0)),1.75)</f>
        <v>1.75</v>
      </c>
      <c r="AY108" s="69">
        <f>VLOOKUP(Z108,Table1349[#All],2,FALSE)</f>
        <v>1</v>
      </c>
      <c r="AZ108" s="68">
        <f t="shared" si="97"/>
        <v>1.75</v>
      </c>
      <c r="BA108" s="65">
        <f t="shared" si="98"/>
        <v>0</v>
      </c>
      <c r="BB108" s="64">
        <f t="shared" si="99"/>
        <v>0</v>
      </c>
      <c r="BC108" s="67">
        <f t="shared" si="100"/>
        <v>0</v>
      </c>
      <c r="BD108" s="66">
        <f t="shared" si="101"/>
        <v>0</v>
      </c>
      <c r="BE108" s="64"/>
      <c r="BF108" s="66">
        <f t="shared" si="102"/>
        <v>0</v>
      </c>
      <c r="BG108" s="66">
        <f t="shared" si="103"/>
        <v>0</v>
      </c>
      <c r="BH108" s="65">
        <f>VLOOKUP(AA108,Table1551[#All],2,FALSE)</f>
        <v>1</v>
      </c>
      <c r="BI108" s="65">
        <f t="shared" si="104"/>
        <v>0</v>
      </c>
      <c r="BJ108" s="64" t="str">
        <f t="shared" si="105"/>
        <v>0</v>
      </c>
      <c r="CK108" s="86" t="s">
        <v>98</v>
      </c>
      <c r="CL108" s="2">
        <v>1.21</v>
      </c>
      <c r="CM108" s="2">
        <f t="shared" si="106"/>
        <v>1.331</v>
      </c>
      <c r="CN108" s="10">
        <v>2</v>
      </c>
      <c r="CO108" s="84">
        <f t="shared" si="107"/>
        <v>0</v>
      </c>
    </row>
    <row r="109" spans="1:93" ht="11.1" hidden="1" customHeight="1" x14ac:dyDescent="0.45">
      <c r="A109" s="83"/>
      <c r="B109" s="266"/>
      <c r="C109" s="267"/>
      <c r="D109" s="267"/>
      <c r="E109" s="268"/>
      <c r="F109" s="64"/>
      <c r="G109" s="64"/>
      <c r="H109" s="82"/>
      <c r="I109" s="81"/>
      <c r="J109" s="64"/>
      <c r="K109" s="80"/>
      <c r="L109" s="79">
        <f t="shared" si="81"/>
        <v>0</v>
      </c>
      <c r="M109" s="64"/>
      <c r="N109" s="64"/>
      <c r="O109" s="64"/>
      <c r="P109" s="80"/>
      <c r="Q109" s="79">
        <f t="shared" si="82"/>
        <v>0</v>
      </c>
      <c r="R109" s="269"/>
      <c r="S109" s="270"/>
      <c r="T109" s="266"/>
      <c r="U109" s="267"/>
      <c r="V109" s="267"/>
      <c r="W109" s="268"/>
      <c r="X109" s="271" t="str">
        <f>IFERROR(INDEX(Table3941[],MATCH(R109,Table3941[Film Type],),3),"")</f>
        <v/>
      </c>
      <c r="Y109" s="271"/>
      <c r="Z109" s="78" t="s">
        <v>55</v>
      </c>
      <c r="AA109" s="78" t="s">
        <v>55</v>
      </c>
      <c r="AB109" s="77"/>
      <c r="AC109" s="76"/>
      <c r="AD109" s="75">
        <f t="shared" si="83"/>
        <v>0</v>
      </c>
      <c r="AG109" s="74">
        <f t="shared" si="84"/>
        <v>0</v>
      </c>
      <c r="AK109" s="65">
        <f t="shared" si="85"/>
        <v>0</v>
      </c>
      <c r="AL109" s="65">
        <f t="shared" si="86"/>
        <v>0</v>
      </c>
      <c r="AM109" s="65">
        <f t="shared" si="87"/>
        <v>0</v>
      </c>
      <c r="AN109" s="73">
        <f t="shared" si="88"/>
        <v>0</v>
      </c>
      <c r="AO109" s="65" t="str">
        <f t="shared" si="89"/>
        <v>0.00</v>
      </c>
      <c r="AP109" s="65" t="str">
        <f t="shared" si="90"/>
        <v>0</v>
      </c>
      <c r="AQ109" s="71">
        <f t="shared" si="91"/>
        <v>0</v>
      </c>
      <c r="AR109" s="72">
        <f t="shared" si="92"/>
        <v>0</v>
      </c>
      <c r="AS109" s="71">
        <f t="shared" si="93"/>
        <v>0</v>
      </c>
      <c r="AT109" s="70">
        <f t="shared" si="94"/>
        <v>0</v>
      </c>
      <c r="AU109" s="70">
        <f t="shared" si="95"/>
        <v>0</v>
      </c>
      <c r="AV109" s="2"/>
      <c r="AW109" s="66">
        <f t="shared" si="96"/>
        <v>0</v>
      </c>
      <c r="AX109" s="68">
        <f>_xlfn.IFNA(INDEX(Table3941[I $ p/ft2],MATCH(R109,Table3941[Film Type],0)),1.75)</f>
        <v>1.75</v>
      </c>
      <c r="AY109" s="69">
        <f>VLOOKUP(Z109,Table1349[#All],2,FALSE)</f>
        <v>1</v>
      </c>
      <c r="AZ109" s="68">
        <f t="shared" si="97"/>
        <v>1.75</v>
      </c>
      <c r="BA109" s="65">
        <f t="shared" si="98"/>
        <v>0</v>
      </c>
      <c r="BB109" s="64">
        <f t="shared" si="99"/>
        <v>0</v>
      </c>
      <c r="BC109" s="67">
        <f t="shared" si="100"/>
        <v>0</v>
      </c>
      <c r="BD109" s="66">
        <f t="shared" si="101"/>
        <v>0</v>
      </c>
      <c r="BE109" s="64"/>
      <c r="BF109" s="66">
        <f t="shared" si="102"/>
        <v>0</v>
      </c>
      <c r="BG109" s="66">
        <f t="shared" si="103"/>
        <v>0</v>
      </c>
      <c r="BH109" s="65">
        <f>VLOOKUP(AA109,Table1551[#All],2,FALSE)</f>
        <v>1</v>
      </c>
      <c r="BI109" s="65">
        <f t="shared" si="104"/>
        <v>0</v>
      </c>
      <c r="BJ109" s="64" t="str">
        <f t="shared" si="105"/>
        <v>0</v>
      </c>
      <c r="CK109" s="86" t="s">
        <v>97</v>
      </c>
      <c r="CL109" s="2">
        <v>1.24</v>
      </c>
      <c r="CM109" s="2">
        <f t="shared" si="106"/>
        <v>1.3640000000000001</v>
      </c>
      <c r="CN109" s="10">
        <v>2</v>
      </c>
      <c r="CO109" s="84">
        <f t="shared" si="107"/>
        <v>0</v>
      </c>
    </row>
    <row r="110" spans="1:93" ht="11.1" hidden="1" customHeight="1" x14ac:dyDescent="0.45">
      <c r="A110" s="83"/>
      <c r="B110" s="266"/>
      <c r="C110" s="267"/>
      <c r="D110" s="267"/>
      <c r="E110" s="268"/>
      <c r="F110" s="64"/>
      <c r="G110" s="64"/>
      <c r="H110" s="82"/>
      <c r="I110" s="81"/>
      <c r="J110" s="64"/>
      <c r="K110" s="80"/>
      <c r="L110" s="79">
        <f t="shared" si="81"/>
        <v>0</v>
      </c>
      <c r="M110" s="64"/>
      <c r="N110" s="64"/>
      <c r="O110" s="64"/>
      <c r="P110" s="80"/>
      <c r="Q110" s="79">
        <f t="shared" si="82"/>
        <v>0</v>
      </c>
      <c r="R110" s="269"/>
      <c r="S110" s="270"/>
      <c r="T110" s="266"/>
      <c r="U110" s="267"/>
      <c r="V110" s="267"/>
      <c r="W110" s="268"/>
      <c r="X110" s="271" t="str">
        <f>IFERROR(INDEX(Table3941[],MATCH(R110,Table3941[Film Type],),3),"")</f>
        <v/>
      </c>
      <c r="Y110" s="271"/>
      <c r="Z110" s="78" t="s">
        <v>55</v>
      </c>
      <c r="AA110" s="78" t="s">
        <v>55</v>
      </c>
      <c r="AB110" s="77"/>
      <c r="AC110" s="76"/>
      <c r="AD110" s="75">
        <f t="shared" si="83"/>
        <v>0</v>
      </c>
      <c r="AG110" s="74">
        <f t="shared" si="84"/>
        <v>0</v>
      </c>
      <c r="AK110" s="65">
        <f t="shared" si="85"/>
        <v>0</v>
      </c>
      <c r="AL110" s="65">
        <f t="shared" si="86"/>
        <v>0</v>
      </c>
      <c r="AM110" s="65">
        <f t="shared" si="87"/>
        <v>0</v>
      </c>
      <c r="AN110" s="73">
        <f t="shared" si="88"/>
        <v>0</v>
      </c>
      <c r="AO110" s="65" t="str">
        <f t="shared" si="89"/>
        <v>0.00</v>
      </c>
      <c r="AP110" s="65" t="str">
        <f t="shared" si="90"/>
        <v>0</v>
      </c>
      <c r="AQ110" s="71">
        <f t="shared" si="91"/>
        <v>0</v>
      </c>
      <c r="AR110" s="72">
        <f t="shared" si="92"/>
        <v>0</v>
      </c>
      <c r="AS110" s="71">
        <f t="shared" si="93"/>
        <v>0</v>
      </c>
      <c r="AT110" s="70">
        <f t="shared" si="94"/>
        <v>0</v>
      </c>
      <c r="AU110" s="70">
        <f t="shared" si="95"/>
        <v>0</v>
      </c>
      <c r="AV110" s="2"/>
      <c r="AW110" s="66">
        <f t="shared" si="96"/>
        <v>0</v>
      </c>
      <c r="AX110" s="68">
        <f>_xlfn.IFNA(INDEX(Table3941[I $ p/ft2],MATCH(R110,Table3941[Film Type],0)),1.75)</f>
        <v>1.75</v>
      </c>
      <c r="AY110" s="69">
        <f>VLOOKUP(Z110,Table1349[#All],2,FALSE)</f>
        <v>1</v>
      </c>
      <c r="AZ110" s="68">
        <f t="shared" si="97"/>
        <v>1.75</v>
      </c>
      <c r="BA110" s="65">
        <f t="shared" si="98"/>
        <v>0</v>
      </c>
      <c r="BB110" s="64">
        <f t="shared" si="99"/>
        <v>0</v>
      </c>
      <c r="BC110" s="67">
        <f t="shared" si="100"/>
        <v>0</v>
      </c>
      <c r="BD110" s="66">
        <f t="shared" si="101"/>
        <v>0</v>
      </c>
      <c r="BE110" s="64"/>
      <c r="BF110" s="66">
        <f t="shared" si="102"/>
        <v>0</v>
      </c>
      <c r="BG110" s="66">
        <f t="shared" si="103"/>
        <v>0</v>
      </c>
      <c r="BH110" s="65">
        <f>VLOOKUP(AA110,Table1551[#All],2,FALSE)</f>
        <v>1</v>
      </c>
      <c r="BI110" s="65">
        <f t="shared" si="104"/>
        <v>0</v>
      </c>
      <c r="BJ110" s="64" t="str">
        <f t="shared" si="105"/>
        <v>0</v>
      </c>
      <c r="CK110" s="86" t="s">
        <v>96</v>
      </c>
      <c r="CL110" s="2">
        <v>1.05</v>
      </c>
      <c r="CM110" s="2">
        <f t="shared" si="106"/>
        <v>1.1550000000000002</v>
      </c>
      <c r="CN110" s="10">
        <v>2</v>
      </c>
      <c r="CO110" s="84">
        <f t="shared" si="107"/>
        <v>0</v>
      </c>
    </row>
    <row r="111" spans="1:93" ht="11.1" hidden="1" customHeight="1" x14ac:dyDescent="0.45">
      <c r="A111" s="83"/>
      <c r="B111" s="266"/>
      <c r="C111" s="267"/>
      <c r="D111" s="267"/>
      <c r="E111" s="268"/>
      <c r="F111" s="64"/>
      <c r="G111" s="64"/>
      <c r="H111" s="82"/>
      <c r="I111" s="81"/>
      <c r="J111" s="64"/>
      <c r="K111" s="80"/>
      <c r="L111" s="79">
        <f t="shared" si="81"/>
        <v>0</v>
      </c>
      <c r="M111" s="64"/>
      <c r="N111" s="64"/>
      <c r="O111" s="64"/>
      <c r="P111" s="80"/>
      <c r="Q111" s="79">
        <f t="shared" si="82"/>
        <v>0</v>
      </c>
      <c r="R111" s="269"/>
      <c r="S111" s="270"/>
      <c r="T111" s="266"/>
      <c r="U111" s="267"/>
      <c r="V111" s="267"/>
      <c r="W111" s="268"/>
      <c r="X111" s="271" t="str">
        <f>IFERROR(INDEX(Table3941[],MATCH(R111,Table3941[Film Type],),3),"")</f>
        <v/>
      </c>
      <c r="Y111" s="271"/>
      <c r="Z111" s="78" t="s">
        <v>55</v>
      </c>
      <c r="AA111" s="78" t="s">
        <v>55</v>
      </c>
      <c r="AB111" s="77"/>
      <c r="AC111" s="76"/>
      <c r="AD111" s="75">
        <f t="shared" si="83"/>
        <v>0</v>
      </c>
      <c r="AG111" s="74">
        <f t="shared" si="84"/>
        <v>0</v>
      </c>
      <c r="AK111" s="65">
        <f t="shared" si="85"/>
        <v>0</v>
      </c>
      <c r="AL111" s="65">
        <f t="shared" si="86"/>
        <v>0</v>
      </c>
      <c r="AM111" s="65">
        <f t="shared" si="87"/>
        <v>0</v>
      </c>
      <c r="AN111" s="73">
        <f t="shared" si="88"/>
        <v>0</v>
      </c>
      <c r="AO111" s="65" t="str">
        <f t="shared" si="89"/>
        <v>0.00</v>
      </c>
      <c r="AP111" s="65" t="str">
        <f t="shared" si="90"/>
        <v>0</v>
      </c>
      <c r="AQ111" s="71">
        <f t="shared" si="91"/>
        <v>0</v>
      </c>
      <c r="AR111" s="72">
        <f t="shared" si="92"/>
        <v>0</v>
      </c>
      <c r="AS111" s="71">
        <f t="shared" si="93"/>
        <v>0</v>
      </c>
      <c r="AT111" s="70">
        <f t="shared" si="94"/>
        <v>0</v>
      </c>
      <c r="AU111" s="70">
        <f t="shared" si="95"/>
        <v>0</v>
      </c>
      <c r="AV111" s="2"/>
      <c r="AW111" s="66">
        <f t="shared" si="96"/>
        <v>0</v>
      </c>
      <c r="AX111" s="68">
        <f>_xlfn.IFNA(INDEX(Table3941[I $ p/ft2],MATCH(R111,Table3941[Film Type],0)),1.75)</f>
        <v>1.75</v>
      </c>
      <c r="AY111" s="69">
        <f>VLOOKUP(Z111,Table1349[#All],2,FALSE)</f>
        <v>1</v>
      </c>
      <c r="AZ111" s="68">
        <f t="shared" si="97"/>
        <v>1.75</v>
      </c>
      <c r="BA111" s="65">
        <f t="shared" si="98"/>
        <v>0</v>
      </c>
      <c r="BB111" s="64">
        <f t="shared" si="99"/>
        <v>0</v>
      </c>
      <c r="BC111" s="67">
        <f t="shared" si="100"/>
        <v>0</v>
      </c>
      <c r="BD111" s="66">
        <f t="shared" si="101"/>
        <v>0</v>
      </c>
      <c r="BE111" s="64"/>
      <c r="BF111" s="66">
        <f t="shared" si="102"/>
        <v>0</v>
      </c>
      <c r="BG111" s="66">
        <f t="shared" si="103"/>
        <v>0</v>
      </c>
      <c r="BH111" s="65">
        <f>VLOOKUP(AA111,Table1551[#All],2,FALSE)</f>
        <v>1</v>
      </c>
      <c r="BI111" s="65">
        <f t="shared" si="104"/>
        <v>0</v>
      </c>
      <c r="BJ111" s="64" t="str">
        <f t="shared" si="105"/>
        <v>0</v>
      </c>
      <c r="CK111" s="86"/>
      <c r="CM111" s="2">
        <f t="shared" si="106"/>
        <v>0</v>
      </c>
      <c r="CN111" s="10"/>
      <c r="CO111" s="84">
        <f t="shared" si="107"/>
        <v>0</v>
      </c>
    </row>
    <row r="112" spans="1:93" ht="11.1" hidden="1" customHeight="1" x14ac:dyDescent="0.45">
      <c r="A112" s="83"/>
      <c r="B112" s="266"/>
      <c r="C112" s="267"/>
      <c r="D112" s="267"/>
      <c r="E112" s="268"/>
      <c r="F112" s="64"/>
      <c r="G112" s="64"/>
      <c r="H112" s="82"/>
      <c r="I112" s="81"/>
      <c r="J112" s="64"/>
      <c r="K112" s="80"/>
      <c r="L112" s="79">
        <f t="shared" si="81"/>
        <v>0</v>
      </c>
      <c r="M112" s="64"/>
      <c r="N112" s="64"/>
      <c r="O112" s="64"/>
      <c r="P112" s="80"/>
      <c r="Q112" s="79">
        <f t="shared" si="82"/>
        <v>0</v>
      </c>
      <c r="R112" s="269"/>
      <c r="S112" s="270"/>
      <c r="T112" s="266"/>
      <c r="U112" s="267"/>
      <c r="V112" s="267"/>
      <c r="W112" s="268"/>
      <c r="X112" s="271" t="str">
        <f>IFERROR(INDEX(Table3941[],MATCH(R112,Table3941[Film Type],),3),"")</f>
        <v/>
      </c>
      <c r="Y112" s="271"/>
      <c r="Z112" s="78" t="s">
        <v>55</v>
      </c>
      <c r="AA112" s="78" t="s">
        <v>55</v>
      </c>
      <c r="AB112" s="77"/>
      <c r="AC112" s="76"/>
      <c r="AD112" s="75">
        <f t="shared" si="83"/>
        <v>0</v>
      </c>
      <c r="AG112" s="74">
        <f t="shared" si="84"/>
        <v>0</v>
      </c>
      <c r="AK112" s="65">
        <f t="shared" si="85"/>
        <v>0</v>
      </c>
      <c r="AL112" s="65">
        <f t="shared" si="86"/>
        <v>0</v>
      </c>
      <c r="AM112" s="65">
        <f t="shared" si="87"/>
        <v>0</v>
      </c>
      <c r="AN112" s="73">
        <f t="shared" si="88"/>
        <v>0</v>
      </c>
      <c r="AO112" s="65" t="str">
        <f t="shared" si="89"/>
        <v>0.00</v>
      </c>
      <c r="AP112" s="65" t="str">
        <f t="shared" si="90"/>
        <v>0</v>
      </c>
      <c r="AQ112" s="71">
        <f t="shared" si="91"/>
        <v>0</v>
      </c>
      <c r="AR112" s="72">
        <f t="shared" si="92"/>
        <v>0</v>
      </c>
      <c r="AS112" s="71">
        <f t="shared" si="93"/>
        <v>0</v>
      </c>
      <c r="AT112" s="70">
        <f t="shared" si="94"/>
        <v>0</v>
      </c>
      <c r="AU112" s="70">
        <f t="shared" si="95"/>
        <v>0</v>
      </c>
      <c r="AV112" s="2"/>
      <c r="AW112" s="66">
        <f t="shared" si="96"/>
        <v>0</v>
      </c>
      <c r="AX112" s="68">
        <f>_xlfn.IFNA(INDEX(Table3941[I $ p/ft2],MATCH(R112,Table3941[Film Type],0)),1.75)</f>
        <v>1.75</v>
      </c>
      <c r="AY112" s="69">
        <f>VLOOKUP(Z112,Table1349[#All],2,FALSE)</f>
        <v>1</v>
      </c>
      <c r="AZ112" s="68">
        <f t="shared" si="97"/>
        <v>1.75</v>
      </c>
      <c r="BA112" s="65">
        <f t="shared" si="98"/>
        <v>0</v>
      </c>
      <c r="BB112" s="64">
        <f t="shared" si="99"/>
        <v>0</v>
      </c>
      <c r="BC112" s="67">
        <f t="shared" si="100"/>
        <v>0</v>
      </c>
      <c r="BD112" s="66">
        <f t="shared" si="101"/>
        <v>0</v>
      </c>
      <c r="BE112" s="64"/>
      <c r="BF112" s="66">
        <f t="shared" si="102"/>
        <v>0</v>
      </c>
      <c r="BG112" s="66">
        <f t="shared" si="103"/>
        <v>0</v>
      </c>
      <c r="BH112" s="65">
        <f>VLOOKUP(AA112,Table1551[#All],2,FALSE)</f>
        <v>1</v>
      </c>
      <c r="BI112" s="65">
        <f t="shared" si="104"/>
        <v>0</v>
      </c>
      <c r="BJ112" s="64" t="str">
        <f t="shared" si="105"/>
        <v>0</v>
      </c>
      <c r="CK112" s="86" t="s">
        <v>95</v>
      </c>
      <c r="CL112" s="2">
        <v>0.97</v>
      </c>
      <c r="CM112" s="2">
        <f t="shared" si="106"/>
        <v>1.0669999999999999</v>
      </c>
      <c r="CN112" s="10">
        <v>1.5</v>
      </c>
      <c r="CO112" s="84">
        <f t="shared" si="107"/>
        <v>0</v>
      </c>
    </row>
    <row r="113" spans="1:93" ht="11.1" hidden="1" customHeight="1" x14ac:dyDescent="0.45">
      <c r="A113" s="83"/>
      <c r="B113" s="266"/>
      <c r="C113" s="267"/>
      <c r="D113" s="267"/>
      <c r="E113" s="268"/>
      <c r="F113" s="64"/>
      <c r="G113" s="64"/>
      <c r="H113" s="82"/>
      <c r="I113" s="81"/>
      <c r="J113" s="64"/>
      <c r="K113" s="80"/>
      <c r="L113" s="79">
        <f t="shared" si="81"/>
        <v>0</v>
      </c>
      <c r="M113" s="64"/>
      <c r="N113" s="64"/>
      <c r="O113" s="64"/>
      <c r="P113" s="80"/>
      <c r="Q113" s="79">
        <f t="shared" si="82"/>
        <v>0</v>
      </c>
      <c r="R113" s="269"/>
      <c r="S113" s="270"/>
      <c r="T113" s="266"/>
      <c r="U113" s="267"/>
      <c r="V113" s="267"/>
      <c r="W113" s="268"/>
      <c r="X113" s="271" t="str">
        <f>IFERROR(INDEX(Table3941[],MATCH(R113,Table3941[Film Type],),3),"")</f>
        <v/>
      </c>
      <c r="Y113" s="271"/>
      <c r="Z113" s="78" t="s">
        <v>55</v>
      </c>
      <c r="AA113" s="78" t="s">
        <v>55</v>
      </c>
      <c r="AB113" s="77"/>
      <c r="AC113" s="76"/>
      <c r="AD113" s="75">
        <f t="shared" si="83"/>
        <v>0</v>
      </c>
      <c r="AG113" s="74">
        <f t="shared" si="84"/>
        <v>0</v>
      </c>
      <c r="AK113" s="65">
        <f t="shared" si="85"/>
        <v>0</v>
      </c>
      <c r="AL113" s="65">
        <f t="shared" si="86"/>
        <v>0</v>
      </c>
      <c r="AM113" s="65">
        <f t="shared" si="87"/>
        <v>0</v>
      </c>
      <c r="AN113" s="73">
        <f t="shared" si="88"/>
        <v>0</v>
      </c>
      <c r="AO113" s="65" t="str">
        <f t="shared" si="89"/>
        <v>0.00</v>
      </c>
      <c r="AP113" s="65" t="str">
        <f t="shared" si="90"/>
        <v>0</v>
      </c>
      <c r="AQ113" s="71">
        <f t="shared" si="91"/>
        <v>0</v>
      </c>
      <c r="AR113" s="72">
        <f t="shared" si="92"/>
        <v>0</v>
      </c>
      <c r="AS113" s="71">
        <f t="shared" si="93"/>
        <v>0</v>
      </c>
      <c r="AT113" s="70">
        <f t="shared" si="94"/>
        <v>0</v>
      </c>
      <c r="AU113" s="70">
        <f t="shared" si="95"/>
        <v>0</v>
      </c>
      <c r="AV113" s="2"/>
      <c r="AW113" s="66">
        <f t="shared" si="96"/>
        <v>0</v>
      </c>
      <c r="AX113" s="68">
        <f>_xlfn.IFNA(INDEX(Table3941[I $ p/ft2],MATCH(R113,Table3941[Film Type],0)),1.75)</f>
        <v>1.75</v>
      </c>
      <c r="AY113" s="69">
        <f>VLOOKUP(Z113,Table1349[#All],2,FALSE)</f>
        <v>1</v>
      </c>
      <c r="AZ113" s="68">
        <f t="shared" si="97"/>
        <v>1.75</v>
      </c>
      <c r="BA113" s="65">
        <f t="shared" si="98"/>
        <v>0</v>
      </c>
      <c r="BB113" s="64">
        <f t="shared" si="99"/>
        <v>0</v>
      </c>
      <c r="BC113" s="67">
        <f t="shared" si="100"/>
        <v>0</v>
      </c>
      <c r="BD113" s="66">
        <f t="shared" si="101"/>
        <v>0</v>
      </c>
      <c r="BE113" s="64"/>
      <c r="BF113" s="66">
        <f t="shared" si="102"/>
        <v>0</v>
      </c>
      <c r="BG113" s="66">
        <f t="shared" si="103"/>
        <v>0</v>
      </c>
      <c r="BH113" s="65">
        <f>VLOOKUP(AA113,Table1551[#All],2,FALSE)</f>
        <v>1</v>
      </c>
      <c r="BI113" s="65">
        <f t="shared" si="104"/>
        <v>0</v>
      </c>
      <c r="BJ113" s="64" t="str">
        <f t="shared" si="105"/>
        <v>0</v>
      </c>
      <c r="CK113" s="86" t="s">
        <v>94</v>
      </c>
      <c r="CL113" s="2">
        <v>0.87</v>
      </c>
      <c r="CM113" s="2">
        <f t="shared" si="106"/>
        <v>0.95700000000000007</v>
      </c>
      <c r="CN113" s="10">
        <v>1.5</v>
      </c>
      <c r="CO113" s="84">
        <f t="shared" si="107"/>
        <v>0</v>
      </c>
    </row>
    <row r="114" spans="1:93" ht="11.1" hidden="1" customHeight="1" x14ac:dyDescent="0.45">
      <c r="A114" s="83"/>
      <c r="B114" s="266"/>
      <c r="C114" s="267"/>
      <c r="D114" s="267"/>
      <c r="E114" s="268"/>
      <c r="F114" s="64"/>
      <c r="G114" s="64"/>
      <c r="H114" s="82"/>
      <c r="I114" s="81"/>
      <c r="J114" s="64"/>
      <c r="K114" s="80"/>
      <c r="L114" s="79">
        <f t="shared" si="81"/>
        <v>0</v>
      </c>
      <c r="M114" s="64"/>
      <c r="N114" s="64"/>
      <c r="O114" s="64"/>
      <c r="P114" s="80"/>
      <c r="Q114" s="79">
        <f t="shared" si="82"/>
        <v>0</v>
      </c>
      <c r="R114" s="269"/>
      <c r="S114" s="270"/>
      <c r="T114" s="266"/>
      <c r="U114" s="267"/>
      <c r="V114" s="267"/>
      <c r="W114" s="268"/>
      <c r="X114" s="271" t="str">
        <f>IFERROR(INDEX(Table3941[],MATCH(R114,Table3941[Film Type],),3),"")</f>
        <v/>
      </c>
      <c r="Y114" s="271"/>
      <c r="Z114" s="78" t="s">
        <v>55</v>
      </c>
      <c r="AA114" s="78" t="s">
        <v>55</v>
      </c>
      <c r="AB114" s="77"/>
      <c r="AC114" s="76"/>
      <c r="AD114" s="75">
        <f t="shared" si="83"/>
        <v>0</v>
      </c>
      <c r="AG114" s="74">
        <f t="shared" si="84"/>
        <v>0</v>
      </c>
      <c r="AK114" s="65">
        <f t="shared" si="85"/>
        <v>0</v>
      </c>
      <c r="AL114" s="65">
        <f t="shared" si="86"/>
        <v>0</v>
      </c>
      <c r="AM114" s="65">
        <f t="shared" si="87"/>
        <v>0</v>
      </c>
      <c r="AN114" s="73">
        <f t="shared" si="88"/>
        <v>0</v>
      </c>
      <c r="AO114" s="65" t="str">
        <f t="shared" si="89"/>
        <v>0.00</v>
      </c>
      <c r="AP114" s="65" t="str">
        <f t="shared" si="90"/>
        <v>0</v>
      </c>
      <c r="AQ114" s="71">
        <f t="shared" si="91"/>
        <v>0</v>
      </c>
      <c r="AR114" s="72">
        <f t="shared" si="92"/>
        <v>0</v>
      </c>
      <c r="AS114" s="71">
        <f t="shared" si="93"/>
        <v>0</v>
      </c>
      <c r="AT114" s="70">
        <f t="shared" si="94"/>
        <v>0</v>
      </c>
      <c r="AU114" s="70">
        <f t="shared" si="95"/>
        <v>0</v>
      </c>
      <c r="AV114" s="2"/>
      <c r="AW114" s="66">
        <f t="shared" si="96"/>
        <v>0</v>
      </c>
      <c r="AX114" s="68">
        <f>_xlfn.IFNA(INDEX(Table3941[I $ p/ft2],MATCH(R114,Table3941[Film Type],0)),1.75)</f>
        <v>1.75</v>
      </c>
      <c r="AY114" s="69">
        <f>VLOOKUP(Z114,Table1349[#All],2,FALSE)</f>
        <v>1</v>
      </c>
      <c r="AZ114" s="68">
        <f t="shared" si="97"/>
        <v>1.75</v>
      </c>
      <c r="BA114" s="65">
        <f t="shared" si="98"/>
        <v>0</v>
      </c>
      <c r="BB114" s="64">
        <f t="shared" si="99"/>
        <v>0</v>
      </c>
      <c r="BC114" s="67">
        <f t="shared" si="100"/>
        <v>0</v>
      </c>
      <c r="BD114" s="66">
        <f t="shared" si="101"/>
        <v>0</v>
      </c>
      <c r="BE114" s="64"/>
      <c r="BF114" s="66">
        <f t="shared" si="102"/>
        <v>0</v>
      </c>
      <c r="BG114" s="66">
        <f t="shared" si="103"/>
        <v>0</v>
      </c>
      <c r="BH114" s="65">
        <f>VLOOKUP(AA114,Table1551[#All],2,FALSE)</f>
        <v>1</v>
      </c>
      <c r="BI114" s="65">
        <f t="shared" si="104"/>
        <v>0</v>
      </c>
      <c r="BJ114" s="64" t="str">
        <f t="shared" si="105"/>
        <v>0</v>
      </c>
      <c r="CK114" s="86" t="s">
        <v>93</v>
      </c>
      <c r="CL114" s="2">
        <v>0.87</v>
      </c>
      <c r="CM114" s="2">
        <f t="shared" si="106"/>
        <v>0.95700000000000007</v>
      </c>
      <c r="CN114" s="10">
        <v>1.5</v>
      </c>
      <c r="CO114" s="84">
        <f t="shared" si="107"/>
        <v>0</v>
      </c>
    </row>
    <row r="115" spans="1:93" ht="11.1" hidden="1" customHeight="1" x14ac:dyDescent="0.45">
      <c r="A115" s="83"/>
      <c r="B115" s="266"/>
      <c r="C115" s="267"/>
      <c r="D115" s="267"/>
      <c r="E115" s="268"/>
      <c r="F115" s="64"/>
      <c r="G115" s="64"/>
      <c r="H115" s="82"/>
      <c r="I115" s="81"/>
      <c r="J115" s="64"/>
      <c r="K115" s="80"/>
      <c r="L115" s="79">
        <f t="shared" si="81"/>
        <v>0</v>
      </c>
      <c r="M115" s="64"/>
      <c r="N115" s="64"/>
      <c r="O115" s="64"/>
      <c r="P115" s="80"/>
      <c r="Q115" s="79">
        <f t="shared" si="82"/>
        <v>0</v>
      </c>
      <c r="R115" s="269"/>
      <c r="S115" s="270"/>
      <c r="T115" s="266"/>
      <c r="U115" s="267"/>
      <c r="V115" s="267"/>
      <c r="W115" s="268"/>
      <c r="X115" s="271" t="str">
        <f>IFERROR(INDEX(Table3941[],MATCH(R115,Table3941[Film Type],),3),"")</f>
        <v/>
      </c>
      <c r="Y115" s="271"/>
      <c r="Z115" s="78" t="s">
        <v>55</v>
      </c>
      <c r="AA115" s="78" t="s">
        <v>55</v>
      </c>
      <c r="AB115" s="77"/>
      <c r="AC115" s="76"/>
      <c r="AD115" s="75">
        <f t="shared" si="83"/>
        <v>0</v>
      </c>
      <c r="AG115" s="74">
        <f t="shared" si="84"/>
        <v>0</v>
      </c>
      <c r="AK115" s="65">
        <f t="shared" si="85"/>
        <v>0</v>
      </c>
      <c r="AL115" s="65">
        <f t="shared" si="86"/>
        <v>0</v>
      </c>
      <c r="AM115" s="65">
        <f t="shared" si="87"/>
        <v>0</v>
      </c>
      <c r="AN115" s="73">
        <f t="shared" si="88"/>
        <v>0</v>
      </c>
      <c r="AO115" s="65" t="str">
        <f t="shared" si="89"/>
        <v>0.00</v>
      </c>
      <c r="AP115" s="65" t="str">
        <f t="shared" si="90"/>
        <v>0</v>
      </c>
      <c r="AQ115" s="71">
        <f t="shared" si="91"/>
        <v>0</v>
      </c>
      <c r="AR115" s="72">
        <f t="shared" si="92"/>
        <v>0</v>
      </c>
      <c r="AS115" s="71">
        <f t="shared" si="93"/>
        <v>0</v>
      </c>
      <c r="AT115" s="70">
        <f t="shared" si="94"/>
        <v>0</v>
      </c>
      <c r="AU115" s="70">
        <f t="shared" si="95"/>
        <v>0</v>
      </c>
      <c r="AV115" s="2"/>
      <c r="AW115" s="66">
        <f t="shared" si="96"/>
        <v>0</v>
      </c>
      <c r="AX115" s="68">
        <f>_xlfn.IFNA(INDEX(Table3941[I $ p/ft2],MATCH(R115,Table3941[Film Type],0)),1.75)</f>
        <v>1.75</v>
      </c>
      <c r="AY115" s="69">
        <f>VLOOKUP(Z115,Table1349[#All],2,FALSE)</f>
        <v>1</v>
      </c>
      <c r="AZ115" s="68">
        <f t="shared" si="97"/>
        <v>1.75</v>
      </c>
      <c r="BA115" s="65">
        <f t="shared" si="98"/>
        <v>0</v>
      </c>
      <c r="BB115" s="64">
        <f t="shared" si="99"/>
        <v>0</v>
      </c>
      <c r="BC115" s="67">
        <f t="shared" si="100"/>
        <v>0</v>
      </c>
      <c r="BD115" s="66">
        <f t="shared" si="101"/>
        <v>0</v>
      </c>
      <c r="BE115" s="64"/>
      <c r="BF115" s="66">
        <f t="shared" si="102"/>
        <v>0</v>
      </c>
      <c r="BG115" s="66">
        <f t="shared" si="103"/>
        <v>0</v>
      </c>
      <c r="BH115" s="65">
        <f>VLOOKUP(AA115,Table1551[#All],2,FALSE)</f>
        <v>1</v>
      </c>
      <c r="BI115" s="65">
        <f t="shared" si="104"/>
        <v>0</v>
      </c>
      <c r="BJ115" s="64" t="str">
        <f t="shared" si="105"/>
        <v>0</v>
      </c>
      <c r="CK115" s="86" t="s">
        <v>92</v>
      </c>
      <c r="CL115" s="2">
        <v>1.55</v>
      </c>
      <c r="CM115" s="2">
        <f t="shared" si="106"/>
        <v>1.7050000000000003</v>
      </c>
      <c r="CN115" s="10">
        <v>1.5</v>
      </c>
      <c r="CO115" s="84">
        <f t="shared" si="107"/>
        <v>0</v>
      </c>
    </row>
    <row r="116" spans="1:93" ht="11.1" hidden="1" customHeight="1" x14ac:dyDescent="0.45">
      <c r="A116" s="83"/>
      <c r="B116" s="266"/>
      <c r="C116" s="267"/>
      <c r="D116" s="267"/>
      <c r="E116" s="268"/>
      <c r="F116" s="64"/>
      <c r="G116" s="64"/>
      <c r="H116" s="82"/>
      <c r="I116" s="81"/>
      <c r="J116" s="64"/>
      <c r="K116" s="80"/>
      <c r="L116" s="79">
        <f t="shared" si="81"/>
        <v>0</v>
      </c>
      <c r="M116" s="64"/>
      <c r="N116" s="64"/>
      <c r="O116" s="64"/>
      <c r="P116" s="80"/>
      <c r="Q116" s="79">
        <f t="shared" si="82"/>
        <v>0</v>
      </c>
      <c r="R116" s="269"/>
      <c r="S116" s="270"/>
      <c r="T116" s="266"/>
      <c r="U116" s="267"/>
      <c r="V116" s="267"/>
      <c r="W116" s="268"/>
      <c r="X116" s="271" t="str">
        <f>IFERROR(INDEX(Table3941[],MATCH(R116,Table3941[Film Type],),3),"")</f>
        <v/>
      </c>
      <c r="Y116" s="271"/>
      <c r="Z116" s="78" t="s">
        <v>55</v>
      </c>
      <c r="AA116" s="78" t="s">
        <v>55</v>
      </c>
      <c r="AB116" s="77"/>
      <c r="AC116" s="76"/>
      <c r="AD116" s="75">
        <f t="shared" si="83"/>
        <v>0</v>
      </c>
      <c r="AG116" s="74">
        <f t="shared" si="84"/>
        <v>0</v>
      </c>
      <c r="AK116" s="65">
        <f t="shared" si="85"/>
        <v>0</v>
      </c>
      <c r="AL116" s="65">
        <f t="shared" si="86"/>
        <v>0</v>
      </c>
      <c r="AM116" s="65">
        <f t="shared" si="87"/>
        <v>0</v>
      </c>
      <c r="AN116" s="73">
        <f t="shared" si="88"/>
        <v>0</v>
      </c>
      <c r="AO116" s="65" t="str">
        <f t="shared" si="89"/>
        <v>0.00</v>
      </c>
      <c r="AP116" s="65" t="str">
        <f t="shared" si="90"/>
        <v>0</v>
      </c>
      <c r="AQ116" s="71">
        <f t="shared" si="91"/>
        <v>0</v>
      </c>
      <c r="AR116" s="72">
        <f t="shared" si="92"/>
        <v>0</v>
      </c>
      <c r="AS116" s="71">
        <f t="shared" si="93"/>
        <v>0</v>
      </c>
      <c r="AT116" s="70">
        <f t="shared" si="94"/>
        <v>0</v>
      </c>
      <c r="AU116" s="70">
        <f t="shared" si="95"/>
        <v>0</v>
      </c>
      <c r="AV116" s="2"/>
      <c r="AW116" s="66">
        <f t="shared" si="96"/>
        <v>0</v>
      </c>
      <c r="AX116" s="68">
        <f>_xlfn.IFNA(INDEX(Table3941[I $ p/ft2],MATCH(R116,Table3941[Film Type],0)),1.75)</f>
        <v>1.75</v>
      </c>
      <c r="AY116" s="69">
        <f>VLOOKUP(Z116,Table1349[#All],2,FALSE)</f>
        <v>1</v>
      </c>
      <c r="AZ116" s="68">
        <f t="shared" si="97"/>
        <v>1.75</v>
      </c>
      <c r="BA116" s="65">
        <f t="shared" si="98"/>
        <v>0</v>
      </c>
      <c r="BB116" s="64">
        <f t="shared" si="99"/>
        <v>0</v>
      </c>
      <c r="BC116" s="67">
        <f t="shared" si="100"/>
        <v>0</v>
      </c>
      <c r="BD116" s="66">
        <f t="shared" si="101"/>
        <v>0</v>
      </c>
      <c r="BE116" s="64"/>
      <c r="BF116" s="66">
        <f t="shared" si="102"/>
        <v>0</v>
      </c>
      <c r="BG116" s="66">
        <f t="shared" si="103"/>
        <v>0</v>
      </c>
      <c r="BH116" s="65">
        <f>VLOOKUP(AA116,Table1551[#All],2,FALSE)</f>
        <v>1</v>
      </c>
      <c r="BI116" s="65">
        <f t="shared" si="104"/>
        <v>0</v>
      </c>
      <c r="BJ116" s="64" t="str">
        <f t="shared" si="105"/>
        <v>0</v>
      </c>
      <c r="CK116" s="86" t="s">
        <v>91</v>
      </c>
      <c r="CL116" s="2">
        <v>1.55</v>
      </c>
      <c r="CM116" s="2">
        <f t="shared" si="106"/>
        <v>1.7050000000000003</v>
      </c>
      <c r="CN116" s="10">
        <v>1.5</v>
      </c>
      <c r="CO116" s="84">
        <f t="shared" si="107"/>
        <v>0</v>
      </c>
    </row>
    <row r="117" spans="1:93" ht="11.1" hidden="1" customHeight="1" x14ac:dyDescent="0.45">
      <c r="A117" s="83"/>
      <c r="B117" s="266"/>
      <c r="C117" s="267"/>
      <c r="D117" s="267"/>
      <c r="E117" s="268"/>
      <c r="F117" s="64"/>
      <c r="G117" s="64"/>
      <c r="H117" s="82"/>
      <c r="I117" s="81"/>
      <c r="J117" s="64"/>
      <c r="K117" s="80"/>
      <c r="L117" s="79">
        <f t="shared" si="81"/>
        <v>0</v>
      </c>
      <c r="M117" s="64"/>
      <c r="N117" s="64"/>
      <c r="O117" s="64"/>
      <c r="P117" s="80"/>
      <c r="Q117" s="79">
        <f t="shared" si="82"/>
        <v>0</v>
      </c>
      <c r="R117" s="269"/>
      <c r="S117" s="270"/>
      <c r="T117" s="266"/>
      <c r="U117" s="267"/>
      <c r="V117" s="267"/>
      <c r="W117" s="268"/>
      <c r="X117" s="271" t="str">
        <f>IFERROR(INDEX(Table3941[],MATCH(R117,Table3941[Film Type],),3),"")</f>
        <v/>
      </c>
      <c r="Y117" s="271"/>
      <c r="Z117" s="78" t="s">
        <v>55</v>
      </c>
      <c r="AA117" s="78" t="s">
        <v>55</v>
      </c>
      <c r="AB117" s="77"/>
      <c r="AC117" s="76"/>
      <c r="AD117" s="75">
        <f t="shared" si="83"/>
        <v>0</v>
      </c>
      <c r="AG117" s="74">
        <f t="shared" si="84"/>
        <v>0</v>
      </c>
      <c r="AK117" s="65">
        <f t="shared" si="85"/>
        <v>0</v>
      </c>
      <c r="AL117" s="65">
        <f t="shared" si="86"/>
        <v>0</v>
      </c>
      <c r="AM117" s="65">
        <f t="shared" si="87"/>
        <v>0</v>
      </c>
      <c r="AN117" s="73">
        <f t="shared" si="88"/>
        <v>0</v>
      </c>
      <c r="AO117" s="65" t="str">
        <f t="shared" si="89"/>
        <v>0.00</v>
      </c>
      <c r="AP117" s="65" t="str">
        <f t="shared" si="90"/>
        <v>0</v>
      </c>
      <c r="AQ117" s="71">
        <f t="shared" si="91"/>
        <v>0</v>
      </c>
      <c r="AR117" s="72">
        <f t="shared" si="92"/>
        <v>0</v>
      </c>
      <c r="AS117" s="71">
        <f t="shared" si="93"/>
        <v>0</v>
      </c>
      <c r="AT117" s="70">
        <f t="shared" si="94"/>
        <v>0</v>
      </c>
      <c r="AU117" s="70">
        <f t="shared" si="95"/>
        <v>0</v>
      </c>
      <c r="AV117" s="2"/>
      <c r="AW117" s="66">
        <f t="shared" si="96"/>
        <v>0</v>
      </c>
      <c r="AX117" s="68">
        <f>_xlfn.IFNA(INDEX(Table3941[I $ p/ft2],MATCH(R117,Table3941[Film Type],0)),1.75)</f>
        <v>1.75</v>
      </c>
      <c r="AY117" s="69">
        <f>VLOOKUP(Z117,Table1349[#All],2,FALSE)</f>
        <v>1</v>
      </c>
      <c r="AZ117" s="68">
        <f t="shared" si="97"/>
        <v>1.75</v>
      </c>
      <c r="BA117" s="65">
        <f t="shared" si="98"/>
        <v>0</v>
      </c>
      <c r="BB117" s="64">
        <f t="shared" si="99"/>
        <v>0</v>
      </c>
      <c r="BC117" s="67">
        <f t="shared" si="100"/>
        <v>0</v>
      </c>
      <c r="BD117" s="66">
        <f t="shared" si="101"/>
        <v>0</v>
      </c>
      <c r="BE117" s="64"/>
      <c r="BF117" s="66">
        <f t="shared" si="102"/>
        <v>0</v>
      </c>
      <c r="BG117" s="66">
        <f t="shared" si="103"/>
        <v>0</v>
      </c>
      <c r="BH117" s="65">
        <f>VLOOKUP(AA117,Table1551[#All],2,FALSE)</f>
        <v>1</v>
      </c>
      <c r="BI117" s="65">
        <f t="shared" si="104"/>
        <v>0</v>
      </c>
      <c r="BJ117" s="64" t="str">
        <f t="shared" si="105"/>
        <v>0</v>
      </c>
      <c r="CK117" s="86" t="s">
        <v>90</v>
      </c>
      <c r="CL117" s="2">
        <v>1.55</v>
      </c>
      <c r="CM117" s="2">
        <f t="shared" si="106"/>
        <v>1.7050000000000003</v>
      </c>
      <c r="CN117" s="10">
        <v>1.5</v>
      </c>
      <c r="CO117" s="84">
        <f t="shared" si="107"/>
        <v>0</v>
      </c>
    </row>
    <row r="118" spans="1:93" ht="11.1" hidden="1" customHeight="1" x14ac:dyDescent="0.45">
      <c r="A118" s="83"/>
      <c r="B118" s="266"/>
      <c r="C118" s="267"/>
      <c r="D118" s="267"/>
      <c r="E118" s="268"/>
      <c r="F118" s="64"/>
      <c r="G118" s="64"/>
      <c r="H118" s="82"/>
      <c r="I118" s="81"/>
      <c r="J118" s="64"/>
      <c r="K118" s="80"/>
      <c r="L118" s="79">
        <f t="shared" si="81"/>
        <v>0</v>
      </c>
      <c r="M118" s="64"/>
      <c r="N118" s="64"/>
      <c r="O118" s="64"/>
      <c r="P118" s="80"/>
      <c r="Q118" s="79">
        <f t="shared" si="82"/>
        <v>0</v>
      </c>
      <c r="R118" s="269"/>
      <c r="S118" s="270"/>
      <c r="T118" s="266"/>
      <c r="U118" s="267"/>
      <c r="V118" s="267"/>
      <c r="W118" s="268"/>
      <c r="X118" s="271" t="str">
        <f>IFERROR(INDEX(Table3941[],MATCH(R118,Table3941[Film Type],),3),"")</f>
        <v/>
      </c>
      <c r="Y118" s="271"/>
      <c r="Z118" s="78" t="s">
        <v>55</v>
      </c>
      <c r="AA118" s="78" t="s">
        <v>55</v>
      </c>
      <c r="AB118" s="77"/>
      <c r="AC118" s="76"/>
      <c r="AD118" s="75">
        <f t="shared" si="83"/>
        <v>0</v>
      </c>
      <c r="AG118" s="74">
        <f t="shared" si="84"/>
        <v>0</v>
      </c>
      <c r="AK118" s="65">
        <f t="shared" si="85"/>
        <v>0</v>
      </c>
      <c r="AL118" s="65">
        <f t="shared" si="86"/>
        <v>0</v>
      </c>
      <c r="AM118" s="65">
        <f t="shared" si="87"/>
        <v>0</v>
      </c>
      <c r="AN118" s="73">
        <f t="shared" si="88"/>
        <v>0</v>
      </c>
      <c r="AO118" s="65" t="str">
        <f t="shared" si="89"/>
        <v>0.00</v>
      </c>
      <c r="AP118" s="65" t="str">
        <f t="shared" si="90"/>
        <v>0</v>
      </c>
      <c r="AQ118" s="71">
        <f t="shared" si="91"/>
        <v>0</v>
      </c>
      <c r="AR118" s="72">
        <f t="shared" si="92"/>
        <v>0</v>
      </c>
      <c r="AS118" s="71">
        <f t="shared" si="93"/>
        <v>0</v>
      </c>
      <c r="AT118" s="70">
        <f t="shared" si="94"/>
        <v>0</v>
      </c>
      <c r="AU118" s="70">
        <f t="shared" si="95"/>
        <v>0</v>
      </c>
      <c r="AV118" s="2"/>
      <c r="AW118" s="66">
        <f t="shared" si="96"/>
        <v>0</v>
      </c>
      <c r="AX118" s="68">
        <f>_xlfn.IFNA(INDEX(Table3941[I $ p/ft2],MATCH(R118,Table3941[Film Type],0)),1.75)</f>
        <v>1.75</v>
      </c>
      <c r="AY118" s="69">
        <f>VLOOKUP(Z118,Table1349[#All],2,FALSE)</f>
        <v>1</v>
      </c>
      <c r="AZ118" s="68">
        <f t="shared" si="97"/>
        <v>1.75</v>
      </c>
      <c r="BA118" s="65">
        <f t="shared" si="98"/>
        <v>0</v>
      </c>
      <c r="BB118" s="64">
        <f t="shared" si="99"/>
        <v>0</v>
      </c>
      <c r="BC118" s="67">
        <f t="shared" si="100"/>
        <v>0</v>
      </c>
      <c r="BD118" s="66">
        <f t="shared" si="101"/>
        <v>0</v>
      </c>
      <c r="BE118" s="64"/>
      <c r="BF118" s="66">
        <f t="shared" si="102"/>
        <v>0</v>
      </c>
      <c r="BG118" s="66">
        <f t="shared" si="103"/>
        <v>0</v>
      </c>
      <c r="BH118" s="65">
        <f>VLOOKUP(AA118,Table1551[#All],2,FALSE)</f>
        <v>1</v>
      </c>
      <c r="BI118" s="65">
        <f t="shared" si="104"/>
        <v>0</v>
      </c>
      <c r="BJ118" s="64" t="str">
        <f t="shared" si="105"/>
        <v>0</v>
      </c>
      <c r="CK118" s="86" t="s">
        <v>89</v>
      </c>
      <c r="CL118" s="2">
        <v>1.55</v>
      </c>
      <c r="CM118" s="2">
        <f t="shared" si="106"/>
        <v>1.7050000000000003</v>
      </c>
      <c r="CN118" s="10">
        <v>1.5</v>
      </c>
      <c r="CO118" s="84">
        <f t="shared" si="107"/>
        <v>0</v>
      </c>
    </row>
    <row r="119" spans="1:93" ht="11.1" hidden="1" customHeight="1" x14ac:dyDescent="0.45">
      <c r="A119" s="83"/>
      <c r="B119" s="266"/>
      <c r="C119" s="267"/>
      <c r="D119" s="267"/>
      <c r="E119" s="268"/>
      <c r="F119" s="64"/>
      <c r="G119" s="64"/>
      <c r="H119" s="82"/>
      <c r="I119" s="81"/>
      <c r="J119" s="64"/>
      <c r="K119" s="80"/>
      <c r="L119" s="79">
        <f t="shared" si="81"/>
        <v>0</v>
      </c>
      <c r="M119" s="64"/>
      <c r="N119" s="64"/>
      <c r="O119" s="64"/>
      <c r="P119" s="80"/>
      <c r="Q119" s="79">
        <f t="shared" si="82"/>
        <v>0</v>
      </c>
      <c r="R119" s="269"/>
      <c r="S119" s="270"/>
      <c r="T119" s="266"/>
      <c r="U119" s="267"/>
      <c r="V119" s="267"/>
      <c r="W119" s="268"/>
      <c r="X119" s="271" t="str">
        <f>IFERROR(INDEX(Table3941[],MATCH(R119,Table3941[Film Type],),3),"")</f>
        <v/>
      </c>
      <c r="Y119" s="271"/>
      <c r="Z119" s="78" t="s">
        <v>55</v>
      </c>
      <c r="AA119" s="78" t="s">
        <v>55</v>
      </c>
      <c r="AB119" s="77"/>
      <c r="AC119" s="76"/>
      <c r="AD119" s="75">
        <f t="shared" si="83"/>
        <v>0</v>
      </c>
      <c r="AG119" s="74">
        <f t="shared" si="84"/>
        <v>0</v>
      </c>
      <c r="AK119" s="65">
        <f t="shared" si="85"/>
        <v>0</v>
      </c>
      <c r="AL119" s="65">
        <f t="shared" si="86"/>
        <v>0</v>
      </c>
      <c r="AM119" s="65">
        <f t="shared" si="87"/>
        <v>0</v>
      </c>
      <c r="AN119" s="73">
        <f t="shared" si="88"/>
        <v>0</v>
      </c>
      <c r="AO119" s="65" t="str">
        <f t="shared" si="89"/>
        <v>0.00</v>
      </c>
      <c r="AP119" s="65" t="str">
        <f t="shared" si="90"/>
        <v>0</v>
      </c>
      <c r="AQ119" s="71">
        <f t="shared" si="91"/>
        <v>0</v>
      </c>
      <c r="AR119" s="72">
        <f t="shared" si="92"/>
        <v>0</v>
      </c>
      <c r="AS119" s="71">
        <f t="shared" si="93"/>
        <v>0</v>
      </c>
      <c r="AT119" s="70">
        <f t="shared" si="94"/>
        <v>0</v>
      </c>
      <c r="AU119" s="70">
        <f t="shared" si="95"/>
        <v>0</v>
      </c>
      <c r="AV119" s="2"/>
      <c r="AW119" s="66">
        <f t="shared" si="96"/>
        <v>0</v>
      </c>
      <c r="AX119" s="68">
        <f>_xlfn.IFNA(INDEX(Table3941[I $ p/ft2],MATCH(R119,Table3941[Film Type],0)),1.75)</f>
        <v>1.75</v>
      </c>
      <c r="AY119" s="69">
        <f>VLOOKUP(Z119,Table1349[#All],2,FALSE)</f>
        <v>1</v>
      </c>
      <c r="AZ119" s="68">
        <f t="shared" si="97"/>
        <v>1.75</v>
      </c>
      <c r="BA119" s="65">
        <f t="shared" si="98"/>
        <v>0</v>
      </c>
      <c r="BB119" s="64">
        <f t="shared" si="99"/>
        <v>0</v>
      </c>
      <c r="BC119" s="67">
        <f t="shared" si="100"/>
        <v>0</v>
      </c>
      <c r="BD119" s="66">
        <f t="shared" si="101"/>
        <v>0</v>
      </c>
      <c r="BE119" s="64"/>
      <c r="BF119" s="66">
        <f t="shared" si="102"/>
        <v>0</v>
      </c>
      <c r="BG119" s="66">
        <f t="shared" si="103"/>
        <v>0</v>
      </c>
      <c r="BH119" s="65">
        <f>VLOOKUP(AA119,Table1551[#All],2,FALSE)</f>
        <v>1</v>
      </c>
      <c r="BI119" s="65">
        <f t="shared" si="104"/>
        <v>0</v>
      </c>
      <c r="BJ119" s="64" t="str">
        <f t="shared" si="105"/>
        <v>0</v>
      </c>
      <c r="CK119" s="86" t="s">
        <v>88</v>
      </c>
      <c r="CL119" s="2">
        <v>1.32</v>
      </c>
      <c r="CM119" s="2">
        <f t="shared" si="106"/>
        <v>1.4520000000000002</v>
      </c>
      <c r="CN119" s="10">
        <v>1.5</v>
      </c>
      <c r="CO119" s="84">
        <f t="shared" si="107"/>
        <v>0</v>
      </c>
    </row>
    <row r="120" spans="1:93" ht="11.1" hidden="1" customHeight="1" x14ac:dyDescent="0.45">
      <c r="A120" s="83"/>
      <c r="B120" s="266"/>
      <c r="C120" s="267"/>
      <c r="D120" s="267"/>
      <c r="E120" s="268"/>
      <c r="F120" s="64"/>
      <c r="G120" s="64"/>
      <c r="H120" s="82"/>
      <c r="I120" s="81"/>
      <c r="J120" s="64"/>
      <c r="K120" s="80"/>
      <c r="L120" s="79">
        <f t="shared" si="81"/>
        <v>0</v>
      </c>
      <c r="M120" s="64"/>
      <c r="N120" s="64"/>
      <c r="O120" s="64"/>
      <c r="P120" s="80"/>
      <c r="Q120" s="79">
        <f t="shared" si="82"/>
        <v>0</v>
      </c>
      <c r="R120" s="269"/>
      <c r="S120" s="270"/>
      <c r="T120" s="266"/>
      <c r="U120" s="267"/>
      <c r="V120" s="267"/>
      <c r="W120" s="268"/>
      <c r="X120" s="271" t="str">
        <f>IFERROR(INDEX(Table3941[],MATCH(R120,Table3941[Film Type],),3),"")</f>
        <v/>
      </c>
      <c r="Y120" s="271"/>
      <c r="Z120" s="78" t="s">
        <v>55</v>
      </c>
      <c r="AA120" s="78" t="s">
        <v>55</v>
      </c>
      <c r="AB120" s="77"/>
      <c r="AC120" s="76"/>
      <c r="AD120" s="75">
        <f t="shared" si="83"/>
        <v>0</v>
      </c>
      <c r="AG120" s="74">
        <f t="shared" si="84"/>
        <v>0</v>
      </c>
      <c r="AK120" s="65">
        <f t="shared" si="85"/>
        <v>0</v>
      </c>
      <c r="AL120" s="65">
        <f t="shared" si="86"/>
        <v>0</v>
      </c>
      <c r="AM120" s="65">
        <f t="shared" si="87"/>
        <v>0</v>
      </c>
      <c r="AN120" s="73">
        <f t="shared" si="88"/>
        <v>0</v>
      </c>
      <c r="AO120" s="65" t="str">
        <f t="shared" si="89"/>
        <v>0.00</v>
      </c>
      <c r="AP120" s="65" t="str">
        <f t="shared" si="90"/>
        <v>0</v>
      </c>
      <c r="AQ120" s="71">
        <f t="shared" si="91"/>
        <v>0</v>
      </c>
      <c r="AR120" s="72">
        <f t="shared" si="92"/>
        <v>0</v>
      </c>
      <c r="AS120" s="71">
        <f t="shared" si="93"/>
        <v>0</v>
      </c>
      <c r="AT120" s="70">
        <f t="shared" si="94"/>
        <v>0</v>
      </c>
      <c r="AU120" s="70">
        <f t="shared" si="95"/>
        <v>0</v>
      </c>
      <c r="AV120" s="2"/>
      <c r="AW120" s="66">
        <f t="shared" si="96"/>
        <v>0</v>
      </c>
      <c r="AX120" s="68">
        <f>_xlfn.IFNA(INDEX(Table3941[I $ p/ft2],MATCH(R120,Table3941[Film Type],0)),1.75)</f>
        <v>1.75</v>
      </c>
      <c r="AY120" s="69">
        <f>VLOOKUP(Z120,Table1349[#All],2,FALSE)</f>
        <v>1</v>
      </c>
      <c r="AZ120" s="68">
        <f t="shared" si="97"/>
        <v>1.75</v>
      </c>
      <c r="BA120" s="65">
        <f t="shared" si="98"/>
        <v>0</v>
      </c>
      <c r="BB120" s="64">
        <f t="shared" si="99"/>
        <v>0</v>
      </c>
      <c r="BC120" s="67">
        <f t="shared" si="100"/>
        <v>0</v>
      </c>
      <c r="BD120" s="66">
        <f t="shared" si="101"/>
        <v>0</v>
      </c>
      <c r="BE120" s="64"/>
      <c r="BF120" s="66">
        <f t="shared" si="102"/>
        <v>0</v>
      </c>
      <c r="BG120" s="66">
        <f t="shared" si="103"/>
        <v>0</v>
      </c>
      <c r="BH120" s="65">
        <f>VLOOKUP(AA120,Table1551[#All],2,FALSE)</f>
        <v>1</v>
      </c>
      <c r="BI120" s="65">
        <f t="shared" si="104"/>
        <v>0</v>
      </c>
      <c r="BJ120" s="64" t="str">
        <f t="shared" si="105"/>
        <v>0</v>
      </c>
      <c r="CK120" s="86" t="s">
        <v>87</v>
      </c>
      <c r="CL120" s="2">
        <v>1.32</v>
      </c>
      <c r="CM120" s="2">
        <f t="shared" si="106"/>
        <v>1.4520000000000002</v>
      </c>
      <c r="CN120" s="10">
        <v>1.5</v>
      </c>
      <c r="CO120" s="84">
        <f t="shared" si="107"/>
        <v>0</v>
      </c>
    </row>
    <row r="121" spans="1:93" ht="11.1" hidden="1" customHeight="1" x14ac:dyDescent="0.45">
      <c r="A121" s="83"/>
      <c r="B121" s="266"/>
      <c r="C121" s="267"/>
      <c r="D121" s="267"/>
      <c r="E121" s="268"/>
      <c r="F121" s="64"/>
      <c r="G121" s="64"/>
      <c r="H121" s="82"/>
      <c r="I121" s="81"/>
      <c r="J121" s="64"/>
      <c r="K121" s="80"/>
      <c r="L121" s="79">
        <f t="shared" si="81"/>
        <v>0</v>
      </c>
      <c r="M121" s="64"/>
      <c r="N121" s="64"/>
      <c r="O121" s="64"/>
      <c r="P121" s="80"/>
      <c r="Q121" s="79">
        <f t="shared" si="82"/>
        <v>0</v>
      </c>
      <c r="R121" s="269"/>
      <c r="S121" s="270"/>
      <c r="T121" s="266"/>
      <c r="U121" s="267"/>
      <c r="V121" s="267"/>
      <c r="W121" s="268"/>
      <c r="X121" s="271" t="str">
        <f>IFERROR(INDEX(Table3941[],MATCH(R121,Table3941[Film Type],),3),"")</f>
        <v/>
      </c>
      <c r="Y121" s="271"/>
      <c r="Z121" s="78" t="s">
        <v>55</v>
      </c>
      <c r="AA121" s="78" t="s">
        <v>55</v>
      </c>
      <c r="AB121" s="77"/>
      <c r="AC121" s="76"/>
      <c r="AD121" s="75">
        <f t="shared" si="83"/>
        <v>0</v>
      </c>
      <c r="AG121" s="74">
        <f t="shared" si="84"/>
        <v>0</v>
      </c>
      <c r="AK121" s="65">
        <f t="shared" si="85"/>
        <v>0</v>
      </c>
      <c r="AL121" s="65">
        <f t="shared" si="86"/>
        <v>0</v>
      </c>
      <c r="AM121" s="65">
        <f t="shared" si="87"/>
        <v>0</v>
      </c>
      <c r="AN121" s="73">
        <f t="shared" si="88"/>
        <v>0</v>
      </c>
      <c r="AO121" s="65" t="str">
        <f t="shared" si="89"/>
        <v>0.00</v>
      </c>
      <c r="AP121" s="65" t="str">
        <f t="shared" si="90"/>
        <v>0</v>
      </c>
      <c r="AQ121" s="71">
        <f t="shared" si="91"/>
        <v>0</v>
      </c>
      <c r="AR121" s="72">
        <f t="shared" si="92"/>
        <v>0</v>
      </c>
      <c r="AS121" s="71">
        <f t="shared" si="93"/>
        <v>0</v>
      </c>
      <c r="AT121" s="70">
        <f t="shared" si="94"/>
        <v>0</v>
      </c>
      <c r="AU121" s="70">
        <f t="shared" si="95"/>
        <v>0</v>
      </c>
      <c r="AV121" s="2"/>
      <c r="AW121" s="66">
        <f t="shared" si="96"/>
        <v>0</v>
      </c>
      <c r="AX121" s="68">
        <f>_xlfn.IFNA(INDEX(Table3941[I $ p/ft2],MATCH(R121,Table3941[Film Type],0)),1.75)</f>
        <v>1.75</v>
      </c>
      <c r="AY121" s="69">
        <f>VLOOKUP(Z121,Table1349[#All],2,FALSE)</f>
        <v>1</v>
      </c>
      <c r="AZ121" s="68">
        <f t="shared" si="97"/>
        <v>1.75</v>
      </c>
      <c r="BA121" s="65">
        <f t="shared" si="98"/>
        <v>0</v>
      </c>
      <c r="BB121" s="64">
        <f t="shared" si="99"/>
        <v>0</v>
      </c>
      <c r="BC121" s="67">
        <f t="shared" si="100"/>
        <v>0</v>
      </c>
      <c r="BD121" s="66">
        <f t="shared" si="101"/>
        <v>0</v>
      </c>
      <c r="BE121" s="64"/>
      <c r="BF121" s="66">
        <f t="shared" si="102"/>
        <v>0</v>
      </c>
      <c r="BG121" s="66">
        <f t="shared" si="103"/>
        <v>0</v>
      </c>
      <c r="BH121" s="65">
        <f>VLOOKUP(AA121,Table1551[#All],2,FALSE)</f>
        <v>1</v>
      </c>
      <c r="BI121" s="65">
        <f t="shared" si="104"/>
        <v>0</v>
      </c>
      <c r="BJ121" s="64" t="str">
        <f t="shared" si="105"/>
        <v>0</v>
      </c>
      <c r="CK121" s="86" t="s">
        <v>86</v>
      </c>
      <c r="CL121" s="2">
        <v>1.32</v>
      </c>
      <c r="CM121" s="2">
        <f t="shared" si="106"/>
        <v>1.4520000000000002</v>
      </c>
      <c r="CN121" s="10">
        <v>1.5</v>
      </c>
      <c r="CO121" s="84">
        <f t="shared" si="107"/>
        <v>0</v>
      </c>
    </row>
    <row r="122" spans="1:93" ht="11.1" hidden="1" customHeight="1" x14ac:dyDescent="0.45">
      <c r="A122" s="83"/>
      <c r="B122" s="266"/>
      <c r="C122" s="267"/>
      <c r="D122" s="267"/>
      <c r="E122" s="268"/>
      <c r="F122" s="64"/>
      <c r="G122" s="64"/>
      <c r="H122" s="82"/>
      <c r="I122" s="81"/>
      <c r="J122" s="64"/>
      <c r="K122" s="80"/>
      <c r="L122" s="79">
        <f t="shared" si="81"/>
        <v>0</v>
      </c>
      <c r="M122" s="64"/>
      <c r="N122" s="64"/>
      <c r="O122" s="64"/>
      <c r="P122" s="80"/>
      <c r="Q122" s="79">
        <f t="shared" si="82"/>
        <v>0</v>
      </c>
      <c r="R122" s="269"/>
      <c r="S122" s="270"/>
      <c r="T122" s="266"/>
      <c r="U122" s="267"/>
      <c r="V122" s="267"/>
      <c r="W122" s="268"/>
      <c r="X122" s="271" t="str">
        <f>IFERROR(INDEX(Table3941[],MATCH(R122,Table3941[Film Type],),3),"")</f>
        <v/>
      </c>
      <c r="Y122" s="271"/>
      <c r="Z122" s="78" t="s">
        <v>55</v>
      </c>
      <c r="AA122" s="78" t="s">
        <v>55</v>
      </c>
      <c r="AB122" s="77"/>
      <c r="AC122" s="76"/>
      <c r="AD122" s="75">
        <f t="shared" si="83"/>
        <v>0</v>
      </c>
      <c r="AG122" s="74">
        <f t="shared" si="84"/>
        <v>0</v>
      </c>
      <c r="AK122" s="65">
        <f t="shared" si="85"/>
        <v>0</v>
      </c>
      <c r="AL122" s="65">
        <f t="shared" si="86"/>
        <v>0</v>
      </c>
      <c r="AM122" s="65">
        <f t="shared" si="87"/>
        <v>0</v>
      </c>
      <c r="AN122" s="73">
        <f t="shared" si="88"/>
        <v>0</v>
      </c>
      <c r="AO122" s="65" t="str">
        <f t="shared" si="89"/>
        <v>0.00</v>
      </c>
      <c r="AP122" s="65" t="str">
        <f t="shared" si="90"/>
        <v>0</v>
      </c>
      <c r="AQ122" s="71">
        <f t="shared" si="91"/>
        <v>0</v>
      </c>
      <c r="AR122" s="72">
        <f t="shared" si="92"/>
        <v>0</v>
      </c>
      <c r="AS122" s="71">
        <f t="shared" si="93"/>
        <v>0</v>
      </c>
      <c r="AT122" s="70">
        <f t="shared" si="94"/>
        <v>0</v>
      </c>
      <c r="AU122" s="70">
        <f t="shared" si="95"/>
        <v>0</v>
      </c>
      <c r="AV122" s="2"/>
      <c r="AW122" s="66">
        <f t="shared" si="96"/>
        <v>0</v>
      </c>
      <c r="AX122" s="68">
        <f>_xlfn.IFNA(INDEX(Table3941[I $ p/ft2],MATCH(R122,Table3941[Film Type],0)),1.75)</f>
        <v>1.75</v>
      </c>
      <c r="AY122" s="69">
        <f>VLOOKUP(Z122,Table1349[#All],2,FALSE)</f>
        <v>1</v>
      </c>
      <c r="AZ122" s="68">
        <f t="shared" si="97"/>
        <v>1.75</v>
      </c>
      <c r="BA122" s="65">
        <f t="shared" si="98"/>
        <v>0</v>
      </c>
      <c r="BB122" s="64">
        <f t="shared" si="99"/>
        <v>0</v>
      </c>
      <c r="BC122" s="67">
        <f t="shared" si="100"/>
        <v>0</v>
      </c>
      <c r="BD122" s="66">
        <f t="shared" si="101"/>
        <v>0</v>
      </c>
      <c r="BE122" s="64"/>
      <c r="BF122" s="66">
        <f t="shared" si="102"/>
        <v>0</v>
      </c>
      <c r="BG122" s="66">
        <f t="shared" si="103"/>
        <v>0</v>
      </c>
      <c r="BH122" s="65">
        <f>VLOOKUP(AA122,Table1551[#All],2,FALSE)</f>
        <v>1</v>
      </c>
      <c r="BI122" s="65">
        <f t="shared" si="104"/>
        <v>0</v>
      </c>
      <c r="BJ122" s="64" t="str">
        <f t="shared" si="105"/>
        <v>0</v>
      </c>
      <c r="CK122" s="86" t="s">
        <v>85</v>
      </c>
      <c r="CL122" s="2">
        <v>2.27</v>
      </c>
      <c r="CM122" s="2">
        <f t="shared" si="106"/>
        <v>2.4970000000000003</v>
      </c>
      <c r="CN122" s="10">
        <v>1.5</v>
      </c>
      <c r="CO122" s="84">
        <f t="shared" si="107"/>
        <v>0</v>
      </c>
    </row>
    <row r="123" spans="1:93" ht="11.1" hidden="1" customHeight="1" x14ac:dyDescent="0.45">
      <c r="A123" s="83"/>
      <c r="B123" s="266"/>
      <c r="C123" s="267"/>
      <c r="D123" s="267"/>
      <c r="E123" s="268"/>
      <c r="F123" s="64"/>
      <c r="G123" s="64"/>
      <c r="H123" s="82"/>
      <c r="I123" s="81"/>
      <c r="J123" s="64"/>
      <c r="K123" s="80"/>
      <c r="L123" s="79">
        <f t="shared" si="81"/>
        <v>0</v>
      </c>
      <c r="M123" s="64"/>
      <c r="N123" s="64"/>
      <c r="O123" s="64"/>
      <c r="P123" s="80"/>
      <c r="Q123" s="79">
        <f t="shared" si="82"/>
        <v>0</v>
      </c>
      <c r="R123" s="269"/>
      <c r="S123" s="270"/>
      <c r="T123" s="266"/>
      <c r="U123" s="267"/>
      <c r="V123" s="267"/>
      <c r="W123" s="268"/>
      <c r="X123" s="271" t="str">
        <f>IFERROR(INDEX(Table3941[],MATCH(R123,Table3941[Film Type],),3),"")</f>
        <v/>
      </c>
      <c r="Y123" s="271"/>
      <c r="Z123" s="78" t="s">
        <v>55</v>
      </c>
      <c r="AA123" s="78" t="s">
        <v>55</v>
      </c>
      <c r="AB123" s="77"/>
      <c r="AC123" s="76"/>
      <c r="AD123" s="75">
        <f t="shared" si="83"/>
        <v>0</v>
      </c>
      <c r="AG123" s="74">
        <f t="shared" si="84"/>
        <v>0</v>
      </c>
      <c r="AK123" s="65">
        <f t="shared" si="85"/>
        <v>0</v>
      </c>
      <c r="AL123" s="65">
        <f t="shared" si="86"/>
        <v>0</v>
      </c>
      <c r="AM123" s="65">
        <f t="shared" si="87"/>
        <v>0</v>
      </c>
      <c r="AN123" s="73">
        <f t="shared" si="88"/>
        <v>0</v>
      </c>
      <c r="AO123" s="65" t="str">
        <f t="shared" si="89"/>
        <v>0.00</v>
      </c>
      <c r="AP123" s="65" t="str">
        <f t="shared" si="90"/>
        <v>0</v>
      </c>
      <c r="AQ123" s="71">
        <f t="shared" si="91"/>
        <v>0</v>
      </c>
      <c r="AR123" s="72">
        <f t="shared" si="92"/>
        <v>0</v>
      </c>
      <c r="AS123" s="71">
        <f t="shared" si="93"/>
        <v>0</v>
      </c>
      <c r="AT123" s="70">
        <f t="shared" si="94"/>
        <v>0</v>
      </c>
      <c r="AU123" s="70">
        <f t="shared" si="95"/>
        <v>0</v>
      </c>
      <c r="AV123" s="2"/>
      <c r="AW123" s="66">
        <f t="shared" si="96"/>
        <v>0</v>
      </c>
      <c r="AX123" s="68">
        <f>_xlfn.IFNA(INDEX(Table3941[I $ p/ft2],MATCH(R123,Table3941[Film Type],0)),1.75)</f>
        <v>1.75</v>
      </c>
      <c r="AY123" s="69">
        <f>VLOOKUP(Z123,Table1349[#All],2,FALSE)</f>
        <v>1</v>
      </c>
      <c r="AZ123" s="68">
        <f t="shared" si="97"/>
        <v>1.75</v>
      </c>
      <c r="BA123" s="65">
        <f t="shared" si="98"/>
        <v>0</v>
      </c>
      <c r="BB123" s="64">
        <f t="shared" si="99"/>
        <v>0</v>
      </c>
      <c r="BC123" s="67">
        <f t="shared" si="100"/>
        <v>0</v>
      </c>
      <c r="BD123" s="66">
        <f t="shared" si="101"/>
        <v>0</v>
      </c>
      <c r="BE123" s="64"/>
      <c r="BF123" s="66">
        <f t="shared" si="102"/>
        <v>0</v>
      </c>
      <c r="BG123" s="66">
        <f t="shared" si="103"/>
        <v>0</v>
      </c>
      <c r="BH123" s="65">
        <f>VLOOKUP(AA123,Table1551[#All],2,FALSE)</f>
        <v>1</v>
      </c>
      <c r="BI123" s="65">
        <f t="shared" si="104"/>
        <v>0</v>
      </c>
      <c r="BJ123" s="64" t="str">
        <f t="shared" si="105"/>
        <v>0</v>
      </c>
      <c r="CK123" s="86" t="s">
        <v>84</v>
      </c>
      <c r="CL123" s="2">
        <v>2.2200000000000002</v>
      </c>
      <c r="CM123" s="2">
        <f t="shared" si="106"/>
        <v>2.4420000000000006</v>
      </c>
      <c r="CN123" s="10">
        <v>1.5</v>
      </c>
      <c r="CO123" s="84">
        <f t="shared" si="107"/>
        <v>0</v>
      </c>
    </row>
    <row r="124" spans="1:93" ht="11.1" hidden="1" customHeight="1" x14ac:dyDescent="0.45">
      <c r="A124" s="83"/>
      <c r="B124" s="266"/>
      <c r="C124" s="267"/>
      <c r="D124" s="267"/>
      <c r="E124" s="268"/>
      <c r="F124" s="64"/>
      <c r="G124" s="64"/>
      <c r="H124" s="82"/>
      <c r="I124" s="81"/>
      <c r="J124" s="64"/>
      <c r="K124" s="80"/>
      <c r="L124" s="79">
        <f t="shared" si="81"/>
        <v>0</v>
      </c>
      <c r="M124" s="64"/>
      <c r="N124" s="64"/>
      <c r="O124" s="64"/>
      <c r="P124" s="80"/>
      <c r="Q124" s="79">
        <f t="shared" si="82"/>
        <v>0</v>
      </c>
      <c r="R124" s="269"/>
      <c r="S124" s="270"/>
      <c r="T124" s="266"/>
      <c r="U124" s="267"/>
      <c r="V124" s="267"/>
      <c r="W124" s="268"/>
      <c r="X124" s="271" t="str">
        <f>IFERROR(INDEX(Table3941[],MATCH(R124,Table3941[Film Type],),3),"")</f>
        <v/>
      </c>
      <c r="Y124" s="271"/>
      <c r="Z124" s="78" t="s">
        <v>55</v>
      </c>
      <c r="AA124" s="78" t="s">
        <v>55</v>
      </c>
      <c r="AB124" s="77"/>
      <c r="AC124" s="76"/>
      <c r="AD124" s="75">
        <f t="shared" si="83"/>
        <v>0</v>
      </c>
      <c r="AG124" s="74">
        <f t="shared" si="84"/>
        <v>0</v>
      </c>
      <c r="AK124" s="65">
        <f t="shared" si="85"/>
        <v>0</v>
      </c>
      <c r="AL124" s="65">
        <f t="shared" si="86"/>
        <v>0</v>
      </c>
      <c r="AM124" s="65">
        <f t="shared" si="87"/>
        <v>0</v>
      </c>
      <c r="AN124" s="73">
        <f t="shared" si="88"/>
        <v>0</v>
      </c>
      <c r="AO124" s="65" t="str">
        <f t="shared" si="89"/>
        <v>0.00</v>
      </c>
      <c r="AP124" s="65" t="str">
        <f t="shared" si="90"/>
        <v>0</v>
      </c>
      <c r="AQ124" s="71">
        <f t="shared" si="91"/>
        <v>0</v>
      </c>
      <c r="AR124" s="72">
        <f t="shared" si="92"/>
        <v>0</v>
      </c>
      <c r="AS124" s="71">
        <f t="shared" si="93"/>
        <v>0</v>
      </c>
      <c r="AT124" s="70">
        <f t="shared" si="94"/>
        <v>0</v>
      </c>
      <c r="AU124" s="70">
        <f t="shared" si="95"/>
        <v>0</v>
      </c>
      <c r="AV124" s="2"/>
      <c r="AW124" s="66">
        <f t="shared" si="96"/>
        <v>0</v>
      </c>
      <c r="AX124" s="68">
        <f>_xlfn.IFNA(INDEX(Table3941[I $ p/ft2],MATCH(R124,Table3941[Film Type],0)),1.75)</f>
        <v>1.75</v>
      </c>
      <c r="AY124" s="69">
        <f>VLOOKUP(Z124,Table1349[#All],2,FALSE)</f>
        <v>1</v>
      </c>
      <c r="AZ124" s="68">
        <f t="shared" si="97"/>
        <v>1.75</v>
      </c>
      <c r="BA124" s="65">
        <f t="shared" si="98"/>
        <v>0</v>
      </c>
      <c r="BB124" s="64">
        <f t="shared" si="99"/>
        <v>0</v>
      </c>
      <c r="BC124" s="67">
        <f t="shared" si="100"/>
        <v>0</v>
      </c>
      <c r="BD124" s="66">
        <f t="shared" si="101"/>
        <v>0</v>
      </c>
      <c r="BE124" s="64"/>
      <c r="BF124" s="66">
        <f t="shared" si="102"/>
        <v>0</v>
      </c>
      <c r="BG124" s="66">
        <f t="shared" si="103"/>
        <v>0</v>
      </c>
      <c r="BH124" s="65">
        <f>VLOOKUP(AA124,Table1551[#All],2,FALSE)</f>
        <v>1</v>
      </c>
      <c r="BI124" s="65">
        <f t="shared" si="104"/>
        <v>0</v>
      </c>
      <c r="BJ124" s="64" t="str">
        <f t="shared" si="105"/>
        <v>0</v>
      </c>
      <c r="CK124" s="86" t="s">
        <v>83</v>
      </c>
      <c r="CL124" s="2">
        <v>2.2200000000000002</v>
      </c>
      <c r="CM124" s="2">
        <f t="shared" si="106"/>
        <v>2.4420000000000006</v>
      </c>
      <c r="CN124" s="10">
        <v>1.5</v>
      </c>
      <c r="CO124" s="84">
        <f t="shared" si="107"/>
        <v>0</v>
      </c>
    </row>
    <row r="125" spans="1:93" ht="11.1" hidden="1" customHeight="1" x14ac:dyDescent="0.45">
      <c r="A125" s="83"/>
      <c r="B125" s="266"/>
      <c r="C125" s="267"/>
      <c r="D125" s="267"/>
      <c r="E125" s="268"/>
      <c r="F125" s="64"/>
      <c r="G125" s="64"/>
      <c r="H125" s="82"/>
      <c r="I125" s="81"/>
      <c r="J125" s="64"/>
      <c r="K125" s="80"/>
      <c r="L125" s="79">
        <f t="shared" si="81"/>
        <v>0</v>
      </c>
      <c r="M125" s="64"/>
      <c r="N125" s="64"/>
      <c r="O125" s="64"/>
      <c r="P125" s="80"/>
      <c r="Q125" s="79">
        <f t="shared" si="82"/>
        <v>0</v>
      </c>
      <c r="R125" s="269"/>
      <c r="S125" s="270"/>
      <c r="T125" s="266"/>
      <c r="U125" s="267"/>
      <c r="V125" s="267"/>
      <c r="W125" s="268"/>
      <c r="X125" s="271" t="str">
        <f>IFERROR(INDEX(Table3941[],MATCH(R125,Table3941[Film Type],),3),"")</f>
        <v/>
      </c>
      <c r="Y125" s="271"/>
      <c r="Z125" s="78" t="s">
        <v>55</v>
      </c>
      <c r="AA125" s="78" t="s">
        <v>55</v>
      </c>
      <c r="AB125" s="77"/>
      <c r="AC125" s="76"/>
      <c r="AD125" s="75">
        <f t="shared" si="83"/>
        <v>0</v>
      </c>
      <c r="AG125" s="74">
        <f t="shared" si="84"/>
        <v>0</v>
      </c>
      <c r="AK125" s="65">
        <f t="shared" si="85"/>
        <v>0</v>
      </c>
      <c r="AL125" s="65">
        <f t="shared" si="86"/>
        <v>0</v>
      </c>
      <c r="AM125" s="65">
        <f t="shared" si="87"/>
        <v>0</v>
      </c>
      <c r="AN125" s="73">
        <f t="shared" si="88"/>
        <v>0</v>
      </c>
      <c r="AO125" s="65" t="str">
        <f t="shared" si="89"/>
        <v>0.00</v>
      </c>
      <c r="AP125" s="65" t="str">
        <f t="shared" si="90"/>
        <v>0</v>
      </c>
      <c r="AQ125" s="71">
        <f t="shared" si="91"/>
        <v>0</v>
      </c>
      <c r="AR125" s="72">
        <f t="shared" si="92"/>
        <v>0</v>
      </c>
      <c r="AS125" s="71">
        <f t="shared" si="93"/>
        <v>0</v>
      </c>
      <c r="AT125" s="70">
        <f t="shared" si="94"/>
        <v>0</v>
      </c>
      <c r="AU125" s="70">
        <f t="shared" si="95"/>
        <v>0</v>
      </c>
      <c r="AV125" s="2"/>
      <c r="AW125" s="66">
        <f t="shared" si="96"/>
        <v>0</v>
      </c>
      <c r="AX125" s="68">
        <f>_xlfn.IFNA(INDEX(Table3941[I $ p/ft2],MATCH(R125,Table3941[Film Type],0)),1.75)</f>
        <v>1.75</v>
      </c>
      <c r="AY125" s="69">
        <f>VLOOKUP(Z125,Table1349[#All],2,FALSE)</f>
        <v>1</v>
      </c>
      <c r="AZ125" s="68">
        <f t="shared" si="97"/>
        <v>1.75</v>
      </c>
      <c r="BA125" s="65">
        <f t="shared" si="98"/>
        <v>0</v>
      </c>
      <c r="BB125" s="64">
        <f t="shared" si="99"/>
        <v>0</v>
      </c>
      <c r="BC125" s="67">
        <f t="shared" si="100"/>
        <v>0</v>
      </c>
      <c r="BD125" s="66">
        <f t="shared" si="101"/>
        <v>0</v>
      </c>
      <c r="BE125" s="64"/>
      <c r="BF125" s="66">
        <f t="shared" si="102"/>
        <v>0</v>
      </c>
      <c r="BG125" s="66">
        <f t="shared" si="103"/>
        <v>0</v>
      </c>
      <c r="BH125" s="65">
        <f>VLOOKUP(AA125,Table1551[#All],2,FALSE)</f>
        <v>1</v>
      </c>
      <c r="BI125" s="65">
        <f t="shared" si="104"/>
        <v>0</v>
      </c>
      <c r="BJ125" s="64" t="str">
        <f t="shared" si="105"/>
        <v>0</v>
      </c>
      <c r="CK125" s="86" t="s">
        <v>82</v>
      </c>
      <c r="CL125" s="2">
        <v>1.33</v>
      </c>
      <c r="CM125" s="2">
        <f t="shared" si="106"/>
        <v>1.4630000000000003</v>
      </c>
      <c r="CN125" s="10">
        <v>1.5</v>
      </c>
      <c r="CO125" s="84">
        <f t="shared" si="107"/>
        <v>0</v>
      </c>
    </row>
    <row r="126" spans="1:93" ht="11.1" hidden="1" customHeight="1" x14ac:dyDescent="0.45">
      <c r="A126" s="83"/>
      <c r="B126" s="266"/>
      <c r="C126" s="267"/>
      <c r="D126" s="267"/>
      <c r="E126" s="268"/>
      <c r="F126" s="64"/>
      <c r="G126" s="64"/>
      <c r="H126" s="82"/>
      <c r="I126" s="81"/>
      <c r="J126" s="64"/>
      <c r="K126" s="80"/>
      <c r="L126" s="79">
        <f t="shared" si="81"/>
        <v>0</v>
      </c>
      <c r="M126" s="64"/>
      <c r="N126" s="64"/>
      <c r="O126" s="64"/>
      <c r="P126" s="80"/>
      <c r="Q126" s="79">
        <f t="shared" si="82"/>
        <v>0</v>
      </c>
      <c r="R126" s="269"/>
      <c r="S126" s="270"/>
      <c r="T126" s="266"/>
      <c r="U126" s="267"/>
      <c r="V126" s="267"/>
      <c r="W126" s="268"/>
      <c r="X126" s="271" t="str">
        <f>IFERROR(INDEX(Table3941[],MATCH(R126,Table3941[Film Type],),3),"")</f>
        <v/>
      </c>
      <c r="Y126" s="271"/>
      <c r="Z126" s="78" t="s">
        <v>55</v>
      </c>
      <c r="AA126" s="78" t="s">
        <v>55</v>
      </c>
      <c r="AB126" s="77"/>
      <c r="AC126" s="76"/>
      <c r="AD126" s="75">
        <f t="shared" si="83"/>
        <v>0</v>
      </c>
      <c r="AG126" s="74">
        <f t="shared" si="84"/>
        <v>0</v>
      </c>
      <c r="AK126" s="65">
        <f t="shared" si="85"/>
        <v>0</v>
      </c>
      <c r="AL126" s="65">
        <f t="shared" si="86"/>
        <v>0</v>
      </c>
      <c r="AM126" s="65">
        <f t="shared" si="87"/>
        <v>0</v>
      </c>
      <c r="AN126" s="73">
        <f t="shared" si="88"/>
        <v>0</v>
      </c>
      <c r="AO126" s="65" t="str">
        <f t="shared" si="89"/>
        <v>0.00</v>
      </c>
      <c r="AP126" s="65" t="str">
        <f t="shared" si="90"/>
        <v>0</v>
      </c>
      <c r="AQ126" s="71">
        <f t="shared" si="91"/>
        <v>0</v>
      </c>
      <c r="AR126" s="72">
        <f t="shared" si="92"/>
        <v>0</v>
      </c>
      <c r="AS126" s="71">
        <f t="shared" si="93"/>
        <v>0</v>
      </c>
      <c r="AT126" s="70">
        <f t="shared" si="94"/>
        <v>0</v>
      </c>
      <c r="AU126" s="70">
        <f t="shared" si="95"/>
        <v>0</v>
      </c>
      <c r="AV126" s="2"/>
      <c r="AW126" s="66">
        <f t="shared" si="96"/>
        <v>0</v>
      </c>
      <c r="AX126" s="68">
        <f>_xlfn.IFNA(INDEX(Table3941[I $ p/ft2],MATCH(R126,Table3941[Film Type],0)),1.75)</f>
        <v>1.75</v>
      </c>
      <c r="AY126" s="69">
        <f>VLOOKUP(Z126,Table1349[#All],2,FALSE)</f>
        <v>1</v>
      </c>
      <c r="AZ126" s="68">
        <f t="shared" si="97"/>
        <v>1.75</v>
      </c>
      <c r="BA126" s="65">
        <f t="shared" si="98"/>
        <v>0</v>
      </c>
      <c r="BB126" s="64">
        <f t="shared" si="99"/>
        <v>0</v>
      </c>
      <c r="BC126" s="67">
        <f t="shared" si="100"/>
        <v>0</v>
      </c>
      <c r="BD126" s="66">
        <f t="shared" si="101"/>
        <v>0</v>
      </c>
      <c r="BE126" s="64"/>
      <c r="BF126" s="66">
        <f t="shared" si="102"/>
        <v>0</v>
      </c>
      <c r="BG126" s="66">
        <f t="shared" si="103"/>
        <v>0</v>
      </c>
      <c r="BH126" s="65">
        <f>VLOOKUP(AA126,Table1551[#All],2,FALSE)</f>
        <v>1</v>
      </c>
      <c r="BI126" s="65">
        <f t="shared" si="104"/>
        <v>0</v>
      </c>
      <c r="BJ126" s="64" t="str">
        <f t="shared" si="105"/>
        <v>0</v>
      </c>
      <c r="CK126" s="86" t="s">
        <v>81</v>
      </c>
      <c r="CL126" s="2">
        <v>1.1599999999999999</v>
      </c>
      <c r="CM126" s="2">
        <f t="shared" si="106"/>
        <v>1.276</v>
      </c>
      <c r="CN126" s="10">
        <v>1.5</v>
      </c>
      <c r="CO126" s="84">
        <f t="shared" si="107"/>
        <v>0</v>
      </c>
    </row>
    <row r="127" spans="1:93" ht="11.1" hidden="1" customHeight="1" x14ac:dyDescent="0.45">
      <c r="A127" s="83"/>
      <c r="B127" s="266"/>
      <c r="C127" s="267"/>
      <c r="D127" s="267"/>
      <c r="E127" s="268"/>
      <c r="F127" s="64"/>
      <c r="G127" s="64"/>
      <c r="H127" s="82"/>
      <c r="I127" s="81"/>
      <c r="J127" s="64"/>
      <c r="K127" s="80"/>
      <c r="L127" s="79">
        <f t="shared" si="81"/>
        <v>0</v>
      </c>
      <c r="M127" s="64"/>
      <c r="N127" s="64"/>
      <c r="O127" s="64"/>
      <c r="P127" s="80"/>
      <c r="Q127" s="79">
        <f t="shared" si="82"/>
        <v>0</v>
      </c>
      <c r="R127" s="269"/>
      <c r="S127" s="270"/>
      <c r="T127" s="266"/>
      <c r="U127" s="267"/>
      <c r="V127" s="267"/>
      <c r="W127" s="268"/>
      <c r="X127" s="271" t="str">
        <f>IFERROR(INDEX(Table3941[],MATCH(R127,Table3941[Film Type],),3),"")</f>
        <v/>
      </c>
      <c r="Y127" s="271"/>
      <c r="Z127" s="78" t="s">
        <v>55</v>
      </c>
      <c r="AA127" s="78" t="s">
        <v>55</v>
      </c>
      <c r="AB127" s="77"/>
      <c r="AC127" s="76"/>
      <c r="AD127" s="75">
        <f t="shared" si="83"/>
        <v>0</v>
      </c>
      <c r="AG127" s="74">
        <f t="shared" si="84"/>
        <v>0</v>
      </c>
      <c r="AK127" s="65">
        <f t="shared" si="85"/>
        <v>0</v>
      </c>
      <c r="AL127" s="65">
        <f t="shared" si="86"/>
        <v>0</v>
      </c>
      <c r="AM127" s="65">
        <f t="shared" si="87"/>
        <v>0</v>
      </c>
      <c r="AN127" s="73">
        <f t="shared" si="88"/>
        <v>0</v>
      </c>
      <c r="AO127" s="65" t="str">
        <f t="shared" si="89"/>
        <v>0.00</v>
      </c>
      <c r="AP127" s="65" t="str">
        <f t="shared" si="90"/>
        <v>0</v>
      </c>
      <c r="AQ127" s="71">
        <f t="shared" si="91"/>
        <v>0</v>
      </c>
      <c r="AR127" s="72">
        <f t="shared" si="92"/>
        <v>0</v>
      </c>
      <c r="AS127" s="71">
        <f t="shared" si="93"/>
        <v>0</v>
      </c>
      <c r="AT127" s="70">
        <f t="shared" si="94"/>
        <v>0</v>
      </c>
      <c r="AU127" s="70">
        <f t="shared" si="95"/>
        <v>0</v>
      </c>
      <c r="AV127" s="2"/>
      <c r="AW127" s="66">
        <f t="shared" si="96"/>
        <v>0</v>
      </c>
      <c r="AX127" s="68">
        <f>_xlfn.IFNA(INDEX(Table3941[I $ p/ft2],MATCH(R127,Table3941[Film Type],0)),1.75)</f>
        <v>1.75</v>
      </c>
      <c r="AY127" s="69">
        <f>VLOOKUP(Z127,Table1349[#All],2,FALSE)</f>
        <v>1</v>
      </c>
      <c r="AZ127" s="68">
        <f t="shared" si="97"/>
        <v>1.75</v>
      </c>
      <c r="BA127" s="65">
        <f t="shared" si="98"/>
        <v>0</v>
      </c>
      <c r="BB127" s="64">
        <f t="shared" si="99"/>
        <v>0</v>
      </c>
      <c r="BC127" s="67">
        <f t="shared" si="100"/>
        <v>0</v>
      </c>
      <c r="BD127" s="66">
        <f t="shared" si="101"/>
        <v>0</v>
      </c>
      <c r="BE127" s="64"/>
      <c r="BF127" s="66">
        <f t="shared" si="102"/>
        <v>0</v>
      </c>
      <c r="BG127" s="66">
        <f t="shared" si="103"/>
        <v>0</v>
      </c>
      <c r="BH127" s="65">
        <f>VLOOKUP(AA127,Table1551[#All],2,FALSE)</f>
        <v>1</v>
      </c>
      <c r="BI127" s="65">
        <f t="shared" si="104"/>
        <v>0</v>
      </c>
      <c r="BJ127" s="64" t="str">
        <f t="shared" si="105"/>
        <v>0</v>
      </c>
      <c r="CK127" s="86" t="s">
        <v>80</v>
      </c>
      <c r="CL127" s="2">
        <v>1.1599999999999999</v>
      </c>
      <c r="CM127" s="2">
        <f t="shared" si="106"/>
        <v>1.276</v>
      </c>
      <c r="CN127" s="10">
        <v>1.5</v>
      </c>
      <c r="CO127" s="84">
        <f t="shared" si="107"/>
        <v>0</v>
      </c>
    </row>
    <row r="128" spans="1:93" ht="11.1" hidden="1" customHeight="1" x14ac:dyDescent="0.45">
      <c r="A128" s="83"/>
      <c r="B128" s="266"/>
      <c r="C128" s="267"/>
      <c r="D128" s="267"/>
      <c r="E128" s="268"/>
      <c r="F128" s="64"/>
      <c r="G128" s="64"/>
      <c r="H128" s="82"/>
      <c r="I128" s="81"/>
      <c r="J128" s="64"/>
      <c r="K128" s="80"/>
      <c r="L128" s="79">
        <f t="shared" si="81"/>
        <v>0</v>
      </c>
      <c r="M128" s="64"/>
      <c r="N128" s="64"/>
      <c r="O128" s="64"/>
      <c r="P128" s="80"/>
      <c r="Q128" s="79">
        <f t="shared" si="82"/>
        <v>0</v>
      </c>
      <c r="R128" s="269"/>
      <c r="S128" s="270"/>
      <c r="T128" s="266"/>
      <c r="U128" s="267"/>
      <c r="V128" s="267"/>
      <c r="W128" s="268"/>
      <c r="X128" s="271" t="str">
        <f>IFERROR(INDEX(Table3941[],MATCH(R128,Table3941[Film Type],),3),"")</f>
        <v/>
      </c>
      <c r="Y128" s="271"/>
      <c r="Z128" s="78" t="s">
        <v>55</v>
      </c>
      <c r="AA128" s="78" t="s">
        <v>55</v>
      </c>
      <c r="AB128" s="77"/>
      <c r="AC128" s="76"/>
      <c r="AD128" s="75">
        <f t="shared" si="83"/>
        <v>0</v>
      </c>
      <c r="AG128" s="74">
        <f t="shared" si="84"/>
        <v>0</v>
      </c>
      <c r="AK128" s="65">
        <f t="shared" si="85"/>
        <v>0</v>
      </c>
      <c r="AL128" s="65">
        <f t="shared" si="86"/>
        <v>0</v>
      </c>
      <c r="AM128" s="65">
        <f t="shared" si="87"/>
        <v>0</v>
      </c>
      <c r="AN128" s="73">
        <f t="shared" si="88"/>
        <v>0</v>
      </c>
      <c r="AO128" s="65" t="str">
        <f t="shared" si="89"/>
        <v>0.00</v>
      </c>
      <c r="AP128" s="65" t="str">
        <f t="shared" si="90"/>
        <v>0</v>
      </c>
      <c r="AQ128" s="71">
        <f t="shared" si="91"/>
        <v>0</v>
      </c>
      <c r="AR128" s="72">
        <f t="shared" si="92"/>
        <v>0</v>
      </c>
      <c r="AS128" s="71">
        <f t="shared" si="93"/>
        <v>0</v>
      </c>
      <c r="AT128" s="70">
        <f t="shared" si="94"/>
        <v>0</v>
      </c>
      <c r="AU128" s="70">
        <f t="shared" si="95"/>
        <v>0</v>
      </c>
      <c r="AV128" s="2"/>
      <c r="AW128" s="66">
        <f t="shared" si="96"/>
        <v>0</v>
      </c>
      <c r="AX128" s="68">
        <f>_xlfn.IFNA(INDEX(Table3941[I $ p/ft2],MATCH(R128,Table3941[Film Type],0)),1.75)</f>
        <v>1.75</v>
      </c>
      <c r="AY128" s="69">
        <f>VLOOKUP(Z128,Table1349[#All],2,FALSE)</f>
        <v>1</v>
      </c>
      <c r="AZ128" s="68">
        <f t="shared" si="97"/>
        <v>1.75</v>
      </c>
      <c r="BA128" s="65">
        <f t="shared" si="98"/>
        <v>0</v>
      </c>
      <c r="BB128" s="64">
        <f t="shared" si="99"/>
        <v>0</v>
      </c>
      <c r="BC128" s="67">
        <f t="shared" si="100"/>
        <v>0</v>
      </c>
      <c r="BD128" s="66">
        <f t="shared" si="101"/>
        <v>0</v>
      </c>
      <c r="BE128" s="64"/>
      <c r="BF128" s="66">
        <f t="shared" si="102"/>
        <v>0</v>
      </c>
      <c r="BG128" s="66">
        <f t="shared" si="103"/>
        <v>0</v>
      </c>
      <c r="BH128" s="65">
        <f>VLOOKUP(AA128,Table1551[#All],2,FALSE)</f>
        <v>1</v>
      </c>
      <c r="BI128" s="65">
        <f t="shared" si="104"/>
        <v>0</v>
      </c>
      <c r="BJ128" s="64" t="str">
        <f t="shared" si="105"/>
        <v>0</v>
      </c>
      <c r="CK128" s="86" t="s">
        <v>79</v>
      </c>
      <c r="CL128" s="2">
        <v>1.1599999999999999</v>
      </c>
      <c r="CM128" s="2">
        <f t="shared" si="106"/>
        <v>1.276</v>
      </c>
      <c r="CN128" s="10">
        <v>1.5</v>
      </c>
      <c r="CO128" s="84">
        <f t="shared" si="107"/>
        <v>0</v>
      </c>
    </row>
    <row r="129" spans="1:93" ht="11.1" hidden="1" customHeight="1" x14ac:dyDescent="0.45">
      <c r="A129" s="83"/>
      <c r="B129" s="266"/>
      <c r="C129" s="267"/>
      <c r="D129" s="267"/>
      <c r="E129" s="268"/>
      <c r="F129" s="64"/>
      <c r="G129" s="64"/>
      <c r="H129" s="82"/>
      <c r="I129" s="81"/>
      <c r="J129" s="64"/>
      <c r="K129" s="80"/>
      <c r="L129" s="79">
        <f t="shared" si="81"/>
        <v>0</v>
      </c>
      <c r="M129" s="64"/>
      <c r="N129" s="64"/>
      <c r="O129" s="64"/>
      <c r="P129" s="80"/>
      <c r="Q129" s="79">
        <f t="shared" si="82"/>
        <v>0</v>
      </c>
      <c r="R129" s="269"/>
      <c r="S129" s="270"/>
      <c r="T129" s="266"/>
      <c r="U129" s="267"/>
      <c r="V129" s="267"/>
      <c r="W129" s="268"/>
      <c r="X129" s="271" t="str">
        <f>IFERROR(INDEX(Table3941[],MATCH(R129,Table3941[Film Type],),3),"")</f>
        <v/>
      </c>
      <c r="Y129" s="271"/>
      <c r="Z129" s="78" t="s">
        <v>55</v>
      </c>
      <c r="AA129" s="78" t="s">
        <v>55</v>
      </c>
      <c r="AB129" s="77"/>
      <c r="AC129" s="76"/>
      <c r="AD129" s="75">
        <f t="shared" si="83"/>
        <v>0</v>
      </c>
      <c r="AG129" s="74">
        <f t="shared" si="84"/>
        <v>0</v>
      </c>
      <c r="AK129" s="65">
        <f t="shared" si="85"/>
        <v>0</v>
      </c>
      <c r="AL129" s="65">
        <f t="shared" si="86"/>
        <v>0</v>
      </c>
      <c r="AM129" s="65">
        <f t="shared" si="87"/>
        <v>0</v>
      </c>
      <c r="AN129" s="73">
        <f t="shared" si="88"/>
        <v>0</v>
      </c>
      <c r="AO129" s="65" t="str">
        <f t="shared" si="89"/>
        <v>0.00</v>
      </c>
      <c r="AP129" s="65" t="str">
        <f t="shared" si="90"/>
        <v>0</v>
      </c>
      <c r="AQ129" s="71">
        <f t="shared" si="91"/>
        <v>0</v>
      </c>
      <c r="AR129" s="72">
        <f t="shared" si="92"/>
        <v>0</v>
      </c>
      <c r="AS129" s="71">
        <f t="shared" si="93"/>
        <v>0</v>
      </c>
      <c r="AT129" s="70">
        <f t="shared" si="94"/>
        <v>0</v>
      </c>
      <c r="AU129" s="70">
        <f t="shared" si="95"/>
        <v>0</v>
      </c>
      <c r="AV129" s="2"/>
      <c r="AW129" s="66">
        <f t="shared" si="96"/>
        <v>0</v>
      </c>
      <c r="AX129" s="68">
        <f>_xlfn.IFNA(INDEX(Table3941[I $ p/ft2],MATCH(R129,Table3941[Film Type],0)),1.75)</f>
        <v>1.75</v>
      </c>
      <c r="AY129" s="69">
        <f>VLOOKUP(Z129,Table1349[#All],2,FALSE)</f>
        <v>1</v>
      </c>
      <c r="AZ129" s="68">
        <f t="shared" si="97"/>
        <v>1.75</v>
      </c>
      <c r="BA129" s="65">
        <f t="shared" si="98"/>
        <v>0</v>
      </c>
      <c r="BB129" s="64">
        <f t="shared" si="99"/>
        <v>0</v>
      </c>
      <c r="BC129" s="67">
        <f t="shared" si="100"/>
        <v>0</v>
      </c>
      <c r="BD129" s="66">
        <f t="shared" si="101"/>
        <v>0</v>
      </c>
      <c r="BE129" s="64"/>
      <c r="BF129" s="66">
        <f t="shared" si="102"/>
        <v>0</v>
      </c>
      <c r="BG129" s="66">
        <f t="shared" si="103"/>
        <v>0</v>
      </c>
      <c r="BH129" s="65">
        <f>VLOOKUP(AA129,Table1551[#All],2,FALSE)</f>
        <v>1</v>
      </c>
      <c r="BI129" s="65">
        <f t="shared" si="104"/>
        <v>0</v>
      </c>
      <c r="BJ129" s="64" t="str">
        <f t="shared" si="105"/>
        <v>0</v>
      </c>
      <c r="CK129" s="86" t="s">
        <v>78</v>
      </c>
      <c r="CL129" s="2">
        <v>1.3</v>
      </c>
      <c r="CM129" s="2">
        <f t="shared" si="106"/>
        <v>1.4300000000000002</v>
      </c>
      <c r="CN129" s="10">
        <v>2</v>
      </c>
      <c r="CO129" s="84">
        <f t="shared" si="107"/>
        <v>0</v>
      </c>
    </row>
    <row r="130" spans="1:93" ht="11.1" hidden="1" customHeight="1" x14ac:dyDescent="0.45">
      <c r="A130" s="83"/>
      <c r="B130" s="266"/>
      <c r="C130" s="267"/>
      <c r="D130" s="267"/>
      <c r="E130" s="268"/>
      <c r="F130" s="64"/>
      <c r="G130" s="64"/>
      <c r="H130" s="82"/>
      <c r="I130" s="81"/>
      <c r="J130" s="64"/>
      <c r="K130" s="80"/>
      <c r="L130" s="79">
        <f t="shared" si="81"/>
        <v>0</v>
      </c>
      <c r="M130" s="64"/>
      <c r="N130" s="64"/>
      <c r="O130" s="64"/>
      <c r="P130" s="80"/>
      <c r="Q130" s="79">
        <f t="shared" si="82"/>
        <v>0</v>
      </c>
      <c r="R130" s="269"/>
      <c r="S130" s="270"/>
      <c r="T130" s="266"/>
      <c r="U130" s="267"/>
      <c r="V130" s="267"/>
      <c r="W130" s="268"/>
      <c r="X130" s="271" t="str">
        <f>IFERROR(INDEX(Table3941[],MATCH(R130,Table3941[Film Type],),3),"")</f>
        <v/>
      </c>
      <c r="Y130" s="271"/>
      <c r="Z130" s="78" t="s">
        <v>55</v>
      </c>
      <c r="AA130" s="78" t="s">
        <v>55</v>
      </c>
      <c r="AB130" s="77"/>
      <c r="AC130" s="76"/>
      <c r="AD130" s="75">
        <f t="shared" si="83"/>
        <v>0</v>
      </c>
      <c r="AG130" s="74">
        <f t="shared" si="84"/>
        <v>0</v>
      </c>
      <c r="AK130" s="65">
        <f t="shared" si="85"/>
        <v>0</v>
      </c>
      <c r="AL130" s="65">
        <f t="shared" si="86"/>
        <v>0</v>
      </c>
      <c r="AM130" s="65">
        <f t="shared" si="87"/>
        <v>0</v>
      </c>
      <c r="AN130" s="73">
        <f t="shared" si="88"/>
        <v>0</v>
      </c>
      <c r="AO130" s="65" t="str">
        <f t="shared" si="89"/>
        <v>0.00</v>
      </c>
      <c r="AP130" s="65" t="str">
        <f t="shared" si="90"/>
        <v>0</v>
      </c>
      <c r="AQ130" s="71">
        <f t="shared" si="91"/>
        <v>0</v>
      </c>
      <c r="AR130" s="72">
        <f t="shared" si="92"/>
        <v>0</v>
      </c>
      <c r="AS130" s="71">
        <f t="shared" si="93"/>
        <v>0</v>
      </c>
      <c r="AT130" s="70">
        <f t="shared" si="94"/>
        <v>0</v>
      </c>
      <c r="AU130" s="70">
        <f t="shared" si="95"/>
        <v>0</v>
      </c>
      <c r="AV130" s="2"/>
      <c r="AW130" s="66">
        <f t="shared" si="96"/>
        <v>0</v>
      </c>
      <c r="AX130" s="68">
        <f>_xlfn.IFNA(INDEX(Table3941[I $ p/ft2],MATCH(R130,Table3941[Film Type],0)),1.75)</f>
        <v>1.75</v>
      </c>
      <c r="AY130" s="69">
        <f>VLOOKUP(Z130,Table1349[#All],2,FALSE)</f>
        <v>1</v>
      </c>
      <c r="AZ130" s="68">
        <f t="shared" si="97"/>
        <v>1.75</v>
      </c>
      <c r="BA130" s="65">
        <f t="shared" si="98"/>
        <v>0</v>
      </c>
      <c r="BB130" s="64">
        <f t="shared" si="99"/>
        <v>0</v>
      </c>
      <c r="BC130" s="67">
        <f t="shared" si="100"/>
        <v>0</v>
      </c>
      <c r="BD130" s="66">
        <f t="shared" si="101"/>
        <v>0</v>
      </c>
      <c r="BE130" s="64"/>
      <c r="BF130" s="66">
        <f t="shared" si="102"/>
        <v>0</v>
      </c>
      <c r="BG130" s="66">
        <f t="shared" si="103"/>
        <v>0</v>
      </c>
      <c r="BH130" s="65">
        <f>VLOOKUP(AA130,Table1551[#All],2,FALSE)</f>
        <v>1</v>
      </c>
      <c r="BI130" s="65">
        <f t="shared" si="104"/>
        <v>0</v>
      </c>
      <c r="BJ130" s="64" t="str">
        <f t="shared" si="105"/>
        <v>0</v>
      </c>
      <c r="CK130" s="86" t="s">
        <v>77</v>
      </c>
      <c r="CL130" s="2">
        <v>1.55</v>
      </c>
      <c r="CM130" s="2">
        <f t="shared" si="106"/>
        <v>1.7050000000000003</v>
      </c>
      <c r="CN130" s="10">
        <v>2</v>
      </c>
      <c r="CO130" s="84">
        <f t="shared" si="107"/>
        <v>0</v>
      </c>
    </row>
    <row r="131" spans="1:93" ht="11.1" hidden="1" customHeight="1" x14ac:dyDescent="0.45">
      <c r="A131" s="83"/>
      <c r="B131" s="266"/>
      <c r="C131" s="267"/>
      <c r="D131" s="267"/>
      <c r="E131" s="268"/>
      <c r="F131" s="64"/>
      <c r="G131" s="64"/>
      <c r="H131" s="82"/>
      <c r="I131" s="81"/>
      <c r="J131" s="64"/>
      <c r="K131" s="80"/>
      <c r="L131" s="79">
        <f t="shared" si="81"/>
        <v>0</v>
      </c>
      <c r="M131" s="64"/>
      <c r="N131" s="64"/>
      <c r="O131" s="64"/>
      <c r="P131" s="80"/>
      <c r="Q131" s="79">
        <f t="shared" si="82"/>
        <v>0</v>
      </c>
      <c r="R131" s="269"/>
      <c r="S131" s="270"/>
      <c r="T131" s="266"/>
      <c r="U131" s="267"/>
      <c r="V131" s="267"/>
      <c r="W131" s="268"/>
      <c r="X131" s="271" t="str">
        <f>IFERROR(INDEX(Table3941[],MATCH(R131,Table3941[Film Type],),3),"")</f>
        <v/>
      </c>
      <c r="Y131" s="271"/>
      <c r="Z131" s="78" t="s">
        <v>55</v>
      </c>
      <c r="AA131" s="78" t="s">
        <v>55</v>
      </c>
      <c r="AB131" s="77"/>
      <c r="AC131" s="76"/>
      <c r="AD131" s="75">
        <f t="shared" si="83"/>
        <v>0</v>
      </c>
      <c r="AG131" s="74">
        <f t="shared" si="84"/>
        <v>0</v>
      </c>
      <c r="AK131" s="65">
        <f t="shared" si="85"/>
        <v>0</v>
      </c>
      <c r="AL131" s="65">
        <f t="shared" si="86"/>
        <v>0</v>
      </c>
      <c r="AM131" s="65">
        <f t="shared" si="87"/>
        <v>0</v>
      </c>
      <c r="AN131" s="73">
        <f t="shared" si="88"/>
        <v>0</v>
      </c>
      <c r="AO131" s="65" t="str">
        <f t="shared" si="89"/>
        <v>0.00</v>
      </c>
      <c r="AP131" s="65" t="str">
        <f t="shared" si="90"/>
        <v>0</v>
      </c>
      <c r="AQ131" s="71">
        <f t="shared" si="91"/>
        <v>0</v>
      </c>
      <c r="AR131" s="72">
        <f t="shared" si="92"/>
        <v>0</v>
      </c>
      <c r="AS131" s="71">
        <f t="shared" si="93"/>
        <v>0</v>
      </c>
      <c r="AT131" s="70">
        <f t="shared" si="94"/>
        <v>0</v>
      </c>
      <c r="AU131" s="70">
        <f t="shared" si="95"/>
        <v>0</v>
      </c>
      <c r="AV131" s="2"/>
      <c r="AW131" s="66">
        <f t="shared" si="96"/>
        <v>0</v>
      </c>
      <c r="AX131" s="68">
        <f>_xlfn.IFNA(INDEX(Table3941[I $ p/ft2],MATCH(R131,Table3941[Film Type],0)),1.75)</f>
        <v>1.75</v>
      </c>
      <c r="AY131" s="69">
        <f>VLOOKUP(Z131,Table1349[#All],2,FALSE)</f>
        <v>1</v>
      </c>
      <c r="AZ131" s="68">
        <f t="shared" si="97"/>
        <v>1.75</v>
      </c>
      <c r="BA131" s="65">
        <f t="shared" si="98"/>
        <v>0</v>
      </c>
      <c r="BB131" s="64">
        <f t="shared" si="99"/>
        <v>0</v>
      </c>
      <c r="BC131" s="67">
        <f t="shared" si="100"/>
        <v>0</v>
      </c>
      <c r="BD131" s="66">
        <f t="shared" si="101"/>
        <v>0</v>
      </c>
      <c r="BE131" s="64"/>
      <c r="BF131" s="66">
        <f t="shared" si="102"/>
        <v>0</v>
      </c>
      <c r="BG131" s="66">
        <f t="shared" si="103"/>
        <v>0</v>
      </c>
      <c r="BH131" s="65">
        <f>VLOOKUP(AA131,Table1551[#All],2,FALSE)</f>
        <v>1</v>
      </c>
      <c r="BI131" s="65">
        <f t="shared" si="104"/>
        <v>0</v>
      </c>
      <c r="BJ131" s="64" t="str">
        <f t="shared" si="105"/>
        <v>0</v>
      </c>
      <c r="CK131" s="86" t="s">
        <v>76</v>
      </c>
      <c r="CL131" s="2">
        <v>1.72</v>
      </c>
      <c r="CM131" s="2">
        <f t="shared" si="106"/>
        <v>1.8920000000000001</v>
      </c>
      <c r="CN131" s="10">
        <v>2</v>
      </c>
      <c r="CO131" s="84">
        <f t="shared" si="107"/>
        <v>0</v>
      </c>
    </row>
    <row r="132" spans="1:93" ht="11.1" hidden="1" customHeight="1" x14ac:dyDescent="0.45">
      <c r="A132" s="83"/>
      <c r="B132" s="266"/>
      <c r="C132" s="267"/>
      <c r="D132" s="267"/>
      <c r="E132" s="268"/>
      <c r="F132" s="64"/>
      <c r="G132" s="64"/>
      <c r="H132" s="82"/>
      <c r="I132" s="81"/>
      <c r="J132" s="64"/>
      <c r="K132" s="80"/>
      <c r="L132" s="79">
        <f t="shared" si="81"/>
        <v>0</v>
      </c>
      <c r="M132" s="64"/>
      <c r="N132" s="64"/>
      <c r="O132" s="64"/>
      <c r="P132" s="80"/>
      <c r="Q132" s="79">
        <f t="shared" si="82"/>
        <v>0</v>
      </c>
      <c r="R132" s="269"/>
      <c r="S132" s="270"/>
      <c r="T132" s="266"/>
      <c r="U132" s="267"/>
      <c r="V132" s="267"/>
      <c r="W132" s="268"/>
      <c r="X132" s="271" t="str">
        <f>IFERROR(INDEX(Table3941[],MATCH(R132,Table3941[Film Type],),3),"")</f>
        <v/>
      </c>
      <c r="Y132" s="271"/>
      <c r="Z132" s="78" t="s">
        <v>55</v>
      </c>
      <c r="AA132" s="78" t="s">
        <v>55</v>
      </c>
      <c r="AB132" s="77"/>
      <c r="AC132" s="76"/>
      <c r="AD132" s="75">
        <f t="shared" si="83"/>
        <v>0</v>
      </c>
      <c r="AG132" s="74">
        <f t="shared" si="84"/>
        <v>0</v>
      </c>
      <c r="AK132" s="65">
        <f t="shared" si="85"/>
        <v>0</v>
      </c>
      <c r="AL132" s="65">
        <f t="shared" si="86"/>
        <v>0</v>
      </c>
      <c r="AM132" s="65">
        <f t="shared" si="87"/>
        <v>0</v>
      </c>
      <c r="AN132" s="73">
        <f t="shared" si="88"/>
        <v>0</v>
      </c>
      <c r="AO132" s="65" t="str">
        <f t="shared" si="89"/>
        <v>0.00</v>
      </c>
      <c r="AP132" s="65" t="str">
        <f t="shared" si="90"/>
        <v>0</v>
      </c>
      <c r="AQ132" s="71">
        <f t="shared" si="91"/>
        <v>0</v>
      </c>
      <c r="AR132" s="72">
        <f t="shared" si="92"/>
        <v>0</v>
      </c>
      <c r="AS132" s="71">
        <f t="shared" si="93"/>
        <v>0</v>
      </c>
      <c r="AT132" s="70">
        <f t="shared" si="94"/>
        <v>0</v>
      </c>
      <c r="AU132" s="70">
        <f t="shared" si="95"/>
        <v>0</v>
      </c>
      <c r="AV132" s="2"/>
      <c r="AW132" s="66">
        <f t="shared" si="96"/>
        <v>0</v>
      </c>
      <c r="AX132" s="68">
        <f>_xlfn.IFNA(INDEX(Table3941[I $ p/ft2],MATCH(R132,Table3941[Film Type],0)),1.75)</f>
        <v>1.75</v>
      </c>
      <c r="AY132" s="69">
        <f>VLOOKUP(Z132,Table1349[#All],2,FALSE)</f>
        <v>1</v>
      </c>
      <c r="AZ132" s="68">
        <f t="shared" si="97"/>
        <v>1.75</v>
      </c>
      <c r="BA132" s="65">
        <f t="shared" si="98"/>
        <v>0</v>
      </c>
      <c r="BB132" s="64">
        <f t="shared" si="99"/>
        <v>0</v>
      </c>
      <c r="BC132" s="67">
        <f t="shared" si="100"/>
        <v>0</v>
      </c>
      <c r="BD132" s="66">
        <f t="shared" si="101"/>
        <v>0</v>
      </c>
      <c r="BE132" s="64"/>
      <c r="BF132" s="66">
        <f t="shared" si="102"/>
        <v>0</v>
      </c>
      <c r="BG132" s="66">
        <f t="shared" si="103"/>
        <v>0</v>
      </c>
      <c r="BH132" s="65">
        <f>VLOOKUP(AA132,Table1551[#All],2,FALSE)</f>
        <v>1</v>
      </c>
      <c r="BI132" s="65">
        <f t="shared" si="104"/>
        <v>0</v>
      </c>
      <c r="BJ132" s="64" t="str">
        <f t="shared" si="105"/>
        <v>0</v>
      </c>
      <c r="CK132" s="86" t="s">
        <v>75</v>
      </c>
      <c r="CL132" s="2">
        <v>2.17</v>
      </c>
      <c r="CM132" s="2">
        <f t="shared" si="106"/>
        <v>2.387</v>
      </c>
      <c r="CN132" s="10">
        <v>2</v>
      </c>
      <c r="CO132" s="84">
        <f t="shared" si="107"/>
        <v>0</v>
      </c>
    </row>
    <row r="133" spans="1:93" ht="11.1" hidden="1" customHeight="1" x14ac:dyDescent="0.45">
      <c r="A133" s="83"/>
      <c r="B133" s="266"/>
      <c r="C133" s="267"/>
      <c r="D133" s="267"/>
      <c r="E133" s="268"/>
      <c r="F133" s="64"/>
      <c r="G133" s="64"/>
      <c r="H133" s="82"/>
      <c r="I133" s="81"/>
      <c r="J133" s="64"/>
      <c r="K133" s="80"/>
      <c r="L133" s="79">
        <f t="shared" si="81"/>
        <v>0</v>
      </c>
      <c r="M133" s="64"/>
      <c r="N133" s="64"/>
      <c r="O133" s="64"/>
      <c r="P133" s="80"/>
      <c r="Q133" s="79">
        <f t="shared" si="82"/>
        <v>0</v>
      </c>
      <c r="R133" s="269"/>
      <c r="S133" s="270"/>
      <c r="T133" s="266"/>
      <c r="U133" s="267"/>
      <c r="V133" s="267"/>
      <c r="W133" s="268"/>
      <c r="X133" s="271" t="str">
        <f>IFERROR(INDEX(Table3941[],MATCH(R133,Table3941[Film Type],),3),"")</f>
        <v/>
      </c>
      <c r="Y133" s="271"/>
      <c r="Z133" s="78" t="s">
        <v>55</v>
      </c>
      <c r="AA133" s="78" t="s">
        <v>55</v>
      </c>
      <c r="AB133" s="77"/>
      <c r="AC133" s="76"/>
      <c r="AD133" s="75">
        <f t="shared" si="83"/>
        <v>0</v>
      </c>
      <c r="AG133" s="74">
        <f t="shared" si="84"/>
        <v>0</v>
      </c>
      <c r="AK133" s="65">
        <f t="shared" si="85"/>
        <v>0</v>
      </c>
      <c r="AL133" s="65">
        <f t="shared" si="86"/>
        <v>0</v>
      </c>
      <c r="AM133" s="65">
        <f t="shared" si="87"/>
        <v>0</v>
      </c>
      <c r="AN133" s="73">
        <f t="shared" si="88"/>
        <v>0</v>
      </c>
      <c r="AO133" s="65" t="str">
        <f t="shared" si="89"/>
        <v>0.00</v>
      </c>
      <c r="AP133" s="65" t="str">
        <f t="shared" si="90"/>
        <v>0</v>
      </c>
      <c r="AQ133" s="71">
        <f t="shared" si="91"/>
        <v>0</v>
      </c>
      <c r="AR133" s="72">
        <f t="shared" si="92"/>
        <v>0</v>
      </c>
      <c r="AS133" s="71">
        <f t="shared" si="93"/>
        <v>0</v>
      </c>
      <c r="AT133" s="70">
        <f t="shared" si="94"/>
        <v>0</v>
      </c>
      <c r="AU133" s="70">
        <f t="shared" si="95"/>
        <v>0</v>
      </c>
      <c r="AV133" s="2"/>
      <c r="AW133" s="66">
        <f t="shared" si="96"/>
        <v>0</v>
      </c>
      <c r="AX133" s="68">
        <f>_xlfn.IFNA(INDEX(Table3941[I $ p/ft2],MATCH(R133,Table3941[Film Type],0)),1.75)</f>
        <v>1.75</v>
      </c>
      <c r="AY133" s="69">
        <f>VLOOKUP(Z133,Table1349[#All],2,FALSE)</f>
        <v>1</v>
      </c>
      <c r="AZ133" s="68">
        <f t="shared" si="97"/>
        <v>1.75</v>
      </c>
      <c r="BA133" s="65">
        <f t="shared" si="98"/>
        <v>0</v>
      </c>
      <c r="BB133" s="64">
        <f t="shared" si="99"/>
        <v>0</v>
      </c>
      <c r="BC133" s="67">
        <f t="shared" si="100"/>
        <v>0</v>
      </c>
      <c r="BD133" s="66">
        <f t="shared" si="101"/>
        <v>0</v>
      </c>
      <c r="BE133" s="64"/>
      <c r="BF133" s="66">
        <f t="shared" si="102"/>
        <v>0</v>
      </c>
      <c r="BG133" s="66">
        <f t="shared" si="103"/>
        <v>0</v>
      </c>
      <c r="BH133" s="65">
        <f>VLOOKUP(AA133,Table1551[#All],2,FALSE)</f>
        <v>1</v>
      </c>
      <c r="BI133" s="65">
        <f t="shared" si="104"/>
        <v>0</v>
      </c>
      <c r="BJ133" s="64" t="str">
        <f t="shared" si="105"/>
        <v>0</v>
      </c>
      <c r="CK133" s="86" t="s">
        <v>74</v>
      </c>
      <c r="CL133" s="2">
        <v>1.1100000000000001</v>
      </c>
      <c r="CM133" s="2">
        <f t="shared" si="106"/>
        <v>1.2210000000000003</v>
      </c>
      <c r="CN133" s="10">
        <v>2</v>
      </c>
      <c r="CO133" s="84">
        <f t="shared" si="107"/>
        <v>0</v>
      </c>
    </row>
    <row r="134" spans="1:93" ht="11.1" hidden="1" customHeight="1" x14ac:dyDescent="0.45">
      <c r="A134" s="83"/>
      <c r="B134" s="266"/>
      <c r="C134" s="267"/>
      <c r="D134" s="267"/>
      <c r="E134" s="268"/>
      <c r="F134" s="64"/>
      <c r="G134" s="64"/>
      <c r="H134" s="82"/>
      <c r="I134" s="81"/>
      <c r="J134" s="64"/>
      <c r="K134" s="80"/>
      <c r="L134" s="79">
        <f t="shared" si="81"/>
        <v>0</v>
      </c>
      <c r="M134" s="64"/>
      <c r="N134" s="64"/>
      <c r="O134" s="64"/>
      <c r="P134" s="80"/>
      <c r="Q134" s="79">
        <f t="shared" si="82"/>
        <v>0</v>
      </c>
      <c r="R134" s="269"/>
      <c r="S134" s="270"/>
      <c r="T134" s="266"/>
      <c r="U134" s="267"/>
      <c r="V134" s="267"/>
      <c r="W134" s="268"/>
      <c r="X134" s="271" t="str">
        <f>IFERROR(INDEX(Table3941[],MATCH(R134,Table3941[Film Type],),3),"")</f>
        <v/>
      </c>
      <c r="Y134" s="271"/>
      <c r="Z134" s="78" t="s">
        <v>55</v>
      </c>
      <c r="AA134" s="78" t="s">
        <v>55</v>
      </c>
      <c r="AB134" s="77"/>
      <c r="AC134" s="76"/>
      <c r="AD134" s="75">
        <f t="shared" si="83"/>
        <v>0</v>
      </c>
      <c r="AG134" s="74">
        <f t="shared" si="84"/>
        <v>0</v>
      </c>
      <c r="AK134" s="65">
        <f t="shared" si="85"/>
        <v>0</v>
      </c>
      <c r="AL134" s="65">
        <f t="shared" si="86"/>
        <v>0</v>
      </c>
      <c r="AM134" s="65">
        <f t="shared" si="87"/>
        <v>0</v>
      </c>
      <c r="AN134" s="73">
        <f t="shared" si="88"/>
        <v>0</v>
      </c>
      <c r="AO134" s="65" t="str">
        <f t="shared" si="89"/>
        <v>0.00</v>
      </c>
      <c r="AP134" s="65" t="str">
        <f t="shared" si="90"/>
        <v>0</v>
      </c>
      <c r="AQ134" s="71">
        <f t="shared" si="91"/>
        <v>0</v>
      </c>
      <c r="AR134" s="72">
        <f t="shared" si="92"/>
        <v>0</v>
      </c>
      <c r="AS134" s="71">
        <f t="shared" si="93"/>
        <v>0</v>
      </c>
      <c r="AT134" s="70">
        <f t="shared" si="94"/>
        <v>0</v>
      </c>
      <c r="AU134" s="70">
        <f t="shared" si="95"/>
        <v>0</v>
      </c>
      <c r="AV134" s="2"/>
      <c r="AW134" s="66">
        <f t="shared" si="96"/>
        <v>0</v>
      </c>
      <c r="AX134" s="68">
        <f>_xlfn.IFNA(INDEX(Table3941[I $ p/ft2],MATCH(R134,Table3941[Film Type],0)),1.75)</f>
        <v>1.75</v>
      </c>
      <c r="AY134" s="69">
        <f>VLOOKUP(Z134,Table1349[#All],2,FALSE)</f>
        <v>1</v>
      </c>
      <c r="AZ134" s="68">
        <f t="shared" si="97"/>
        <v>1.75</v>
      </c>
      <c r="BA134" s="65">
        <f t="shared" si="98"/>
        <v>0</v>
      </c>
      <c r="BB134" s="64">
        <f t="shared" si="99"/>
        <v>0</v>
      </c>
      <c r="BC134" s="67">
        <f t="shared" si="100"/>
        <v>0</v>
      </c>
      <c r="BD134" s="66">
        <f t="shared" si="101"/>
        <v>0</v>
      </c>
      <c r="BE134" s="64"/>
      <c r="BF134" s="66">
        <f t="shared" si="102"/>
        <v>0</v>
      </c>
      <c r="BG134" s="66">
        <f t="shared" si="103"/>
        <v>0</v>
      </c>
      <c r="BH134" s="65">
        <f>VLOOKUP(AA134,Table1551[#All],2,FALSE)</f>
        <v>1</v>
      </c>
      <c r="BI134" s="65">
        <f t="shared" si="104"/>
        <v>0</v>
      </c>
      <c r="BJ134" s="64" t="str">
        <f t="shared" si="105"/>
        <v>0</v>
      </c>
      <c r="CK134" s="86" t="s">
        <v>73</v>
      </c>
      <c r="CL134" s="2">
        <v>1.49</v>
      </c>
      <c r="CM134" s="2">
        <f t="shared" si="106"/>
        <v>1.639</v>
      </c>
      <c r="CN134" s="10">
        <v>2</v>
      </c>
      <c r="CO134" s="84">
        <f t="shared" si="107"/>
        <v>0</v>
      </c>
    </row>
    <row r="135" spans="1:93" ht="11.1" hidden="1" customHeight="1" x14ac:dyDescent="0.45">
      <c r="A135" s="83"/>
      <c r="B135" s="266"/>
      <c r="C135" s="267"/>
      <c r="D135" s="267"/>
      <c r="E135" s="268"/>
      <c r="F135" s="64"/>
      <c r="G135" s="64"/>
      <c r="H135" s="82"/>
      <c r="I135" s="81"/>
      <c r="J135" s="64"/>
      <c r="K135" s="80"/>
      <c r="L135" s="79">
        <f t="shared" ref="L135:L157" si="108">(I135*J135*K135)/144</f>
        <v>0</v>
      </c>
      <c r="M135" s="64"/>
      <c r="N135" s="64"/>
      <c r="O135" s="64"/>
      <c r="P135" s="80"/>
      <c r="Q135" s="79">
        <f t="shared" ref="Q135:Q157" si="109">IF(P135&lt;&gt;"",M135*O135*P135/144,L135*(1+$Q$5))</f>
        <v>0</v>
      </c>
      <c r="R135" s="269"/>
      <c r="S135" s="270"/>
      <c r="T135" s="266"/>
      <c r="U135" s="267"/>
      <c r="V135" s="267"/>
      <c r="W135" s="268"/>
      <c r="X135" s="271" t="str">
        <f>IFERROR(INDEX(Table3941[],MATCH(R135,Table3941[Film Type],),3),"")</f>
        <v/>
      </c>
      <c r="Y135" s="271"/>
      <c r="Z135" s="78" t="s">
        <v>55</v>
      </c>
      <c r="AA135" s="78" t="s">
        <v>55</v>
      </c>
      <c r="AB135" s="77"/>
      <c r="AC135" s="76"/>
      <c r="AD135" s="75">
        <f t="shared" ref="AD135:AD157" si="110">SUM(AT135+AU135)</f>
        <v>0</v>
      </c>
      <c r="AG135" s="74">
        <f t="shared" ref="AG135:AG157" si="111">(((I135*2)+(J135*2))*K135)/12</f>
        <v>0</v>
      </c>
      <c r="AK135" s="65">
        <f t="shared" ref="AK135:AK157" si="112">IFERROR((Q135*X135),0)</f>
        <v>0</v>
      </c>
      <c r="AL135" s="65">
        <f t="shared" ref="AL135:AL157" si="113">IFERROR((AW135/$B$158)*$X$4,0)</f>
        <v>0</v>
      </c>
      <c r="AM135" s="65">
        <f t="shared" ref="AM135:AM157" si="114">BA135+BI135+BC135</f>
        <v>0</v>
      </c>
      <c r="AN135" s="73">
        <f t="shared" ref="AN135:AN157" si="115">IFERROR((AW135/$B$158)*(($AB$4*$AI$7)+($AC$2*$AI$7)),0)</f>
        <v>0</v>
      </c>
      <c r="AO135" s="65" t="str">
        <f t="shared" ref="AO135:AO157" si="116">IF(AND($X$2="Yes", $Z$2="No"), ((AM135+AN135)*0.25),"0.00")</f>
        <v>0.00</v>
      </c>
      <c r="AP135" s="65" t="str">
        <f t="shared" ref="AP135:AP157" si="117">IF($Z$2="No","0", (((AN135/$AI$7)+BD135+BG135)*$AI$13)-(AN135+BA135+BC135+BI135))</f>
        <v>0</v>
      </c>
      <c r="AQ135" s="71">
        <f t="shared" ref="AQ135:AQ157" si="118">(BD135+BG135)*$AI$10</f>
        <v>0</v>
      </c>
      <c r="AR135" s="72">
        <f t="shared" ref="AR135:AR157" si="119">AD135*$AB$163</f>
        <v>0</v>
      </c>
      <c r="AS135" s="71">
        <f t="shared" ref="AS135:AS157" si="120">AD135-AT135-AR135-AQ135</f>
        <v>0</v>
      </c>
      <c r="AT135" s="70">
        <f t="shared" ref="AT135:AT157" si="121">SUM(AK135+AL135+AM135+AN135+AO135+AP135)</f>
        <v>0</v>
      </c>
      <c r="AU135" s="70">
        <f t="shared" ref="AU135:AU157" si="122">AT135*$AB$167</f>
        <v>0</v>
      </c>
      <c r="AV135" s="2"/>
      <c r="AW135" s="66">
        <f t="shared" ref="AW135:AW157" si="123">IF(R135="removal only",0,((I135*J135*K135)/144))</f>
        <v>0</v>
      </c>
      <c r="AX135" s="68">
        <f>_xlfn.IFNA(INDEX(Table3941[I $ p/ft2],MATCH(R135,Table3941[Film Type],0)),1.75)</f>
        <v>1.75</v>
      </c>
      <c r="AY135" s="69">
        <f>VLOOKUP(Z135,Table1349[#All],2,FALSE)</f>
        <v>1</v>
      </c>
      <c r="AZ135" s="68">
        <f t="shared" ref="AZ135:AZ157" si="124">AX135*AY135</f>
        <v>1.75</v>
      </c>
      <c r="BA135" s="65">
        <f t="shared" ref="BA135:BA157" si="125">IF(R135="removal only",0,(AW135*AZ135))</f>
        <v>0</v>
      </c>
      <c r="BB135" s="64">
        <f t="shared" ref="BB135:BB157" si="126">IF(R135="removal only",0,K135)</f>
        <v>0</v>
      </c>
      <c r="BC135" s="67">
        <f t="shared" ref="BC135:BC157" si="127">(AB135/60)*$AI$7</f>
        <v>0</v>
      </c>
      <c r="BD135" s="66">
        <f t="shared" ref="BD135:BD157" si="128">IF(R135="removal only",0,(BA135+BC135)/$AI$7)</f>
        <v>0</v>
      </c>
      <c r="BE135" s="64"/>
      <c r="BF135" s="66">
        <f t="shared" ref="BF135:BF157" si="129">IF(H135="Yes",((I135*J135*K135)/144),0)</f>
        <v>0</v>
      </c>
      <c r="BG135" s="66">
        <f t="shared" ref="BG135:BG157" si="130">IF(BF135="0",0,BI135/$AI$7)</f>
        <v>0</v>
      </c>
      <c r="BH135" s="65">
        <f>VLOOKUP(AA135,Table1551[#All],2,FALSE)</f>
        <v>1</v>
      </c>
      <c r="BI135" s="65">
        <f t="shared" ref="BI135:BI157" si="131">IF(H135="Yes",BF135*BH135,0)</f>
        <v>0</v>
      </c>
      <c r="BJ135" s="64" t="str">
        <f t="shared" ref="BJ135:BJ157" si="132">IF(H135="Yes",K135,"0")</f>
        <v>0</v>
      </c>
      <c r="CK135" s="86" t="s">
        <v>72</v>
      </c>
      <c r="CL135" s="2">
        <v>1.37</v>
      </c>
      <c r="CM135" s="2">
        <f t="shared" ref="CM135:CM154" si="133">CL135*1.1</f>
        <v>1.5070000000000003</v>
      </c>
      <c r="CN135" s="10">
        <v>2</v>
      </c>
      <c r="CO135" s="84">
        <f t="shared" ref="CO135:CO154" si="134">ROUNDUP(MAX((P135*O135)/12)*(K135*J135)/12,0)</f>
        <v>0</v>
      </c>
    </row>
    <row r="136" spans="1:93" ht="11.1" hidden="1" customHeight="1" x14ac:dyDescent="0.45">
      <c r="A136" s="83"/>
      <c r="B136" s="266"/>
      <c r="C136" s="267"/>
      <c r="D136" s="267"/>
      <c r="E136" s="268"/>
      <c r="F136" s="64"/>
      <c r="G136" s="64"/>
      <c r="H136" s="82"/>
      <c r="I136" s="81"/>
      <c r="J136" s="64"/>
      <c r="K136" s="80"/>
      <c r="L136" s="79">
        <f t="shared" si="108"/>
        <v>0</v>
      </c>
      <c r="M136" s="64"/>
      <c r="N136" s="64"/>
      <c r="O136" s="64"/>
      <c r="P136" s="80"/>
      <c r="Q136" s="79">
        <f t="shared" si="109"/>
        <v>0</v>
      </c>
      <c r="R136" s="269"/>
      <c r="S136" s="270"/>
      <c r="T136" s="266"/>
      <c r="U136" s="267"/>
      <c r="V136" s="267"/>
      <c r="W136" s="268"/>
      <c r="X136" s="271" t="str">
        <f>IFERROR(INDEX(Table3941[],MATCH(R136,Table3941[Film Type],),3),"")</f>
        <v/>
      </c>
      <c r="Y136" s="271"/>
      <c r="Z136" s="78" t="s">
        <v>55</v>
      </c>
      <c r="AA136" s="78" t="s">
        <v>55</v>
      </c>
      <c r="AB136" s="77"/>
      <c r="AC136" s="76"/>
      <c r="AD136" s="75">
        <f t="shared" si="110"/>
        <v>0</v>
      </c>
      <c r="AG136" s="74">
        <f t="shared" si="111"/>
        <v>0</v>
      </c>
      <c r="AK136" s="65">
        <f t="shared" si="112"/>
        <v>0</v>
      </c>
      <c r="AL136" s="65">
        <f t="shared" si="113"/>
        <v>0</v>
      </c>
      <c r="AM136" s="65">
        <f t="shared" si="114"/>
        <v>0</v>
      </c>
      <c r="AN136" s="73">
        <f t="shared" si="115"/>
        <v>0</v>
      </c>
      <c r="AO136" s="65" t="str">
        <f t="shared" si="116"/>
        <v>0.00</v>
      </c>
      <c r="AP136" s="65" t="str">
        <f t="shared" si="117"/>
        <v>0</v>
      </c>
      <c r="AQ136" s="71">
        <f t="shared" si="118"/>
        <v>0</v>
      </c>
      <c r="AR136" s="72">
        <f t="shared" si="119"/>
        <v>0</v>
      </c>
      <c r="AS136" s="71">
        <f t="shared" si="120"/>
        <v>0</v>
      </c>
      <c r="AT136" s="70">
        <f t="shared" si="121"/>
        <v>0</v>
      </c>
      <c r="AU136" s="70">
        <f t="shared" si="122"/>
        <v>0</v>
      </c>
      <c r="AV136" s="2"/>
      <c r="AW136" s="66">
        <f t="shared" si="123"/>
        <v>0</v>
      </c>
      <c r="AX136" s="68">
        <f>_xlfn.IFNA(INDEX(Table3941[I $ p/ft2],MATCH(R136,Table3941[Film Type],0)),1.75)</f>
        <v>1.75</v>
      </c>
      <c r="AY136" s="69">
        <f>VLOOKUP(Z136,Table1349[#All],2,FALSE)</f>
        <v>1</v>
      </c>
      <c r="AZ136" s="68">
        <f t="shared" si="124"/>
        <v>1.75</v>
      </c>
      <c r="BA136" s="65">
        <f t="shared" si="125"/>
        <v>0</v>
      </c>
      <c r="BB136" s="64">
        <f t="shared" si="126"/>
        <v>0</v>
      </c>
      <c r="BC136" s="67">
        <f t="shared" si="127"/>
        <v>0</v>
      </c>
      <c r="BD136" s="66">
        <f t="shared" si="128"/>
        <v>0</v>
      </c>
      <c r="BE136" s="64"/>
      <c r="BF136" s="66">
        <f t="shared" si="129"/>
        <v>0</v>
      </c>
      <c r="BG136" s="66">
        <f t="shared" si="130"/>
        <v>0</v>
      </c>
      <c r="BH136" s="65">
        <f>VLOOKUP(AA136,Table1551[#All],2,FALSE)</f>
        <v>1</v>
      </c>
      <c r="BI136" s="65">
        <f t="shared" si="131"/>
        <v>0</v>
      </c>
      <c r="BJ136" s="64" t="str">
        <f t="shared" si="132"/>
        <v>0</v>
      </c>
      <c r="CK136" s="86"/>
      <c r="CM136" s="2">
        <f t="shared" si="133"/>
        <v>0</v>
      </c>
      <c r="CN136" s="10"/>
      <c r="CO136" s="84">
        <f t="shared" si="134"/>
        <v>0</v>
      </c>
    </row>
    <row r="137" spans="1:93" ht="11.1" hidden="1" customHeight="1" x14ac:dyDescent="0.45">
      <c r="A137" s="83"/>
      <c r="B137" s="266"/>
      <c r="C137" s="267"/>
      <c r="D137" s="267"/>
      <c r="E137" s="268"/>
      <c r="F137" s="64"/>
      <c r="G137" s="64"/>
      <c r="H137" s="82"/>
      <c r="I137" s="81"/>
      <c r="J137" s="64"/>
      <c r="K137" s="80"/>
      <c r="L137" s="79">
        <f t="shared" si="108"/>
        <v>0</v>
      </c>
      <c r="M137" s="64"/>
      <c r="N137" s="64"/>
      <c r="O137" s="64"/>
      <c r="P137" s="80"/>
      <c r="Q137" s="79">
        <f t="shared" si="109"/>
        <v>0</v>
      </c>
      <c r="R137" s="269"/>
      <c r="S137" s="270"/>
      <c r="T137" s="266"/>
      <c r="U137" s="267"/>
      <c r="V137" s="267"/>
      <c r="W137" s="268"/>
      <c r="X137" s="271" t="str">
        <f>IFERROR(INDEX(Table3941[],MATCH(R137,Table3941[Film Type],),3),"")</f>
        <v/>
      </c>
      <c r="Y137" s="271"/>
      <c r="Z137" s="78" t="s">
        <v>55</v>
      </c>
      <c r="AA137" s="78" t="s">
        <v>55</v>
      </c>
      <c r="AB137" s="77"/>
      <c r="AC137" s="76"/>
      <c r="AD137" s="75">
        <f t="shared" si="110"/>
        <v>0</v>
      </c>
      <c r="AG137" s="74">
        <f t="shared" si="111"/>
        <v>0</v>
      </c>
      <c r="AK137" s="65">
        <f t="shared" si="112"/>
        <v>0</v>
      </c>
      <c r="AL137" s="65">
        <f t="shared" si="113"/>
        <v>0</v>
      </c>
      <c r="AM137" s="65">
        <f t="shared" si="114"/>
        <v>0</v>
      </c>
      <c r="AN137" s="73">
        <f t="shared" si="115"/>
        <v>0</v>
      </c>
      <c r="AO137" s="65" t="str">
        <f t="shared" si="116"/>
        <v>0.00</v>
      </c>
      <c r="AP137" s="65" t="str">
        <f t="shared" si="117"/>
        <v>0</v>
      </c>
      <c r="AQ137" s="71">
        <f t="shared" si="118"/>
        <v>0</v>
      </c>
      <c r="AR137" s="72">
        <f t="shared" si="119"/>
        <v>0</v>
      </c>
      <c r="AS137" s="71">
        <f t="shared" si="120"/>
        <v>0</v>
      </c>
      <c r="AT137" s="70">
        <f t="shared" si="121"/>
        <v>0</v>
      </c>
      <c r="AU137" s="70">
        <f t="shared" si="122"/>
        <v>0</v>
      </c>
      <c r="AV137" s="2"/>
      <c r="AW137" s="66">
        <f t="shared" si="123"/>
        <v>0</v>
      </c>
      <c r="AX137" s="68">
        <f>_xlfn.IFNA(INDEX(Table3941[I $ p/ft2],MATCH(R137,Table3941[Film Type],0)),1.75)</f>
        <v>1.75</v>
      </c>
      <c r="AY137" s="69">
        <f>VLOOKUP(Z137,Table1349[#All],2,FALSE)</f>
        <v>1</v>
      </c>
      <c r="AZ137" s="68">
        <f t="shared" si="124"/>
        <v>1.75</v>
      </c>
      <c r="BA137" s="65">
        <f t="shared" si="125"/>
        <v>0</v>
      </c>
      <c r="BB137" s="64">
        <f t="shared" si="126"/>
        <v>0</v>
      </c>
      <c r="BC137" s="67">
        <f t="shared" si="127"/>
        <v>0</v>
      </c>
      <c r="BD137" s="66">
        <f t="shared" si="128"/>
        <v>0</v>
      </c>
      <c r="BE137" s="64"/>
      <c r="BF137" s="66">
        <f t="shared" si="129"/>
        <v>0</v>
      </c>
      <c r="BG137" s="66">
        <f t="shared" si="130"/>
        <v>0</v>
      </c>
      <c r="BH137" s="65">
        <f>VLOOKUP(AA137,Table1551[#All],2,FALSE)</f>
        <v>1</v>
      </c>
      <c r="BI137" s="65">
        <f t="shared" si="131"/>
        <v>0</v>
      </c>
      <c r="BJ137" s="64" t="str">
        <f t="shared" si="132"/>
        <v>0</v>
      </c>
      <c r="CK137" s="86" t="s">
        <v>71</v>
      </c>
      <c r="CL137" s="2">
        <v>5.64</v>
      </c>
      <c r="CM137" s="2">
        <f t="shared" si="133"/>
        <v>6.2039999999999997</v>
      </c>
      <c r="CN137" s="10">
        <v>1.5</v>
      </c>
      <c r="CO137" s="84">
        <f t="shared" si="134"/>
        <v>0</v>
      </c>
    </row>
    <row r="138" spans="1:93" ht="11.1" hidden="1" customHeight="1" x14ac:dyDescent="0.45">
      <c r="A138" s="83"/>
      <c r="B138" s="266"/>
      <c r="C138" s="267"/>
      <c r="D138" s="267"/>
      <c r="E138" s="268"/>
      <c r="F138" s="64"/>
      <c r="G138" s="64"/>
      <c r="H138" s="82"/>
      <c r="I138" s="81"/>
      <c r="J138" s="64"/>
      <c r="K138" s="80"/>
      <c r="L138" s="79">
        <f t="shared" si="108"/>
        <v>0</v>
      </c>
      <c r="M138" s="64"/>
      <c r="N138" s="64"/>
      <c r="O138" s="64"/>
      <c r="P138" s="80"/>
      <c r="Q138" s="79">
        <f t="shared" si="109"/>
        <v>0</v>
      </c>
      <c r="R138" s="269"/>
      <c r="S138" s="270"/>
      <c r="T138" s="266"/>
      <c r="U138" s="267"/>
      <c r="V138" s="267"/>
      <c r="W138" s="268"/>
      <c r="X138" s="271" t="str">
        <f>IFERROR(INDEX(Table3941[],MATCH(R138,Table3941[Film Type],),3),"")</f>
        <v/>
      </c>
      <c r="Y138" s="271"/>
      <c r="Z138" s="78" t="s">
        <v>55</v>
      </c>
      <c r="AA138" s="78" t="s">
        <v>55</v>
      </c>
      <c r="AB138" s="77"/>
      <c r="AC138" s="76"/>
      <c r="AD138" s="75">
        <f t="shared" si="110"/>
        <v>0</v>
      </c>
      <c r="AG138" s="74">
        <f t="shared" si="111"/>
        <v>0</v>
      </c>
      <c r="AK138" s="65">
        <f t="shared" si="112"/>
        <v>0</v>
      </c>
      <c r="AL138" s="65">
        <f t="shared" si="113"/>
        <v>0</v>
      </c>
      <c r="AM138" s="65">
        <f t="shared" si="114"/>
        <v>0</v>
      </c>
      <c r="AN138" s="73">
        <f t="shared" si="115"/>
        <v>0</v>
      </c>
      <c r="AO138" s="65" t="str">
        <f t="shared" si="116"/>
        <v>0.00</v>
      </c>
      <c r="AP138" s="65" t="str">
        <f t="shared" si="117"/>
        <v>0</v>
      </c>
      <c r="AQ138" s="71">
        <f t="shared" si="118"/>
        <v>0</v>
      </c>
      <c r="AR138" s="72">
        <f t="shared" si="119"/>
        <v>0</v>
      </c>
      <c r="AS138" s="71">
        <f t="shared" si="120"/>
        <v>0</v>
      </c>
      <c r="AT138" s="70">
        <f t="shared" si="121"/>
        <v>0</v>
      </c>
      <c r="AU138" s="70">
        <f t="shared" si="122"/>
        <v>0</v>
      </c>
      <c r="AV138" s="2"/>
      <c r="AW138" s="66">
        <f t="shared" si="123"/>
        <v>0</v>
      </c>
      <c r="AX138" s="68">
        <f>_xlfn.IFNA(INDEX(Table3941[I $ p/ft2],MATCH(R138,Table3941[Film Type],0)),1.75)</f>
        <v>1.75</v>
      </c>
      <c r="AY138" s="69">
        <f>VLOOKUP(Z138,Table1349[#All],2,FALSE)</f>
        <v>1</v>
      </c>
      <c r="AZ138" s="68">
        <f t="shared" si="124"/>
        <v>1.75</v>
      </c>
      <c r="BA138" s="65">
        <f t="shared" si="125"/>
        <v>0</v>
      </c>
      <c r="BB138" s="64">
        <f t="shared" si="126"/>
        <v>0</v>
      </c>
      <c r="BC138" s="67">
        <f t="shared" si="127"/>
        <v>0</v>
      </c>
      <c r="BD138" s="66">
        <f t="shared" si="128"/>
        <v>0</v>
      </c>
      <c r="BE138" s="64"/>
      <c r="BF138" s="66">
        <f t="shared" si="129"/>
        <v>0</v>
      </c>
      <c r="BG138" s="66">
        <f t="shared" si="130"/>
        <v>0</v>
      </c>
      <c r="BH138" s="65">
        <f>VLOOKUP(AA138,Table1551[#All],2,FALSE)</f>
        <v>1</v>
      </c>
      <c r="BI138" s="65">
        <f t="shared" si="131"/>
        <v>0</v>
      </c>
      <c r="BJ138" s="64" t="str">
        <f t="shared" si="132"/>
        <v>0</v>
      </c>
      <c r="CK138" s="86" t="s">
        <v>70</v>
      </c>
      <c r="CL138" s="2">
        <v>6.87</v>
      </c>
      <c r="CM138" s="2">
        <f t="shared" si="133"/>
        <v>7.5570000000000004</v>
      </c>
      <c r="CN138" s="10">
        <v>1.5</v>
      </c>
      <c r="CO138" s="84">
        <f t="shared" si="134"/>
        <v>0</v>
      </c>
    </row>
    <row r="139" spans="1:93" ht="11.1" hidden="1" customHeight="1" x14ac:dyDescent="0.45">
      <c r="A139" s="83"/>
      <c r="B139" s="266"/>
      <c r="C139" s="267"/>
      <c r="D139" s="267"/>
      <c r="E139" s="268"/>
      <c r="F139" s="64"/>
      <c r="G139" s="64"/>
      <c r="H139" s="82"/>
      <c r="I139" s="81"/>
      <c r="J139" s="64"/>
      <c r="K139" s="80"/>
      <c r="L139" s="79">
        <f t="shared" si="108"/>
        <v>0</v>
      </c>
      <c r="M139" s="64"/>
      <c r="N139" s="64"/>
      <c r="O139" s="64"/>
      <c r="P139" s="80"/>
      <c r="Q139" s="79">
        <f t="shared" si="109"/>
        <v>0</v>
      </c>
      <c r="R139" s="269"/>
      <c r="S139" s="270"/>
      <c r="T139" s="266"/>
      <c r="U139" s="267"/>
      <c r="V139" s="267"/>
      <c r="W139" s="268"/>
      <c r="X139" s="271" t="str">
        <f>IFERROR(INDEX(Table3941[],MATCH(R139,Table3941[Film Type],),3),"")</f>
        <v/>
      </c>
      <c r="Y139" s="271"/>
      <c r="Z139" s="78" t="s">
        <v>55</v>
      </c>
      <c r="AA139" s="78" t="s">
        <v>55</v>
      </c>
      <c r="AB139" s="77"/>
      <c r="AC139" s="76"/>
      <c r="AD139" s="75">
        <f t="shared" si="110"/>
        <v>0</v>
      </c>
      <c r="AG139" s="74">
        <f t="shared" si="111"/>
        <v>0</v>
      </c>
      <c r="AK139" s="65">
        <f t="shared" si="112"/>
        <v>0</v>
      </c>
      <c r="AL139" s="65">
        <f t="shared" si="113"/>
        <v>0</v>
      </c>
      <c r="AM139" s="65">
        <f t="shared" si="114"/>
        <v>0</v>
      </c>
      <c r="AN139" s="73">
        <f t="shared" si="115"/>
        <v>0</v>
      </c>
      <c r="AO139" s="65" t="str">
        <f t="shared" si="116"/>
        <v>0.00</v>
      </c>
      <c r="AP139" s="65" t="str">
        <f t="shared" si="117"/>
        <v>0</v>
      </c>
      <c r="AQ139" s="71">
        <f t="shared" si="118"/>
        <v>0</v>
      </c>
      <c r="AR139" s="72">
        <f t="shared" si="119"/>
        <v>0</v>
      </c>
      <c r="AS139" s="71">
        <f t="shared" si="120"/>
        <v>0</v>
      </c>
      <c r="AT139" s="70">
        <f t="shared" si="121"/>
        <v>0</v>
      </c>
      <c r="AU139" s="70">
        <f t="shared" si="122"/>
        <v>0</v>
      </c>
      <c r="AV139" s="2"/>
      <c r="AW139" s="66">
        <f t="shared" si="123"/>
        <v>0</v>
      </c>
      <c r="AX139" s="68">
        <f>_xlfn.IFNA(INDEX(Table3941[I $ p/ft2],MATCH(R139,Table3941[Film Type],0)),1.75)</f>
        <v>1.75</v>
      </c>
      <c r="AY139" s="69">
        <f>VLOOKUP(Z139,Table1349[#All],2,FALSE)</f>
        <v>1</v>
      </c>
      <c r="AZ139" s="68">
        <f t="shared" si="124"/>
        <v>1.75</v>
      </c>
      <c r="BA139" s="65">
        <f t="shared" si="125"/>
        <v>0</v>
      </c>
      <c r="BB139" s="64">
        <f t="shared" si="126"/>
        <v>0</v>
      </c>
      <c r="BC139" s="67">
        <f t="shared" si="127"/>
        <v>0</v>
      </c>
      <c r="BD139" s="66">
        <f t="shared" si="128"/>
        <v>0</v>
      </c>
      <c r="BE139" s="64"/>
      <c r="BF139" s="66">
        <f t="shared" si="129"/>
        <v>0</v>
      </c>
      <c r="BG139" s="66">
        <f t="shared" si="130"/>
        <v>0</v>
      </c>
      <c r="BH139" s="65">
        <f>VLOOKUP(AA139,Table1551[#All],2,FALSE)</f>
        <v>1</v>
      </c>
      <c r="BI139" s="65">
        <f t="shared" si="131"/>
        <v>0</v>
      </c>
      <c r="BJ139" s="64" t="str">
        <f t="shared" si="132"/>
        <v>0</v>
      </c>
      <c r="CK139" s="86" t="s">
        <v>69</v>
      </c>
      <c r="CL139" s="2">
        <v>4.53</v>
      </c>
      <c r="CM139" s="2">
        <f t="shared" si="133"/>
        <v>4.9830000000000005</v>
      </c>
      <c r="CN139" s="10">
        <v>1.5</v>
      </c>
      <c r="CO139" s="84">
        <f t="shared" si="134"/>
        <v>0</v>
      </c>
    </row>
    <row r="140" spans="1:93" ht="11.1" hidden="1" customHeight="1" x14ac:dyDescent="0.45">
      <c r="A140" s="83"/>
      <c r="B140" s="266"/>
      <c r="C140" s="267"/>
      <c r="D140" s="267"/>
      <c r="E140" s="268"/>
      <c r="F140" s="157"/>
      <c r="G140" s="157"/>
      <c r="H140" s="158"/>
      <c r="I140" s="159"/>
      <c r="J140" s="157"/>
      <c r="K140" s="160"/>
      <c r="L140" s="79">
        <f t="shared" ref="L140:L149" si="135">(I140*J140*K140)/144</f>
        <v>0</v>
      </c>
      <c r="M140" s="64"/>
      <c r="N140" s="64"/>
      <c r="O140" s="64"/>
      <c r="P140" s="80"/>
      <c r="Q140" s="79">
        <f t="shared" si="109"/>
        <v>0</v>
      </c>
      <c r="R140" s="269"/>
      <c r="S140" s="270"/>
      <c r="T140" s="266"/>
      <c r="U140" s="267"/>
      <c r="V140" s="267"/>
      <c r="W140" s="268"/>
      <c r="X140" s="271" t="str">
        <f>IFERROR(INDEX(Table3941[],MATCH(R140,Table3941[Film Type],),3),"")</f>
        <v/>
      </c>
      <c r="Y140" s="271"/>
      <c r="Z140" s="78" t="s">
        <v>55</v>
      </c>
      <c r="AA140" s="78" t="s">
        <v>55</v>
      </c>
      <c r="AB140" s="77"/>
      <c r="AC140" s="76"/>
      <c r="AD140" s="75">
        <f t="shared" si="110"/>
        <v>0</v>
      </c>
      <c r="AG140" s="74">
        <f t="shared" ref="AG140:AG149" si="136">(((I140*2)+(J140*2))*K140)/12</f>
        <v>0</v>
      </c>
      <c r="AK140" s="65">
        <f t="shared" si="112"/>
        <v>0</v>
      </c>
      <c r="AL140" s="65">
        <f t="shared" si="113"/>
        <v>0</v>
      </c>
      <c r="AM140" s="65">
        <f t="shared" si="114"/>
        <v>0</v>
      </c>
      <c r="AN140" s="73">
        <f t="shared" si="115"/>
        <v>0</v>
      </c>
      <c r="AO140" s="65" t="str">
        <f t="shared" si="116"/>
        <v>0.00</v>
      </c>
      <c r="AP140" s="65" t="str">
        <f t="shared" si="117"/>
        <v>0</v>
      </c>
      <c r="AQ140" s="71">
        <f t="shared" si="118"/>
        <v>0</v>
      </c>
      <c r="AR140" s="72">
        <f t="shared" si="119"/>
        <v>0</v>
      </c>
      <c r="AS140" s="71">
        <f t="shared" si="120"/>
        <v>0</v>
      </c>
      <c r="AT140" s="70">
        <f t="shared" si="121"/>
        <v>0</v>
      </c>
      <c r="AU140" s="70">
        <f t="shared" si="122"/>
        <v>0</v>
      </c>
      <c r="AV140" s="2"/>
      <c r="AW140" s="66">
        <f t="shared" ref="AW140:AW149" si="137">IF(R140="removal only",0,((I140*J140*K140)/144))</f>
        <v>0</v>
      </c>
      <c r="AX140" s="68">
        <f>_xlfn.IFNA(INDEX(Table3941[I $ p/ft2],MATCH(R140,Table3941[Film Type],0)),1.75)</f>
        <v>1.75</v>
      </c>
      <c r="AY140" s="69">
        <f>VLOOKUP(Z140,Table1349[#All],2,FALSE)</f>
        <v>1</v>
      </c>
      <c r="AZ140" s="68">
        <f t="shared" si="124"/>
        <v>1.75</v>
      </c>
      <c r="BA140" s="65">
        <f t="shared" si="125"/>
        <v>0</v>
      </c>
      <c r="BB140" s="64">
        <f t="shared" ref="BB140:BB149" si="138">IF(R140="removal only",0,K140)</f>
        <v>0</v>
      </c>
      <c r="BC140" s="67">
        <f t="shared" si="127"/>
        <v>0</v>
      </c>
      <c r="BD140" s="66">
        <f t="shared" si="128"/>
        <v>0</v>
      </c>
      <c r="BE140" s="64"/>
      <c r="BF140" s="66">
        <f t="shared" ref="BF140:BF149" si="139">IF(H140="Yes",((I140*J140*K140)/144),0)</f>
        <v>0</v>
      </c>
      <c r="BG140" s="66">
        <f t="shared" si="130"/>
        <v>0</v>
      </c>
      <c r="BH140" s="65">
        <f>VLOOKUP(AA140,Table1551[#All],2,FALSE)</f>
        <v>1</v>
      </c>
      <c r="BI140" s="65">
        <f t="shared" ref="BI140:BI149" si="140">IF(H140="Yes",BF140*BH140,0)</f>
        <v>0</v>
      </c>
      <c r="BJ140" s="64" t="str">
        <f t="shared" ref="BJ140:BJ149" si="141">IF(H140="Yes",K140,"0")</f>
        <v>0</v>
      </c>
      <c r="CK140" s="86" t="s">
        <v>68</v>
      </c>
      <c r="CL140" s="2">
        <v>6.64</v>
      </c>
      <c r="CM140" s="2">
        <f t="shared" si="133"/>
        <v>7.3040000000000003</v>
      </c>
      <c r="CN140" s="10">
        <v>1.5</v>
      </c>
      <c r="CO140" s="84">
        <f t="shared" ref="CO140:CO149" si="142">ROUNDUP(MAX((P140*O140)/12)*(K140*J140)/12,0)</f>
        <v>0</v>
      </c>
    </row>
    <row r="141" spans="1:93" ht="11.1" hidden="1" customHeight="1" x14ac:dyDescent="0.45">
      <c r="A141" s="83"/>
      <c r="B141" s="266"/>
      <c r="C141" s="267"/>
      <c r="D141" s="267"/>
      <c r="E141" s="268"/>
      <c r="F141" s="64"/>
      <c r="G141" s="64"/>
      <c r="H141" s="82"/>
      <c r="I141" s="81"/>
      <c r="J141" s="64"/>
      <c r="K141" s="80"/>
      <c r="L141" s="156">
        <f t="shared" si="135"/>
        <v>0</v>
      </c>
      <c r="M141" s="64"/>
      <c r="N141" s="64"/>
      <c r="O141" s="64"/>
      <c r="P141" s="80"/>
      <c r="Q141" s="79">
        <f t="shared" si="109"/>
        <v>0</v>
      </c>
      <c r="R141" s="269"/>
      <c r="S141" s="270"/>
      <c r="T141" s="266"/>
      <c r="U141" s="267"/>
      <c r="V141" s="267"/>
      <c r="W141" s="268"/>
      <c r="X141" s="271" t="str">
        <f>IFERROR(INDEX(Table3941[],MATCH(R141,Table3941[Film Type],),3),"")</f>
        <v/>
      </c>
      <c r="Y141" s="271"/>
      <c r="Z141" s="78" t="s">
        <v>55</v>
      </c>
      <c r="AA141" s="78" t="s">
        <v>55</v>
      </c>
      <c r="AB141" s="77"/>
      <c r="AC141" s="76"/>
      <c r="AD141" s="75">
        <f t="shared" si="110"/>
        <v>0</v>
      </c>
      <c r="AG141" s="74">
        <f t="shared" si="136"/>
        <v>0</v>
      </c>
      <c r="AK141" s="65">
        <f t="shared" si="112"/>
        <v>0</v>
      </c>
      <c r="AL141" s="65">
        <f t="shared" si="113"/>
        <v>0</v>
      </c>
      <c r="AM141" s="65">
        <f t="shared" si="114"/>
        <v>0</v>
      </c>
      <c r="AN141" s="73">
        <f t="shared" si="115"/>
        <v>0</v>
      </c>
      <c r="AO141" s="65" t="str">
        <f t="shared" si="116"/>
        <v>0.00</v>
      </c>
      <c r="AP141" s="65" t="str">
        <f t="shared" si="117"/>
        <v>0</v>
      </c>
      <c r="AQ141" s="71">
        <f t="shared" si="118"/>
        <v>0</v>
      </c>
      <c r="AR141" s="72">
        <f t="shared" si="119"/>
        <v>0</v>
      </c>
      <c r="AS141" s="71">
        <f t="shared" si="120"/>
        <v>0</v>
      </c>
      <c r="AT141" s="70">
        <f t="shared" si="121"/>
        <v>0</v>
      </c>
      <c r="AU141" s="70">
        <f t="shared" si="122"/>
        <v>0</v>
      </c>
      <c r="AV141" s="2"/>
      <c r="AW141" s="66">
        <f t="shared" si="137"/>
        <v>0</v>
      </c>
      <c r="AX141" s="68">
        <f>_xlfn.IFNA(INDEX(Table3941[I $ p/ft2],MATCH(R141,Table3941[Film Type],0)),1.75)</f>
        <v>1.75</v>
      </c>
      <c r="AY141" s="69">
        <f>VLOOKUP(Z141,Table1349[#All],2,FALSE)</f>
        <v>1</v>
      </c>
      <c r="AZ141" s="68">
        <f t="shared" si="124"/>
        <v>1.75</v>
      </c>
      <c r="BA141" s="65">
        <f t="shared" si="125"/>
        <v>0</v>
      </c>
      <c r="BB141" s="64">
        <f t="shared" si="138"/>
        <v>0</v>
      </c>
      <c r="BC141" s="67">
        <f t="shared" si="127"/>
        <v>0</v>
      </c>
      <c r="BD141" s="66">
        <f t="shared" si="128"/>
        <v>0</v>
      </c>
      <c r="BE141" s="64"/>
      <c r="BF141" s="66">
        <f t="shared" si="139"/>
        <v>0</v>
      </c>
      <c r="BG141" s="66">
        <f t="shared" si="130"/>
        <v>0</v>
      </c>
      <c r="BH141" s="65">
        <f>VLOOKUP(AA141,Table1551[#All],2,FALSE)</f>
        <v>1</v>
      </c>
      <c r="BI141" s="65">
        <f t="shared" si="140"/>
        <v>0</v>
      </c>
      <c r="BJ141" s="64" t="str">
        <f t="shared" si="141"/>
        <v>0</v>
      </c>
      <c r="CK141" s="86" t="s">
        <v>67</v>
      </c>
      <c r="CL141" s="2">
        <v>3.37</v>
      </c>
      <c r="CM141" s="2">
        <f t="shared" si="133"/>
        <v>3.7070000000000003</v>
      </c>
      <c r="CN141" s="10">
        <v>1.5</v>
      </c>
      <c r="CO141" s="84">
        <f t="shared" si="142"/>
        <v>0</v>
      </c>
    </row>
    <row r="142" spans="1:93" ht="11.1" hidden="1" customHeight="1" x14ac:dyDescent="0.45">
      <c r="A142" s="83"/>
      <c r="B142" s="266"/>
      <c r="C142" s="267"/>
      <c r="D142" s="267"/>
      <c r="E142" s="268"/>
      <c r="F142" s="64"/>
      <c r="G142" s="64"/>
      <c r="H142" s="82"/>
      <c r="I142" s="81"/>
      <c r="J142" s="64"/>
      <c r="K142" s="80"/>
      <c r="L142" s="156">
        <f t="shared" si="135"/>
        <v>0</v>
      </c>
      <c r="M142" s="64"/>
      <c r="N142" s="64"/>
      <c r="O142" s="64"/>
      <c r="P142" s="80"/>
      <c r="Q142" s="79">
        <f t="shared" si="109"/>
        <v>0</v>
      </c>
      <c r="R142" s="269"/>
      <c r="S142" s="270"/>
      <c r="T142" s="266"/>
      <c r="U142" s="267"/>
      <c r="V142" s="267"/>
      <c r="W142" s="268"/>
      <c r="X142" s="271" t="str">
        <f>IFERROR(INDEX(Table3941[],MATCH(R142,Table3941[Film Type],),3),"")</f>
        <v/>
      </c>
      <c r="Y142" s="271"/>
      <c r="Z142" s="78" t="s">
        <v>55</v>
      </c>
      <c r="AA142" s="78" t="s">
        <v>55</v>
      </c>
      <c r="AB142" s="77"/>
      <c r="AC142" s="76"/>
      <c r="AD142" s="75">
        <f t="shared" si="110"/>
        <v>0</v>
      </c>
      <c r="AG142" s="74">
        <f t="shared" si="136"/>
        <v>0</v>
      </c>
      <c r="AK142" s="65">
        <f t="shared" si="112"/>
        <v>0</v>
      </c>
      <c r="AL142" s="65">
        <f t="shared" si="113"/>
        <v>0</v>
      </c>
      <c r="AM142" s="65">
        <f t="shared" si="114"/>
        <v>0</v>
      </c>
      <c r="AN142" s="73">
        <f t="shared" si="115"/>
        <v>0</v>
      </c>
      <c r="AO142" s="65" t="str">
        <f t="shared" si="116"/>
        <v>0.00</v>
      </c>
      <c r="AP142" s="65" t="str">
        <f t="shared" si="117"/>
        <v>0</v>
      </c>
      <c r="AQ142" s="71">
        <f t="shared" si="118"/>
        <v>0</v>
      </c>
      <c r="AR142" s="72">
        <f t="shared" si="119"/>
        <v>0</v>
      </c>
      <c r="AS142" s="71">
        <f t="shared" si="120"/>
        <v>0</v>
      </c>
      <c r="AT142" s="70">
        <f t="shared" si="121"/>
        <v>0</v>
      </c>
      <c r="AU142" s="70">
        <f t="shared" si="122"/>
        <v>0</v>
      </c>
      <c r="AV142" s="2"/>
      <c r="AW142" s="66">
        <f t="shared" si="137"/>
        <v>0</v>
      </c>
      <c r="AX142" s="68">
        <f>_xlfn.IFNA(INDEX(Table3941[I $ p/ft2],MATCH(R142,Table3941[Film Type],0)),1.75)</f>
        <v>1.75</v>
      </c>
      <c r="AY142" s="69">
        <f>VLOOKUP(Z142,Table1349[#All],2,FALSE)</f>
        <v>1</v>
      </c>
      <c r="AZ142" s="68">
        <f t="shared" si="124"/>
        <v>1.75</v>
      </c>
      <c r="BA142" s="65">
        <f t="shared" si="125"/>
        <v>0</v>
      </c>
      <c r="BB142" s="64">
        <f t="shared" si="138"/>
        <v>0</v>
      </c>
      <c r="BC142" s="67">
        <f t="shared" si="127"/>
        <v>0</v>
      </c>
      <c r="BD142" s="66">
        <f t="shared" si="128"/>
        <v>0</v>
      </c>
      <c r="BE142" s="64"/>
      <c r="BF142" s="66">
        <f t="shared" si="139"/>
        <v>0</v>
      </c>
      <c r="BG142" s="66">
        <f t="shared" si="130"/>
        <v>0</v>
      </c>
      <c r="BH142" s="65">
        <f>VLOOKUP(AA142,Table1551[#All],2,FALSE)</f>
        <v>1</v>
      </c>
      <c r="BI142" s="65">
        <f t="shared" si="140"/>
        <v>0</v>
      </c>
      <c r="BJ142" s="64" t="str">
        <f t="shared" si="141"/>
        <v>0</v>
      </c>
      <c r="CK142" s="86" t="s">
        <v>66</v>
      </c>
      <c r="CL142" s="2">
        <v>2.67</v>
      </c>
      <c r="CM142" s="2">
        <f t="shared" si="133"/>
        <v>2.9370000000000003</v>
      </c>
      <c r="CN142" s="10">
        <v>1.5</v>
      </c>
      <c r="CO142" s="84">
        <f t="shared" si="142"/>
        <v>0</v>
      </c>
    </row>
    <row r="143" spans="1:93" ht="11.1" hidden="1" customHeight="1" x14ac:dyDescent="0.45">
      <c r="A143" s="83"/>
      <c r="B143" s="266"/>
      <c r="C143" s="267"/>
      <c r="D143" s="267"/>
      <c r="E143" s="268"/>
      <c r="F143" s="64"/>
      <c r="G143" s="64"/>
      <c r="H143" s="82"/>
      <c r="I143" s="81"/>
      <c r="J143" s="64"/>
      <c r="K143" s="80"/>
      <c r="L143" s="156">
        <f t="shared" si="135"/>
        <v>0</v>
      </c>
      <c r="M143" s="64"/>
      <c r="N143" s="64"/>
      <c r="O143" s="64"/>
      <c r="P143" s="80"/>
      <c r="Q143" s="79">
        <f t="shared" si="109"/>
        <v>0</v>
      </c>
      <c r="R143" s="269"/>
      <c r="S143" s="270"/>
      <c r="T143" s="266"/>
      <c r="U143" s="267"/>
      <c r="V143" s="267"/>
      <c r="W143" s="268"/>
      <c r="X143" s="271" t="str">
        <f>IFERROR(INDEX(Table3941[],MATCH(R143,Table3941[Film Type],),3),"")</f>
        <v/>
      </c>
      <c r="Y143" s="271"/>
      <c r="Z143" s="78" t="s">
        <v>55</v>
      </c>
      <c r="AA143" s="78" t="s">
        <v>55</v>
      </c>
      <c r="AB143" s="77"/>
      <c r="AC143" s="76"/>
      <c r="AD143" s="75">
        <f t="shared" si="110"/>
        <v>0</v>
      </c>
      <c r="AG143" s="74">
        <f t="shared" si="136"/>
        <v>0</v>
      </c>
      <c r="AK143" s="65">
        <f t="shared" si="112"/>
        <v>0</v>
      </c>
      <c r="AL143" s="65">
        <f t="shared" si="113"/>
        <v>0</v>
      </c>
      <c r="AM143" s="65">
        <f t="shared" si="114"/>
        <v>0</v>
      </c>
      <c r="AN143" s="73">
        <f t="shared" si="115"/>
        <v>0</v>
      </c>
      <c r="AO143" s="65" t="str">
        <f t="shared" si="116"/>
        <v>0.00</v>
      </c>
      <c r="AP143" s="65" t="str">
        <f t="shared" si="117"/>
        <v>0</v>
      </c>
      <c r="AQ143" s="71">
        <f t="shared" si="118"/>
        <v>0</v>
      </c>
      <c r="AR143" s="72">
        <f t="shared" si="119"/>
        <v>0</v>
      </c>
      <c r="AS143" s="71">
        <f t="shared" si="120"/>
        <v>0</v>
      </c>
      <c r="AT143" s="70">
        <f t="shared" si="121"/>
        <v>0</v>
      </c>
      <c r="AU143" s="70">
        <f t="shared" si="122"/>
        <v>0</v>
      </c>
      <c r="AV143" s="2"/>
      <c r="AW143" s="66">
        <f t="shared" si="137"/>
        <v>0</v>
      </c>
      <c r="AX143" s="68">
        <f>_xlfn.IFNA(INDEX(Table3941[I $ p/ft2],MATCH(R143,Table3941[Film Type],0)),1.75)</f>
        <v>1.75</v>
      </c>
      <c r="AY143" s="69">
        <f>VLOOKUP(Z143,Table1349[#All],2,FALSE)</f>
        <v>1</v>
      </c>
      <c r="AZ143" s="68">
        <f t="shared" si="124"/>
        <v>1.75</v>
      </c>
      <c r="BA143" s="65">
        <f t="shared" si="125"/>
        <v>0</v>
      </c>
      <c r="BB143" s="64">
        <f t="shared" si="138"/>
        <v>0</v>
      </c>
      <c r="BC143" s="67">
        <f t="shared" si="127"/>
        <v>0</v>
      </c>
      <c r="BD143" s="66">
        <f t="shared" si="128"/>
        <v>0</v>
      </c>
      <c r="BE143" s="64"/>
      <c r="BF143" s="66">
        <f t="shared" si="139"/>
        <v>0</v>
      </c>
      <c r="BG143" s="66">
        <f t="shared" si="130"/>
        <v>0</v>
      </c>
      <c r="BH143" s="65">
        <f>VLOOKUP(AA143,Table1551[#All],2,FALSE)</f>
        <v>1</v>
      </c>
      <c r="BI143" s="65">
        <f t="shared" si="140"/>
        <v>0</v>
      </c>
      <c r="BJ143" s="64" t="str">
        <f t="shared" si="141"/>
        <v>0</v>
      </c>
      <c r="CK143" s="86" t="s">
        <v>65</v>
      </c>
      <c r="CL143" s="2">
        <v>2.67</v>
      </c>
      <c r="CM143" s="2">
        <f t="shared" si="133"/>
        <v>2.9370000000000003</v>
      </c>
      <c r="CN143" s="10">
        <v>1.5</v>
      </c>
      <c r="CO143" s="84">
        <f t="shared" si="142"/>
        <v>0</v>
      </c>
    </row>
    <row r="144" spans="1:93" ht="11.1" hidden="1" customHeight="1" x14ac:dyDescent="0.45">
      <c r="A144" s="83"/>
      <c r="B144" s="266"/>
      <c r="C144" s="267"/>
      <c r="D144" s="267"/>
      <c r="E144" s="268"/>
      <c r="F144" s="64"/>
      <c r="G144" s="64"/>
      <c r="H144" s="82"/>
      <c r="I144" s="81"/>
      <c r="J144" s="64"/>
      <c r="K144" s="80"/>
      <c r="L144" s="156">
        <f t="shared" si="135"/>
        <v>0</v>
      </c>
      <c r="M144" s="64"/>
      <c r="N144" s="64"/>
      <c r="O144" s="64"/>
      <c r="P144" s="80"/>
      <c r="Q144" s="79">
        <f t="shared" si="109"/>
        <v>0</v>
      </c>
      <c r="R144" s="269"/>
      <c r="S144" s="270"/>
      <c r="T144" s="266"/>
      <c r="U144" s="267"/>
      <c r="V144" s="267"/>
      <c r="W144" s="268"/>
      <c r="X144" s="271" t="str">
        <f>IFERROR(INDEX(Table3941[],MATCH(R144,Table3941[Film Type],),3),"")</f>
        <v/>
      </c>
      <c r="Y144" s="271"/>
      <c r="Z144" s="78" t="s">
        <v>55</v>
      </c>
      <c r="AA144" s="78" t="s">
        <v>55</v>
      </c>
      <c r="AB144" s="77"/>
      <c r="AC144" s="76"/>
      <c r="AD144" s="75">
        <f t="shared" si="110"/>
        <v>0</v>
      </c>
      <c r="AG144" s="74">
        <f t="shared" si="136"/>
        <v>0</v>
      </c>
      <c r="AK144" s="65">
        <f t="shared" si="112"/>
        <v>0</v>
      </c>
      <c r="AL144" s="65">
        <f t="shared" si="113"/>
        <v>0</v>
      </c>
      <c r="AM144" s="65">
        <f t="shared" si="114"/>
        <v>0</v>
      </c>
      <c r="AN144" s="73">
        <f t="shared" si="115"/>
        <v>0</v>
      </c>
      <c r="AO144" s="65" t="str">
        <f t="shared" si="116"/>
        <v>0.00</v>
      </c>
      <c r="AP144" s="65" t="str">
        <f t="shared" si="117"/>
        <v>0</v>
      </c>
      <c r="AQ144" s="71">
        <f t="shared" si="118"/>
        <v>0</v>
      </c>
      <c r="AR144" s="72">
        <f t="shared" si="119"/>
        <v>0</v>
      </c>
      <c r="AS144" s="71">
        <f t="shared" si="120"/>
        <v>0</v>
      </c>
      <c r="AT144" s="70">
        <f t="shared" si="121"/>
        <v>0</v>
      </c>
      <c r="AU144" s="70">
        <f t="shared" si="122"/>
        <v>0</v>
      </c>
      <c r="AV144" s="2"/>
      <c r="AW144" s="66">
        <f t="shared" si="137"/>
        <v>0</v>
      </c>
      <c r="AX144" s="68">
        <f>_xlfn.IFNA(INDEX(Table3941[I $ p/ft2],MATCH(R144,Table3941[Film Type],0)),1.75)</f>
        <v>1.75</v>
      </c>
      <c r="AY144" s="69">
        <f>VLOOKUP(Z144,Table1349[#All],2,FALSE)</f>
        <v>1</v>
      </c>
      <c r="AZ144" s="68">
        <f t="shared" si="124"/>
        <v>1.75</v>
      </c>
      <c r="BA144" s="65">
        <f t="shared" si="125"/>
        <v>0</v>
      </c>
      <c r="BB144" s="64">
        <f t="shared" si="138"/>
        <v>0</v>
      </c>
      <c r="BC144" s="67">
        <f t="shared" si="127"/>
        <v>0</v>
      </c>
      <c r="BD144" s="66">
        <f t="shared" si="128"/>
        <v>0</v>
      </c>
      <c r="BE144" s="64"/>
      <c r="BF144" s="66">
        <f t="shared" si="139"/>
        <v>0</v>
      </c>
      <c r="BG144" s="66">
        <f t="shared" si="130"/>
        <v>0</v>
      </c>
      <c r="BH144" s="65">
        <f>VLOOKUP(AA144,Table1551[#All],2,FALSE)</f>
        <v>1</v>
      </c>
      <c r="BI144" s="65">
        <f t="shared" si="140"/>
        <v>0</v>
      </c>
      <c r="BJ144" s="64" t="str">
        <f t="shared" si="141"/>
        <v>0</v>
      </c>
      <c r="CK144" s="86" t="s">
        <v>64</v>
      </c>
      <c r="CL144" s="2">
        <v>2.0099999999999998</v>
      </c>
      <c r="CM144" s="2">
        <f t="shared" si="133"/>
        <v>2.2109999999999999</v>
      </c>
      <c r="CN144" s="10">
        <v>1.5</v>
      </c>
      <c r="CO144" s="84">
        <f t="shared" si="142"/>
        <v>0</v>
      </c>
    </row>
    <row r="145" spans="1:93" ht="11.1" hidden="1" customHeight="1" x14ac:dyDescent="0.45">
      <c r="A145" s="83"/>
      <c r="B145" s="266"/>
      <c r="C145" s="267"/>
      <c r="D145" s="267"/>
      <c r="E145" s="268"/>
      <c r="F145" s="64"/>
      <c r="G145" s="64"/>
      <c r="H145" s="82"/>
      <c r="I145" s="81"/>
      <c r="J145" s="64"/>
      <c r="K145" s="80"/>
      <c r="L145" s="156">
        <f t="shared" si="135"/>
        <v>0</v>
      </c>
      <c r="M145" s="64"/>
      <c r="N145" s="64"/>
      <c r="O145" s="64"/>
      <c r="P145" s="80"/>
      <c r="Q145" s="79">
        <f t="shared" si="109"/>
        <v>0</v>
      </c>
      <c r="R145" s="269"/>
      <c r="S145" s="270"/>
      <c r="T145" s="266"/>
      <c r="U145" s="267"/>
      <c r="V145" s="267"/>
      <c r="W145" s="268"/>
      <c r="X145" s="271" t="str">
        <f>IFERROR(INDEX(Table3941[],MATCH(R145,Table3941[Film Type],),3),"")</f>
        <v/>
      </c>
      <c r="Y145" s="271"/>
      <c r="Z145" s="78" t="s">
        <v>55</v>
      </c>
      <c r="AA145" s="78" t="s">
        <v>55</v>
      </c>
      <c r="AB145" s="77"/>
      <c r="AC145" s="76"/>
      <c r="AD145" s="75">
        <f t="shared" si="110"/>
        <v>0</v>
      </c>
      <c r="AG145" s="74">
        <f t="shared" si="136"/>
        <v>0</v>
      </c>
      <c r="AK145" s="65">
        <f t="shared" si="112"/>
        <v>0</v>
      </c>
      <c r="AL145" s="65">
        <f t="shared" si="113"/>
        <v>0</v>
      </c>
      <c r="AM145" s="65">
        <f t="shared" si="114"/>
        <v>0</v>
      </c>
      <c r="AN145" s="73">
        <f t="shared" si="115"/>
        <v>0</v>
      </c>
      <c r="AO145" s="65" t="str">
        <f t="shared" si="116"/>
        <v>0.00</v>
      </c>
      <c r="AP145" s="65" t="str">
        <f t="shared" si="117"/>
        <v>0</v>
      </c>
      <c r="AQ145" s="71">
        <f t="shared" si="118"/>
        <v>0</v>
      </c>
      <c r="AR145" s="72">
        <f t="shared" si="119"/>
        <v>0</v>
      </c>
      <c r="AS145" s="71">
        <f t="shared" si="120"/>
        <v>0</v>
      </c>
      <c r="AT145" s="70">
        <f t="shared" si="121"/>
        <v>0</v>
      </c>
      <c r="AU145" s="70">
        <f t="shared" si="122"/>
        <v>0</v>
      </c>
      <c r="AV145" s="2"/>
      <c r="AW145" s="66">
        <f t="shared" si="137"/>
        <v>0</v>
      </c>
      <c r="AX145" s="68">
        <f>_xlfn.IFNA(INDEX(Table3941[I $ p/ft2],MATCH(R145,Table3941[Film Type],0)),1.75)</f>
        <v>1.75</v>
      </c>
      <c r="AY145" s="69">
        <f>VLOOKUP(Z145,Table1349[#All],2,FALSE)</f>
        <v>1</v>
      </c>
      <c r="AZ145" s="68">
        <f t="shared" si="124"/>
        <v>1.75</v>
      </c>
      <c r="BA145" s="65">
        <f t="shared" si="125"/>
        <v>0</v>
      </c>
      <c r="BB145" s="64">
        <f t="shared" si="138"/>
        <v>0</v>
      </c>
      <c r="BC145" s="67">
        <f t="shared" si="127"/>
        <v>0</v>
      </c>
      <c r="BD145" s="66">
        <f t="shared" si="128"/>
        <v>0</v>
      </c>
      <c r="BE145" s="64"/>
      <c r="BF145" s="66">
        <f t="shared" si="139"/>
        <v>0</v>
      </c>
      <c r="BG145" s="66">
        <f t="shared" si="130"/>
        <v>0</v>
      </c>
      <c r="BH145" s="65">
        <f>VLOOKUP(AA145,Table1551[#All],2,FALSE)</f>
        <v>1</v>
      </c>
      <c r="BI145" s="65">
        <f t="shared" si="140"/>
        <v>0</v>
      </c>
      <c r="BJ145" s="64" t="str">
        <f t="shared" si="141"/>
        <v>0</v>
      </c>
      <c r="CK145" s="86" t="s">
        <v>63</v>
      </c>
      <c r="CL145" s="2">
        <v>2.0099999999999998</v>
      </c>
      <c r="CM145" s="2">
        <f t="shared" si="133"/>
        <v>2.2109999999999999</v>
      </c>
      <c r="CN145" s="10">
        <v>1.5</v>
      </c>
      <c r="CO145" s="84">
        <f t="shared" si="142"/>
        <v>0</v>
      </c>
    </row>
    <row r="146" spans="1:93" ht="11.1" hidden="1" customHeight="1" x14ac:dyDescent="0.45">
      <c r="A146" s="83"/>
      <c r="B146" s="266"/>
      <c r="C146" s="267"/>
      <c r="D146" s="267"/>
      <c r="E146" s="268"/>
      <c r="F146" s="64"/>
      <c r="G146" s="64"/>
      <c r="H146" s="82"/>
      <c r="I146" s="81"/>
      <c r="J146" s="64"/>
      <c r="K146" s="80"/>
      <c r="L146" s="156">
        <f t="shared" si="135"/>
        <v>0</v>
      </c>
      <c r="M146" s="64"/>
      <c r="N146" s="64"/>
      <c r="O146" s="64"/>
      <c r="P146" s="80"/>
      <c r="Q146" s="79">
        <f t="shared" si="109"/>
        <v>0</v>
      </c>
      <c r="R146" s="269"/>
      <c r="S146" s="270"/>
      <c r="T146" s="266"/>
      <c r="U146" s="267"/>
      <c r="V146" s="267"/>
      <c r="W146" s="268"/>
      <c r="X146" s="271" t="str">
        <f>IFERROR(INDEX(Table3941[],MATCH(R146,Table3941[Film Type],),3),"")</f>
        <v/>
      </c>
      <c r="Y146" s="271"/>
      <c r="Z146" s="78" t="s">
        <v>55</v>
      </c>
      <c r="AA146" s="78" t="s">
        <v>55</v>
      </c>
      <c r="AB146" s="77"/>
      <c r="AC146" s="76"/>
      <c r="AD146" s="75">
        <f t="shared" si="110"/>
        <v>0</v>
      </c>
      <c r="AG146" s="74">
        <f t="shared" si="136"/>
        <v>0</v>
      </c>
      <c r="AK146" s="65">
        <f t="shared" si="112"/>
        <v>0</v>
      </c>
      <c r="AL146" s="65">
        <f t="shared" si="113"/>
        <v>0</v>
      </c>
      <c r="AM146" s="65">
        <f t="shared" si="114"/>
        <v>0</v>
      </c>
      <c r="AN146" s="73">
        <f t="shared" si="115"/>
        <v>0</v>
      </c>
      <c r="AO146" s="65" t="str">
        <f t="shared" si="116"/>
        <v>0.00</v>
      </c>
      <c r="AP146" s="65" t="str">
        <f t="shared" si="117"/>
        <v>0</v>
      </c>
      <c r="AQ146" s="71">
        <f t="shared" si="118"/>
        <v>0</v>
      </c>
      <c r="AR146" s="72">
        <f t="shared" si="119"/>
        <v>0</v>
      </c>
      <c r="AS146" s="71">
        <f t="shared" si="120"/>
        <v>0</v>
      </c>
      <c r="AT146" s="70">
        <f t="shared" si="121"/>
        <v>0</v>
      </c>
      <c r="AU146" s="70">
        <f t="shared" si="122"/>
        <v>0</v>
      </c>
      <c r="AV146" s="2"/>
      <c r="AW146" s="66">
        <f t="shared" si="137"/>
        <v>0</v>
      </c>
      <c r="AX146" s="68">
        <f>_xlfn.IFNA(INDEX(Table3941[I $ p/ft2],MATCH(R146,Table3941[Film Type],0)),1.75)</f>
        <v>1.75</v>
      </c>
      <c r="AY146" s="69">
        <f>VLOOKUP(Z146,Table1349[#All],2,FALSE)</f>
        <v>1</v>
      </c>
      <c r="AZ146" s="68">
        <f t="shared" si="124"/>
        <v>1.75</v>
      </c>
      <c r="BA146" s="65">
        <f t="shared" si="125"/>
        <v>0</v>
      </c>
      <c r="BB146" s="64">
        <f t="shared" si="138"/>
        <v>0</v>
      </c>
      <c r="BC146" s="67">
        <f t="shared" si="127"/>
        <v>0</v>
      </c>
      <c r="BD146" s="66">
        <f t="shared" si="128"/>
        <v>0</v>
      </c>
      <c r="BE146" s="64"/>
      <c r="BF146" s="66">
        <f t="shared" si="139"/>
        <v>0</v>
      </c>
      <c r="BG146" s="66">
        <f t="shared" si="130"/>
        <v>0</v>
      </c>
      <c r="BH146" s="65">
        <f>VLOOKUP(AA146,Table1551[#All],2,FALSE)</f>
        <v>1</v>
      </c>
      <c r="BI146" s="65">
        <f t="shared" si="140"/>
        <v>0</v>
      </c>
      <c r="BJ146" s="64" t="str">
        <f t="shared" si="141"/>
        <v>0</v>
      </c>
      <c r="CK146" s="86" t="s">
        <v>62</v>
      </c>
      <c r="CL146" s="2">
        <v>3.86</v>
      </c>
      <c r="CM146" s="2">
        <f t="shared" si="133"/>
        <v>4.2460000000000004</v>
      </c>
      <c r="CN146" s="10">
        <v>1.5</v>
      </c>
      <c r="CO146" s="84">
        <f t="shared" si="142"/>
        <v>0</v>
      </c>
    </row>
    <row r="147" spans="1:93" ht="11.1" hidden="1" customHeight="1" x14ac:dyDescent="0.45">
      <c r="A147" s="83"/>
      <c r="B147" s="266"/>
      <c r="C147" s="267"/>
      <c r="D147" s="267"/>
      <c r="E147" s="268"/>
      <c r="F147" s="64"/>
      <c r="G147" s="64"/>
      <c r="H147" s="82"/>
      <c r="I147" s="81"/>
      <c r="J147" s="64"/>
      <c r="K147" s="80"/>
      <c r="L147" s="156">
        <f t="shared" si="135"/>
        <v>0</v>
      </c>
      <c r="M147" s="64"/>
      <c r="N147" s="64"/>
      <c r="O147" s="64"/>
      <c r="P147" s="80"/>
      <c r="Q147" s="79">
        <f t="shared" si="109"/>
        <v>0</v>
      </c>
      <c r="R147" s="269"/>
      <c r="S147" s="270"/>
      <c r="T147" s="266"/>
      <c r="U147" s="267"/>
      <c r="V147" s="267"/>
      <c r="W147" s="268"/>
      <c r="X147" s="271" t="str">
        <f>IFERROR(INDEX(Table3941[],MATCH(R147,Table3941[Film Type],),3),"")</f>
        <v/>
      </c>
      <c r="Y147" s="271"/>
      <c r="Z147" s="78" t="s">
        <v>55</v>
      </c>
      <c r="AA147" s="78" t="s">
        <v>55</v>
      </c>
      <c r="AB147" s="77"/>
      <c r="AC147" s="76"/>
      <c r="AD147" s="75">
        <f t="shared" si="110"/>
        <v>0</v>
      </c>
      <c r="AG147" s="74">
        <f t="shared" si="136"/>
        <v>0</v>
      </c>
      <c r="AK147" s="65">
        <f t="shared" si="112"/>
        <v>0</v>
      </c>
      <c r="AL147" s="65">
        <f t="shared" si="113"/>
        <v>0</v>
      </c>
      <c r="AM147" s="65">
        <f t="shared" si="114"/>
        <v>0</v>
      </c>
      <c r="AN147" s="73">
        <f t="shared" si="115"/>
        <v>0</v>
      </c>
      <c r="AO147" s="65" t="str">
        <f t="shared" si="116"/>
        <v>0.00</v>
      </c>
      <c r="AP147" s="65" t="str">
        <f t="shared" si="117"/>
        <v>0</v>
      </c>
      <c r="AQ147" s="71">
        <f t="shared" si="118"/>
        <v>0</v>
      </c>
      <c r="AR147" s="72">
        <f t="shared" si="119"/>
        <v>0</v>
      </c>
      <c r="AS147" s="71">
        <f t="shared" si="120"/>
        <v>0</v>
      </c>
      <c r="AT147" s="70">
        <f t="shared" si="121"/>
        <v>0</v>
      </c>
      <c r="AU147" s="70">
        <f t="shared" si="122"/>
        <v>0</v>
      </c>
      <c r="AV147" s="2"/>
      <c r="AW147" s="66">
        <f t="shared" si="137"/>
        <v>0</v>
      </c>
      <c r="AX147" s="68">
        <f>_xlfn.IFNA(INDEX(Table3941[I $ p/ft2],MATCH(R147,Table3941[Film Type],0)),1.75)</f>
        <v>1.75</v>
      </c>
      <c r="AY147" s="69">
        <f>VLOOKUP(Z147,Table1349[#All],2,FALSE)</f>
        <v>1</v>
      </c>
      <c r="AZ147" s="68">
        <f t="shared" si="124"/>
        <v>1.75</v>
      </c>
      <c r="BA147" s="65">
        <f t="shared" si="125"/>
        <v>0</v>
      </c>
      <c r="BB147" s="64">
        <f t="shared" si="138"/>
        <v>0</v>
      </c>
      <c r="BC147" s="67">
        <f t="shared" si="127"/>
        <v>0</v>
      </c>
      <c r="BD147" s="66">
        <f t="shared" si="128"/>
        <v>0</v>
      </c>
      <c r="BE147" s="64"/>
      <c r="BF147" s="66">
        <f t="shared" si="139"/>
        <v>0</v>
      </c>
      <c r="BG147" s="66">
        <f t="shared" si="130"/>
        <v>0</v>
      </c>
      <c r="BH147" s="65">
        <f>VLOOKUP(AA147,Table1551[#All],2,FALSE)</f>
        <v>1</v>
      </c>
      <c r="BI147" s="65">
        <f t="shared" si="140"/>
        <v>0</v>
      </c>
      <c r="BJ147" s="64" t="str">
        <f t="shared" si="141"/>
        <v>0</v>
      </c>
      <c r="CK147" s="86"/>
      <c r="CM147" s="2">
        <f t="shared" si="133"/>
        <v>0</v>
      </c>
      <c r="CN147" s="10"/>
      <c r="CO147" s="84">
        <f t="shared" si="142"/>
        <v>0</v>
      </c>
    </row>
    <row r="148" spans="1:93" ht="11.1" hidden="1" customHeight="1" x14ac:dyDescent="0.45">
      <c r="A148" s="83"/>
      <c r="B148" s="266"/>
      <c r="C148" s="267"/>
      <c r="D148" s="267"/>
      <c r="E148" s="268"/>
      <c r="F148" s="64"/>
      <c r="G148" s="64"/>
      <c r="H148" s="82"/>
      <c r="I148" s="81"/>
      <c r="J148" s="64"/>
      <c r="K148" s="80"/>
      <c r="L148" s="156">
        <f t="shared" si="135"/>
        <v>0</v>
      </c>
      <c r="M148" s="64"/>
      <c r="N148" s="64"/>
      <c r="O148" s="64"/>
      <c r="P148" s="80"/>
      <c r="Q148" s="79">
        <f t="shared" si="109"/>
        <v>0</v>
      </c>
      <c r="R148" s="269"/>
      <c r="S148" s="270"/>
      <c r="T148" s="266"/>
      <c r="U148" s="267"/>
      <c r="V148" s="267"/>
      <c r="W148" s="268"/>
      <c r="X148" s="271" t="str">
        <f>IFERROR(INDEX(Table3941[],MATCH(R148,Table3941[Film Type],),3),"")</f>
        <v/>
      </c>
      <c r="Y148" s="271"/>
      <c r="Z148" s="78" t="s">
        <v>55</v>
      </c>
      <c r="AA148" s="78" t="s">
        <v>55</v>
      </c>
      <c r="AB148" s="77"/>
      <c r="AC148" s="76"/>
      <c r="AD148" s="75">
        <f t="shared" si="110"/>
        <v>0</v>
      </c>
      <c r="AG148" s="74">
        <f t="shared" si="136"/>
        <v>0</v>
      </c>
      <c r="AK148" s="65">
        <f t="shared" si="112"/>
        <v>0</v>
      </c>
      <c r="AL148" s="65">
        <f t="shared" si="113"/>
        <v>0</v>
      </c>
      <c r="AM148" s="65">
        <f t="shared" si="114"/>
        <v>0</v>
      </c>
      <c r="AN148" s="73">
        <f t="shared" si="115"/>
        <v>0</v>
      </c>
      <c r="AO148" s="65" t="str">
        <f t="shared" si="116"/>
        <v>0.00</v>
      </c>
      <c r="AP148" s="65" t="str">
        <f t="shared" si="117"/>
        <v>0</v>
      </c>
      <c r="AQ148" s="71">
        <f t="shared" si="118"/>
        <v>0</v>
      </c>
      <c r="AR148" s="72">
        <f t="shared" si="119"/>
        <v>0</v>
      </c>
      <c r="AS148" s="71">
        <f t="shared" si="120"/>
        <v>0</v>
      </c>
      <c r="AT148" s="70">
        <f t="shared" si="121"/>
        <v>0</v>
      </c>
      <c r="AU148" s="70">
        <f t="shared" si="122"/>
        <v>0</v>
      </c>
      <c r="AV148" s="2"/>
      <c r="AW148" s="66">
        <f t="shared" si="137"/>
        <v>0</v>
      </c>
      <c r="AX148" s="68">
        <f>_xlfn.IFNA(INDEX(Table3941[I $ p/ft2],MATCH(R148,Table3941[Film Type],0)),1.75)</f>
        <v>1.75</v>
      </c>
      <c r="AY148" s="69">
        <f>VLOOKUP(Z148,Table1349[#All],2,FALSE)</f>
        <v>1</v>
      </c>
      <c r="AZ148" s="68">
        <f t="shared" si="124"/>
        <v>1.75</v>
      </c>
      <c r="BA148" s="65">
        <f t="shared" si="125"/>
        <v>0</v>
      </c>
      <c r="BB148" s="64">
        <f t="shared" si="138"/>
        <v>0</v>
      </c>
      <c r="BC148" s="67">
        <f t="shared" si="127"/>
        <v>0</v>
      </c>
      <c r="BD148" s="66">
        <f t="shared" si="128"/>
        <v>0</v>
      </c>
      <c r="BE148" s="64"/>
      <c r="BF148" s="66">
        <f t="shared" si="139"/>
        <v>0</v>
      </c>
      <c r="BG148" s="66">
        <f t="shared" si="130"/>
        <v>0</v>
      </c>
      <c r="BH148" s="65">
        <f>VLOOKUP(AA148,Table1551[#All],2,FALSE)</f>
        <v>1</v>
      </c>
      <c r="BI148" s="65">
        <f t="shared" si="140"/>
        <v>0</v>
      </c>
      <c r="BJ148" s="64" t="str">
        <f t="shared" si="141"/>
        <v>0</v>
      </c>
      <c r="CK148" s="86" t="s">
        <v>61</v>
      </c>
      <c r="CL148" s="2">
        <v>6</v>
      </c>
      <c r="CM148" s="2">
        <f t="shared" si="133"/>
        <v>6.6000000000000005</v>
      </c>
      <c r="CN148" s="10">
        <v>2.25</v>
      </c>
      <c r="CO148" s="84">
        <f t="shared" si="142"/>
        <v>0</v>
      </c>
    </row>
    <row r="149" spans="1:93" ht="11.1" hidden="1" customHeight="1" x14ac:dyDescent="0.45">
      <c r="A149" s="83"/>
      <c r="B149" s="272"/>
      <c r="C149" s="272"/>
      <c r="D149" s="272"/>
      <c r="E149" s="272"/>
      <c r="F149" s="64"/>
      <c r="G149" s="64"/>
      <c r="H149" s="82"/>
      <c r="I149" s="81"/>
      <c r="J149" s="64"/>
      <c r="K149" s="80"/>
      <c r="L149" s="156">
        <f t="shared" si="135"/>
        <v>0</v>
      </c>
      <c r="M149" s="64"/>
      <c r="N149" s="64"/>
      <c r="O149" s="64"/>
      <c r="P149" s="80"/>
      <c r="Q149" s="79">
        <f t="shared" si="109"/>
        <v>0</v>
      </c>
      <c r="R149" s="269"/>
      <c r="S149" s="270"/>
      <c r="T149" s="266"/>
      <c r="U149" s="267"/>
      <c r="V149" s="267"/>
      <c r="W149" s="268"/>
      <c r="X149" s="271" t="str">
        <f>IFERROR(INDEX(Table3941[],MATCH(R149,Table3941[Film Type],),3),"")</f>
        <v/>
      </c>
      <c r="Y149" s="271"/>
      <c r="Z149" s="78" t="s">
        <v>55</v>
      </c>
      <c r="AA149" s="78" t="s">
        <v>55</v>
      </c>
      <c r="AB149" s="77"/>
      <c r="AC149" s="76"/>
      <c r="AD149" s="75">
        <f t="shared" si="110"/>
        <v>0</v>
      </c>
      <c r="AG149" s="74">
        <f t="shared" si="136"/>
        <v>0</v>
      </c>
      <c r="AK149" s="65">
        <f t="shared" si="112"/>
        <v>0</v>
      </c>
      <c r="AL149" s="65">
        <f t="shared" si="113"/>
        <v>0</v>
      </c>
      <c r="AM149" s="65">
        <f t="shared" si="114"/>
        <v>0</v>
      </c>
      <c r="AN149" s="73">
        <f t="shared" si="115"/>
        <v>0</v>
      </c>
      <c r="AO149" s="65" t="str">
        <f t="shared" si="116"/>
        <v>0.00</v>
      </c>
      <c r="AP149" s="65" t="str">
        <f t="shared" si="117"/>
        <v>0</v>
      </c>
      <c r="AQ149" s="71">
        <f t="shared" si="118"/>
        <v>0</v>
      </c>
      <c r="AR149" s="72">
        <f t="shared" si="119"/>
        <v>0</v>
      </c>
      <c r="AS149" s="71">
        <f t="shared" si="120"/>
        <v>0</v>
      </c>
      <c r="AT149" s="70">
        <f t="shared" si="121"/>
        <v>0</v>
      </c>
      <c r="AU149" s="70">
        <f t="shared" si="122"/>
        <v>0</v>
      </c>
      <c r="AV149" s="2"/>
      <c r="AW149" s="66">
        <f t="shared" si="137"/>
        <v>0</v>
      </c>
      <c r="AX149" s="68">
        <f>_xlfn.IFNA(INDEX(Table3941[I $ p/ft2],MATCH(R149,Table3941[Film Type],0)),1.75)</f>
        <v>1.75</v>
      </c>
      <c r="AY149" s="69">
        <f>VLOOKUP(Z149,Table1349[#All],2,FALSE)</f>
        <v>1</v>
      </c>
      <c r="AZ149" s="68">
        <f t="shared" si="124"/>
        <v>1.75</v>
      </c>
      <c r="BA149" s="65">
        <f t="shared" si="125"/>
        <v>0</v>
      </c>
      <c r="BB149" s="64">
        <f t="shared" si="138"/>
        <v>0</v>
      </c>
      <c r="BC149" s="67">
        <f t="shared" si="127"/>
        <v>0</v>
      </c>
      <c r="BD149" s="66">
        <f t="shared" si="128"/>
        <v>0</v>
      </c>
      <c r="BE149" s="64"/>
      <c r="BF149" s="66">
        <f t="shared" si="139"/>
        <v>0</v>
      </c>
      <c r="BG149" s="66">
        <f t="shared" si="130"/>
        <v>0</v>
      </c>
      <c r="BH149" s="65">
        <f>VLOOKUP(AA149,Table1551[#All],2,FALSE)</f>
        <v>1</v>
      </c>
      <c r="BI149" s="65">
        <f t="shared" si="140"/>
        <v>0</v>
      </c>
      <c r="BJ149" s="64" t="str">
        <f t="shared" si="141"/>
        <v>0</v>
      </c>
      <c r="CK149" s="86" t="s">
        <v>60</v>
      </c>
      <c r="CL149" s="2">
        <v>8</v>
      </c>
      <c r="CM149" s="2">
        <f t="shared" si="133"/>
        <v>8.8000000000000007</v>
      </c>
      <c r="CN149" s="10">
        <v>2</v>
      </c>
      <c r="CO149" s="84">
        <f t="shared" si="142"/>
        <v>0</v>
      </c>
    </row>
    <row r="150" spans="1:93" ht="11.1" hidden="1" customHeight="1" x14ac:dyDescent="0.45">
      <c r="A150" s="83"/>
      <c r="B150" s="176"/>
      <c r="C150" s="177"/>
      <c r="D150" s="177"/>
      <c r="E150" s="178"/>
      <c r="F150" s="161"/>
      <c r="G150" s="161"/>
      <c r="H150" s="162"/>
      <c r="I150" s="163"/>
      <c r="J150" s="161"/>
      <c r="K150" s="164"/>
      <c r="L150" s="79">
        <f t="shared" si="108"/>
        <v>0</v>
      </c>
      <c r="M150" s="64"/>
      <c r="N150" s="64"/>
      <c r="O150" s="64"/>
      <c r="P150" s="80"/>
      <c r="Q150" s="79">
        <f t="shared" si="109"/>
        <v>0</v>
      </c>
      <c r="R150" s="269"/>
      <c r="S150" s="270"/>
      <c r="T150" s="266"/>
      <c r="U150" s="267"/>
      <c r="V150" s="267"/>
      <c r="W150" s="268"/>
      <c r="X150" s="271" t="str">
        <f>IFERROR(INDEX(Table3941[],MATCH(R150,Table3941[Film Type],),3),"")</f>
        <v/>
      </c>
      <c r="Y150" s="271"/>
      <c r="Z150" s="78" t="s">
        <v>55</v>
      </c>
      <c r="AA150" s="78" t="s">
        <v>55</v>
      </c>
      <c r="AB150" s="77"/>
      <c r="AC150" s="76"/>
      <c r="AD150" s="75">
        <f t="shared" si="110"/>
        <v>0</v>
      </c>
      <c r="AG150" s="74">
        <f t="shared" si="111"/>
        <v>0</v>
      </c>
      <c r="AK150" s="65">
        <f t="shared" si="112"/>
        <v>0</v>
      </c>
      <c r="AL150" s="65">
        <f t="shared" si="113"/>
        <v>0</v>
      </c>
      <c r="AM150" s="65">
        <f t="shared" si="114"/>
        <v>0</v>
      </c>
      <c r="AN150" s="73">
        <f t="shared" si="115"/>
        <v>0</v>
      </c>
      <c r="AO150" s="65" t="str">
        <f t="shared" si="116"/>
        <v>0.00</v>
      </c>
      <c r="AP150" s="65" t="str">
        <f t="shared" si="117"/>
        <v>0</v>
      </c>
      <c r="AQ150" s="71">
        <f t="shared" si="118"/>
        <v>0</v>
      </c>
      <c r="AR150" s="72">
        <f t="shared" si="119"/>
        <v>0</v>
      </c>
      <c r="AS150" s="71">
        <f t="shared" si="120"/>
        <v>0</v>
      </c>
      <c r="AT150" s="70">
        <f t="shared" si="121"/>
        <v>0</v>
      </c>
      <c r="AU150" s="70">
        <f t="shared" si="122"/>
        <v>0</v>
      </c>
      <c r="AV150" s="2"/>
      <c r="AW150" s="66">
        <f t="shared" si="123"/>
        <v>0</v>
      </c>
      <c r="AX150" s="68">
        <f>_xlfn.IFNA(INDEX(Table3941[I $ p/ft2],MATCH(R150,Table3941[Film Type],0)),1.75)</f>
        <v>1.75</v>
      </c>
      <c r="AY150" s="69">
        <f>VLOOKUP(Z150,Table1349[#All],2,FALSE)</f>
        <v>1</v>
      </c>
      <c r="AZ150" s="68">
        <f t="shared" si="124"/>
        <v>1.75</v>
      </c>
      <c r="BA150" s="65">
        <f t="shared" si="125"/>
        <v>0</v>
      </c>
      <c r="BB150" s="64">
        <f t="shared" si="126"/>
        <v>0</v>
      </c>
      <c r="BC150" s="67">
        <f t="shared" si="127"/>
        <v>0</v>
      </c>
      <c r="BD150" s="66">
        <f t="shared" si="128"/>
        <v>0</v>
      </c>
      <c r="BE150" s="64"/>
      <c r="BF150" s="66">
        <f t="shared" si="129"/>
        <v>0</v>
      </c>
      <c r="BG150" s="66">
        <f t="shared" si="130"/>
        <v>0</v>
      </c>
      <c r="BH150" s="65">
        <f>VLOOKUP(AA150,Table1551[#All],2,FALSE)</f>
        <v>1</v>
      </c>
      <c r="BI150" s="65">
        <f t="shared" si="131"/>
        <v>0</v>
      </c>
      <c r="BJ150" s="64" t="str">
        <f t="shared" si="132"/>
        <v>0</v>
      </c>
      <c r="CK150" s="86" t="s">
        <v>59</v>
      </c>
      <c r="CL150" s="2">
        <v>5</v>
      </c>
      <c r="CM150" s="2">
        <f t="shared" si="133"/>
        <v>5.5</v>
      </c>
      <c r="CN150" s="10">
        <v>1.5</v>
      </c>
      <c r="CO150" s="84">
        <f t="shared" si="134"/>
        <v>0</v>
      </c>
    </row>
    <row r="151" spans="1:93" ht="11.1" hidden="1" customHeight="1" x14ac:dyDescent="0.45">
      <c r="A151" s="83"/>
      <c r="B151" s="266"/>
      <c r="C151" s="267"/>
      <c r="D151" s="267"/>
      <c r="E151" s="268"/>
      <c r="F151" s="64"/>
      <c r="G151" s="64"/>
      <c r="H151" s="82"/>
      <c r="I151" s="81"/>
      <c r="J151" s="64"/>
      <c r="K151" s="80"/>
      <c r="L151" s="79">
        <f t="shared" si="108"/>
        <v>0</v>
      </c>
      <c r="M151" s="64"/>
      <c r="N151" s="64"/>
      <c r="O151" s="64"/>
      <c r="P151" s="80"/>
      <c r="Q151" s="79">
        <f t="shared" si="109"/>
        <v>0</v>
      </c>
      <c r="R151" s="269"/>
      <c r="S151" s="270"/>
      <c r="T151" s="266"/>
      <c r="U151" s="267"/>
      <c r="V151" s="267"/>
      <c r="W151" s="268"/>
      <c r="X151" s="271" t="str">
        <f>IFERROR(INDEX(Table3941[],MATCH(R151,Table3941[Film Type],),3),"")</f>
        <v/>
      </c>
      <c r="Y151" s="271"/>
      <c r="Z151" s="78" t="s">
        <v>55</v>
      </c>
      <c r="AA151" s="78" t="s">
        <v>55</v>
      </c>
      <c r="AB151" s="77"/>
      <c r="AC151" s="76"/>
      <c r="AD151" s="75">
        <f t="shared" si="110"/>
        <v>0</v>
      </c>
      <c r="AG151" s="74">
        <f t="shared" si="111"/>
        <v>0</v>
      </c>
      <c r="AK151" s="65">
        <f t="shared" si="112"/>
        <v>0</v>
      </c>
      <c r="AL151" s="65">
        <f t="shared" si="113"/>
        <v>0</v>
      </c>
      <c r="AM151" s="65">
        <f t="shared" si="114"/>
        <v>0</v>
      </c>
      <c r="AN151" s="73">
        <f t="shared" si="115"/>
        <v>0</v>
      </c>
      <c r="AO151" s="65" t="str">
        <f t="shared" si="116"/>
        <v>0.00</v>
      </c>
      <c r="AP151" s="65" t="str">
        <f t="shared" si="117"/>
        <v>0</v>
      </c>
      <c r="AQ151" s="71">
        <f t="shared" si="118"/>
        <v>0</v>
      </c>
      <c r="AR151" s="72">
        <f t="shared" si="119"/>
        <v>0</v>
      </c>
      <c r="AS151" s="71">
        <f t="shared" si="120"/>
        <v>0</v>
      </c>
      <c r="AT151" s="70">
        <f t="shared" si="121"/>
        <v>0</v>
      </c>
      <c r="AU151" s="70">
        <f t="shared" si="122"/>
        <v>0</v>
      </c>
      <c r="AV151" s="2"/>
      <c r="AW151" s="66">
        <f t="shared" si="123"/>
        <v>0</v>
      </c>
      <c r="AX151" s="68">
        <f>_xlfn.IFNA(INDEX(Table3941[I $ p/ft2],MATCH(R151,Table3941[Film Type],0)),1.75)</f>
        <v>1.75</v>
      </c>
      <c r="AY151" s="69">
        <f>VLOOKUP(Z151,Table1349[#All],2,FALSE)</f>
        <v>1</v>
      </c>
      <c r="AZ151" s="68">
        <f t="shared" si="124"/>
        <v>1.75</v>
      </c>
      <c r="BA151" s="65">
        <f t="shared" si="125"/>
        <v>0</v>
      </c>
      <c r="BB151" s="64">
        <f t="shared" si="126"/>
        <v>0</v>
      </c>
      <c r="BC151" s="67">
        <f t="shared" si="127"/>
        <v>0</v>
      </c>
      <c r="BD151" s="66">
        <f t="shared" si="128"/>
        <v>0</v>
      </c>
      <c r="BE151" s="64"/>
      <c r="BF151" s="66">
        <f t="shared" si="129"/>
        <v>0</v>
      </c>
      <c r="BG151" s="66">
        <f t="shared" si="130"/>
        <v>0</v>
      </c>
      <c r="BH151" s="65">
        <f>VLOOKUP(AA151,Table1551[#All],2,FALSE)</f>
        <v>1</v>
      </c>
      <c r="BI151" s="65">
        <f t="shared" si="131"/>
        <v>0</v>
      </c>
      <c r="BJ151" s="64" t="str">
        <f t="shared" si="132"/>
        <v>0</v>
      </c>
      <c r="CK151" s="86" t="s">
        <v>58</v>
      </c>
      <c r="CL151" s="2">
        <v>5.5</v>
      </c>
      <c r="CM151" s="2">
        <f t="shared" si="133"/>
        <v>6.0500000000000007</v>
      </c>
      <c r="CN151" s="10">
        <v>1.5</v>
      </c>
      <c r="CO151" s="84">
        <f t="shared" si="134"/>
        <v>0</v>
      </c>
    </row>
    <row r="152" spans="1:93" ht="11.1" hidden="1" customHeight="1" x14ac:dyDescent="0.45">
      <c r="A152" s="83"/>
      <c r="B152" s="266"/>
      <c r="C152" s="267"/>
      <c r="D152" s="267"/>
      <c r="E152" s="268"/>
      <c r="F152" s="64"/>
      <c r="G152" s="64"/>
      <c r="H152" s="82"/>
      <c r="I152" s="81"/>
      <c r="J152" s="64"/>
      <c r="K152" s="80"/>
      <c r="L152" s="79">
        <f t="shared" si="108"/>
        <v>0</v>
      </c>
      <c r="M152" s="64"/>
      <c r="N152" s="64"/>
      <c r="O152" s="64"/>
      <c r="P152" s="80"/>
      <c r="Q152" s="79">
        <f t="shared" si="109"/>
        <v>0</v>
      </c>
      <c r="R152" s="269"/>
      <c r="S152" s="270"/>
      <c r="T152" s="266"/>
      <c r="U152" s="267"/>
      <c r="V152" s="267"/>
      <c r="W152" s="268"/>
      <c r="X152" s="271" t="str">
        <f>IFERROR(INDEX(Table3941[],MATCH(R152,Table3941[Film Type],),3),"")</f>
        <v/>
      </c>
      <c r="Y152" s="271"/>
      <c r="Z152" s="78" t="s">
        <v>55</v>
      </c>
      <c r="AA152" s="78" t="s">
        <v>55</v>
      </c>
      <c r="AB152" s="77"/>
      <c r="AC152" s="76"/>
      <c r="AD152" s="75">
        <f t="shared" si="110"/>
        <v>0</v>
      </c>
      <c r="AG152" s="74">
        <f t="shared" si="111"/>
        <v>0</v>
      </c>
      <c r="AK152" s="65">
        <f t="shared" si="112"/>
        <v>0</v>
      </c>
      <c r="AL152" s="65">
        <f t="shared" si="113"/>
        <v>0</v>
      </c>
      <c r="AM152" s="65">
        <f t="shared" si="114"/>
        <v>0</v>
      </c>
      <c r="AN152" s="73">
        <f t="shared" si="115"/>
        <v>0</v>
      </c>
      <c r="AO152" s="65" t="str">
        <f t="shared" si="116"/>
        <v>0.00</v>
      </c>
      <c r="AP152" s="65" t="str">
        <f t="shared" si="117"/>
        <v>0</v>
      </c>
      <c r="AQ152" s="71">
        <f t="shared" si="118"/>
        <v>0</v>
      </c>
      <c r="AR152" s="72">
        <f t="shared" si="119"/>
        <v>0</v>
      </c>
      <c r="AS152" s="71">
        <f t="shared" si="120"/>
        <v>0</v>
      </c>
      <c r="AT152" s="70">
        <f t="shared" si="121"/>
        <v>0</v>
      </c>
      <c r="AU152" s="70">
        <f t="shared" si="122"/>
        <v>0</v>
      </c>
      <c r="AV152" s="2"/>
      <c r="AW152" s="66">
        <f t="shared" si="123"/>
        <v>0</v>
      </c>
      <c r="AX152" s="68">
        <f>_xlfn.IFNA(INDEX(Table3941[I $ p/ft2],MATCH(R152,Table3941[Film Type],0)),1.75)</f>
        <v>1.75</v>
      </c>
      <c r="AY152" s="69">
        <f>VLOOKUP(Z152,Table1349[#All],2,FALSE)</f>
        <v>1</v>
      </c>
      <c r="AZ152" s="68">
        <f t="shared" si="124"/>
        <v>1.75</v>
      </c>
      <c r="BA152" s="65">
        <f t="shared" si="125"/>
        <v>0</v>
      </c>
      <c r="BB152" s="64">
        <f t="shared" si="126"/>
        <v>0</v>
      </c>
      <c r="BC152" s="67">
        <f t="shared" si="127"/>
        <v>0</v>
      </c>
      <c r="BD152" s="66">
        <f t="shared" si="128"/>
        <v>0</v>
      </c>
      <c r="BE152" s="64"/>
      <c r="BF152" s="66">
        <f t="shared" si="129"/>
        <v>0</v>
      </c>
      <c r="BG152" s="66">
        <f t="shared" si="130"/>
        <v>0</v>
      </c>
      <c r="BH152" s="65">
        <f>VLOOKUP(AA152,Table1551[#All],2,FALSE)</f>
        <v>1</v>
      </c>
      <c r="BI152" s="65">
        <f t="shared" si="131"/>
        <v>0</v>
      </c>
      <c r="BJ152" s="64" t="str">
        <f t="shared" si="132"/>
        <v>0</v>
      </c>
      <c r="CK152" s="86" t="s">
        <v>57</v>
      </c>
      <c r="CL152" s="2">
        <v>7</v>
      </c>
      <c r="CM152" s="2">
        <f t="shared" si="133"/>
        <v>7.7000000000000011</v>
      </c>
      <c r="CN152" s="10">
        <v>1.5</v>
      </c>
      <c r="CO152" s="84">
        <f t="shared" si="134"/>
        <v>0</v>
      </c>
    </row>
    <row r="153" spans="1:93" ht="11.1" hidden="1" customHeight="1" x14ac:dyDescent="0.45">
      <c r="A153" s="83"/>
      <c r="B153" s="266"/>
      <c r="C153" s="267"/>
      <c r="D153" s="267"/>
      <c r="E153" s="268"/>
      <c r="F153" s="64"/>
      <c r="G153" s="64"/>
      <c r="H153" s="82"/>
      <c r="I153" s="81"/>
      <c r="J153" s="64"/>
      <c r="K153" s="80"/>
      <c r="L153" s="79">
        <f t="shared" si="108"/>
        <v>0</v>
      </c>
      <c r="M153" s="64"/>
      <c r="N153" s="64"/>
      <c r="O153" s="64"/>
      <c r="P153" s="80"/>
      <c r="Q153" s="79">
        <f t="shared" si="109"/>
        <v>0</v>
      </c>
      <c r="R153" s="269"/>
      <c r="S153" s="270"/>
      <c r="T153" s="266"/>
      <c r="U153" s="267"/>
      <c r="V153" s="267"/>
      <c r="W153" s="268"/>
      <c r="X153" s="271" t="str">
        <f>IFERROR(INDEX(Table3941[],MATCH(R153,Table3941[Film Type],),3),"")</f>
        <v/>
      </c>
      <c r="Y153" s="271"/>
      <c r="Z153" s="78" t="s">
        <v>55</v>
      </c>
      <c r="AA153" s="78" t="s">
        <v>55</v>
      </c>
      <c r="AB153" s="77"/>
      <c r="AC153" s="76"/>
      <c r="AD153" s="75">
        <f t="shared" si="110"/>
        <v>0</v>
      </c>
      <c r="AG153" s="74">
        <f t="shared" si="111"/>
        <v>0</v>
      </c>
      <c r="AK153" s="65">
        <f t="shared" si="112"/>
        <v>0</v>
      </c>
      <c r="AL153" s="65">
        <f t="shared" si="113"/>
        <v>0</v>
      </c>
      <c r="AM153" s="65">
        <f t="shared" si="114"/>
        <v>0</v>
      </c>
      <c r="AN153" s="73">
        <f t="shared" si="115"/>
        <v>0</v>
      </c>
      <c r="AO153" s="65" t="str">
        <f t="shared" si="116"/>
        <v>0.00</v>
      </c>
      <c r="AP153" s="65" t="str">
        <f t="shared" si="117"/>
        <v>0</v>
      </c>
      <c r="AQ153" s="71">
        <f t="shared" si="118"/>
        <v>0</v>
      </c>
      <c r="AR153" s="72">
        <f t="shared" si="119"/>
        <v>0</v>
      </c>
      <c r="AS153" s="71">
        <f t="shared" si="120"/>
        <v>0</v>
      </c>
      <c r="AT153" s="70">
        <f t="shared" si="121"/>
        <v>0</v>
      </c>
      <c r="AU153" s="70">
        <f t="shared" si="122"/>
        <v>0</v>
      </c>
      <c r="AV153" s="2"/>
      <c r="AW153" s="66">
        <f t="shared" si="123"/>
        <v>0</v>
      </c>
      <c r="AX153" s="68">
        <f>_xlfn.IFNA(INDEX(Table3941[I $ p/ft2],MATCH(R153,Table3941[Film Type],0)),1.75)</f>
        <v>1.75</v>
      </c>
      <c r="AY153" s="69">
        <f>VLOOKUP(Z153,Table1349[#All],2,FALSE)</f>
        <v>1</v>
      </c>
      <c r="AZ153" s="68">
        <f t="shared" si="124"/>
        <v>1.75</v>
      </c>
      <c r="BA153" s="65">
        <f t="shared" si="125"/>
        <v>0</v>
      </c>
      <c r="BB153" s="64">
        <f t="shared" si="126"/>
        <v>0</v>
      </c>
      <c r="BC153" s="67">
        <f t="shared" si="127"/>
        <v>0</v>
      </c>
      <c r="BD153" s="66">
        <f t="shared" si="128"/>
        <v>0</v>
      </c>
      <c r="BE153" s="64"/>
      <c r="BF153" s="66">
        <f t="shared" si="129"/>
        <v>0</v>
      </c>
      <c r="BG153" s="66">
        <f t="shared" si="130"/>
        <v>0</v>
      </c>
      <c r="BH153" s="65">
        <f>VLOOKUP(AA153,Table1551[#All],2,FALSE)</f>
        <v>1</v>
      </c>
      <c r="BI153" s="65">
        <f t="shared" si="131"/>
        <v>0</v>
      </c>
      <c r="BJ153" s="64" t="str">
        <f t="shared" si="132"/>
        <v>0</v>
      </c>
      <c r="CK153" s="86"/>
      <c r="CM153" s="2">
        <f t="shared" si="133"/>
        <v>0</v>
      </c>
      <c r="CN153" s="10"/>
      <c r="CO153" s="84">
        <f t="shared" si="134"/>
        <v>0</v>
      </c>
    </row>
    <row r="154" spans="1:93" ht="11.1" hidden="1" customHeight="1" x14ac:dyDescent="0.45">
      <c r="A154" s="83"/>
      <c r="B154" s="266"/>
      <c r="C154" s="267"/>
      <c r="D154" s="267"/>
      <c r="E154" s="268"/>
      <c r="F154" s="64"/>
      <c r="G154" s="64"/>
      <c r="H154" s="82"/>
      <c r="I154" s="81"/>
      <c r="J154" s="64"/>
      <c r="K154" s="80"/>
      <c r="L154" s="79">
        <f t="shared" si="108"/>
        <v>0</v>
      </c>
      <c r="M154" s="64"/>
      <c r="N154" s="64"/>
      <c r="O154" s="64"/>
      <c r="P154" s="80"/>
      <c r="Q154" s="79">
        <f t="shared" si="109"/>
        <v>0</v>
      </c>
      <c r="R154" s="269"/>
      <c r="S154" s="270"/>
      <c r="T154" s="266"/>
      <c r="U154" s="267"/>
      <c r="V154" s="267"/>
      <c r="W154" s="268"/>
      <c r="X154" s="271" t="str">
        <f>IFERROR(INDEX(Table3941[],MATCH(R154,Table3941[Film Type],),3),"")</f>
        <v/>
      </c>
      <c r="Y154" s="271"/>
      <c r="Z154" s="78" t="s">
        <v>55</v>
      </c>
      <c r="AA154" s="78" t="s">
        <v>55</v>
      </c>
      <c r="AB154" s="77"/>
      <c r="AC154" s="76"/>
      <c r="AD154" s="75">
        <f t="shared" si="110"/>
        <v>0</v>
      </c>
      <c r="AG154" s="74">
        <f t="shared" si="111"/>
        <v>0</v>
      </c>
      <c r="AK154" s="65">
        <f t="shared" si="112"/>
        <v>0</v>
      </c>
      <c r="AL154" s="65">
        <f t="shared" si="113"/>
        <v>0</v>
      </c>
      <c r="AM154" s="65">
        <f t="shared" si="114"/>
        <v>0</v>
      </c>
      <c r="AN154" s="73">
        <f t="shared" si="115"/>
        <v>0</v>
      </c>
      <c r="AO154" s="65" t="str">
        <f t="shared" si="116"/>
        <v>0.00</v>
      </c>
      <c r="AP154" s="65" t="str">
        <f t="shared" si="117"/>
        <v>0</v>
      </c>
      <c r="AQ154" s="71">
        <f t="shared" si="118"/>
        <v>0</v>
      </c>
      <c r="AR154" s="72">
        <f t="shared" si="119"/>
        <v>0</v>
      </c>
      <c r="AS154" s="71">
        <f t="shared" si="120"/>
        <v>0</v>
      </c>
      <c r="AT154" s="70">
        <f t="shared" si="121"/>
        <v>0</v>
      </c>
      <c r="AU154" s="70">
        <f t="shared" si="122"/>
        <v>0</v>
      </c>
      <c r="AV154" s="2"/>
      <c r="AW154" s="66">
        <f t="shared" si="123"/>
        <v>0</v>
      </c>
      <c r="AX154" s="68">
        <f>_xlfn.IFNA(INDEX(Table3941[I $ p/ft2],MATCH(R154,Table3941[Film Type],0)),1.75)</f>
        <v>1.75</v>
      </c>
      <c r="AY154" s="69">
        <f>VLOOKUP(Z154,Table1349[#All],2,FALSE)</f>
        <v>1</v>
      </c>
      <c r="AZ154" s="68">
        <f t="shared" si="124"/>
        <v>1.75</v>
      </c>
      <c r="BA154" s="65">
        <f t="shared" si="125"/>
        <v>0</v>
      </c>
      <c r="BB154" s="64">
        <f t="shared" si="126"/>
        <v>0</v>
      </c>
      <c r="BC154" s="67">
        <f t="shared" si="127"/>
        <v>0</v>
      </c>
      <c r="BD154" s="66">
        <f t="shared" si="128"/>
        <v>0</v>
      </c>
      <c r="BE154" s="64"/>
      <c r="BF154" s="66">
        <f t="shared" si="129"/>
        <v>0</v>
      </c>
      <c r="BG154" s="66">
        <f t="shared" si="130"/>
        <v>0</v>
      </c>
      <c r="BH154" s="65">
        <f>VLOOKUP(AA154,Table1551[#All],2,FALSE)</f>
        <v>1</v>
      </c>
      <c r="BI154" s="65">
        <f t="shared" si="131"/>
        <v>0</v>
      </c>
      <c r="BJ154" s="64" t="str">
        <f t="shared" si="132"/>
        <v>0</v>
      </c>
      <c r="CK154" s="85" t="s">
        <v>56</v>
      </c>
      <c r="CM154" s="2">
        <f t="shared" si="133"/>
        <v>0</v>
      </c>
      <c r="CN154" s="10">
        <v>4</v>
      </c>
      <c r="CO154" s="84">
        <f t="shared" si="134"/>
        <v>0</v>
      </c>
    </row>
    <row r="155" spans="1:93" ht="11.1" hidden="1" customHeight="1" x14ac:dyDescent="0.45">
      <c r="A155" s="83"/>
      <c r="B155" s="266"/>
      <c r="C155" s="267"/>
      <c r="D155" s="267"/>
      <c r="E155" s="268"/>
      <c r="F155" s="64"/>
      <c r="G155" s="64"/>
      <c r="H155" s="82"/>
      <c r="I155" s="81"/>
      <c r="J155" s="64"/>
      <c r="K155" s="80"/>
      <c r="L155" s="79">
        <f t="shared" si="108"/>
        <v>0</v>
      </c>
      <c r="M155" s="64"/>
      <c r="N155" s="64"/>
      <c r="O155" s="64"/>
      <c r="P155" s="80"/>
      <c r="Q155" s="79">
        <f t="shared" si="109"/>
        <v>0</v>
      </c>
      <c r="R155" s="269"/>
      <c r="S155" s="270"/>
      <c r="T155" s="266"/>
      <c r="U155" s="267"/>
      <c r="V155" s="267"/>
      <c r="W155" s="268"/>
      <c r="X155" s="271" t="str">
        <f>IFERROR(INDEX(Table3941[],MATCH(R155,Table3941[Film Type],),3),"")</f>
        <v/>
      </c>
      <c r="Y155" s="271"/>
      <c r="Z155" s="78" t="s">
        <v>55</v>
      </c>
      <c r="AA155" s="78" t="s">
        <v>55</v>
      </c>
      <c r="AB155" s="77"/>
      <c r="AC155" s="76"/>
      <c r="AD155" s="75">
        <f t="shared" si="110"/>
        <v>0</v>
      </c>
      <c r="AG155" s="74">
        <f t="shared" si="111"/>
        <v>0</v>
      </c>
      <c r="AK155" s="65">
        <f t="shared" si="112"/>
        <v>0</v>
      </c>
      <c r="AL155" s="65">
        <f t="shared" si="113"/>
        <v>0</v>
      </c>
      <c r="AM155" s="65">
        <f t="shared" si="114"/>
        <v>0</v>
      </c>
      <c r="AN155" s="73">
        <f t="shared" si="115"/>
        <v>0</v>
      </c>
      <c r="AO155" s="65" t="str">
        <f t="shared" si="116"/>
        <v>0.00</v>
      </c>
      <c r="AP155" s="65" t="str">
        <f t="shared" si="117"/>
        <v>0</v>
      </c>
      <c r="AQ155" s="71">
        <f t="shared" si="118"/>
        <v>0</v>
      </c>
      <c r="AR155" s="72">
        <f t="shared" si="119"/>
        <v>0</v>
      </c>
      <c r="AS155" s="71">
        <f t="shared" si="120"/>
        <v>0</v>
      </c>
      <c r="AT155" s="70">
        <f t="shared" si="121"/>
        <v>0</v>
      </c>
      <c r="AU155" s="70">
        <f t="shared" si="122"/>
        <v>0</v>
      </c>
      <c r="AV155" s="2"/>
      <c r="AW155" s="66">
        <f t="shared" si="123"/>
        <v>0</v>
      </c>
      <c r="AX155" s="68">
        <f>_xlfn.IFNA(INDEX(Table3941[I $ p/ft2],MATCH(R155,Table3941[Film Type],0)),1.75)</f>
        <v>1.75</v>
      </c>
      <c r="AY155" s="69">
        <f>VLOOKUP(Z155,Table1349[#All],2,FALSE)</f>
        <v>1</v>
      </c>
      <c r="AZ155" s="68">
        <f t="shared" si="124"/>
        <v>1.75</v>
      </c>
      <c r="BA155" s="65">
        <f t="shared" si="125"/>
        <v>0</v>
      </c>
      <c r="BB155" s="64">
        <f t="shared" si="126"/>
        <v>0</v>
      </c>
      <c r="BC155" s="67">
        <f t="shared" si="127"/>
        <v>0</v>
      </c>
      <c r="BD155" s="66">
        <f t="shared" si="128"/>
        <v>0</v>
      </c>
      <c r="BE155" s="64"/>
      <c r="BF155" s="66">
        <f t="shared" si="129"/>
        <v>0</v>
      </c>
      <c r="BG155" s="66">
        <f t="shared" si="130"/>
        <v>0</v>
      </c>
      <c r="BH155" s="65">
        <f>VLOOKUP(AA155,Table1551[#All],2,FALSE)</f>
        <v>1</v>
      </c>
      <c r="BI155" s="65">
        <f t="shared" si="131"/>
        <v>0</v>
      </c>
      <c r="BJ155" s="64" t="str">
        <f t="shared" si="132"/>
        <v>0</v>
      </c>
      <c r="CN155" s="10"/>
    </row>
    <row r="156" spans="1:93" ht="11.1" hidden="1" customHeight="1" x14ac:dyDescent="0.45">
      <c r="A156" s="83"/>
      <c r="B156" s="266"/>
      <c r="C156" s="267"/>
      <c r="D156" s="267"/>
      <c r="E156" s="268"/>
      <c r="F156" s="64"/>
      <c r="G156" s="64"/>
      <c r="H156" s="82"/>
      <c r="I156" s="81"/>
      <c r="J156" s="64"/>
      <c r="K156" s="80"/>
      <c r="L156" s="79">
        <f t="shared" si="108"/>
        <v>0</v>
      </c>
      <c r="M156" s="64"/>
      <c r="N156" s="64"/>
      <c r="O156" s="64"/>
      <c r="P156" s="80"/>
      <c r="Q156" s="79">
        <f t="shared" si="109"/>
        <v>0</v>
      </c>
      <c r="R156" s="269"/>
      <c r="S156" s="270"/>
      <c r="T156" s="266"/>
      <c r="U156" s="267"/>
      <c r="V156" s="267"/>
      <c r="W156" s="268"/>
      <c r="X156" s="271" t="str">
        <f>IFERROR(INDEX(Table3941[],MATCH(R156,Table3941[Film Type],),3),"")</f>
        <v/>
      </c>
      <c r="Y156" s="271"/>
      <c r="Z156" s="78" t="s">
        <v>55</v>
      </c>
      <c r="AA156" s="78" t="s">
        <v>55</v>
      </c>
      <c r="AB156" s="77"/>
      <c r="AC156" s="76"/>
      <c r="AD156" s="75">
        <f t="shared" si="110"/>
        <v>0</v>
      </c>
      <c r="AG156" s="74">
        <f t="shared" si="111"/>
        <v>0</v>
      </c>
      <c r="AK156" s="65">
        <f t="shared" si="112"/>
        <v>0</v>
      </c>
      <c r="AL156" s="65">
        <f t="shared" si="113"/>
        <v>0</v>
      </c>
      <c r="AM156" s="65">
        <f t="shared" si="114"/>
        <v>0</v>
      </c>
      <c r="AN156" s="73">
        <f t="shared" si="115"/>
        <v>0</v>
      </c>
      <c r="AO156" s="65" t="str">
        <f t="shared" si="116"/>
        <v>0.00</v>
      </c>
      <c r="AP156" s="65" t="str">
        <f t="shared" si="117"/>
        <v>0</v>
      </c>
      <c r="AQ156" s="71">
        <f t="shared" si="118"/>
        <v>0</v>
      </c>
      <c r="AR156" s="72">
        <f t="shared" si="119"/>
        <v>0</v>
      </c>
      <c r="AS156" s="71">
        <f t="shared" si="120"/>
        <v>0</v>
      </c>
      <c r="AT156" s="70">
        <f t="shared" si="121"/>
        <v>0</v>
      </c>
      <c r="AU156" s="70">
        <f t="shared" si="122"/>
        <v>0</v>
      </c>
      <c r="AV156" s="2"/>
      <c r="AW156" s="66">
        <f t="shared" si="123"/>
        <v>0</v>
      </c>
      <c r="AX156" s="68">
        <f>_xlfn.IFNA(INDEX(Table3941[I $ p/ft2],MATCH(R156,Table3941[Film Type],0)),1.75)</f>
        <v>1.75</v>
      </c>
      <c r="AY156" s="69">
        <f>VLOOKUP(Z156,Table1349[#All],2,FALSE)</f>
        <v>1</v>
      </c>
      <c r="AZ156" s="68">
        <f t="shared" si="124"/>
        <v>1.75</v>
      </c>
      <c r="BA156" s="65">
        <f t="shared" si="125"/>
        <v>0</v>
      </c>
      <c r="BB156" s="64">
        <f t="shared" si="126"/>
        <v>0</v>
      </c>
      <c r="BC156" s="67">
        <f t="shared" si="127"/>
        <v>0</v>
      </c>
      <c r="BD156" s="66">
        <f t="shared" si="128"/>
        <v>0</v>
      </c>
      <c r="BE156" s="64"/>
      <c r="BF156" s="66">
        <f t="shared" si="129"/>
        <v>0</v>
      </c>
      <c r="BG156" s="66">
        <f t="shared" si="130"/>
        <v>0</v>
      </c>
      <c r="BH156" s="65">
        <f>VLOOKUP(AA156,Table1551[#All],2,FALSE)</f>
        <v>1</v>
      </c>
      <c r="BI156" s="65">
        <f t="shared" si="131"/>
        <v>0</v>
      </c>
      <c r="BJ156" s="64" t="str">
        <f t="shared" si="132"/>
        <v>0</v>
      </c>
      <c r="CN156" s="10"/>
    </row>
    <row r="157" spans="1:93" ht="11.1" hidden="1" customHeight="1" thickBot="1" x14ac:dyDescent="0.5">
      <c r="A157" s="83"/>
      <c r="B157" s="266"/>
      <c r="C157" s="267"/>
      <c r="D157" s="267"/>
      <c r="E157" s="268"/>
      <c r="F157" s="64"/>
      <c r="G157" s="64"/>
      <c r="H157" s="82"/>
      <c r="I157" s="81"/>
      <c r="J157" s="64"/>
      <c r="K157" s="80"/>
      <c r="L157" s="79">
        <f t="shared" si="108"/>
        <v>0</v>
      </c>
      <c r="M157" s="64"/>
      <c r="N157" s="64"/>
      <c r="O157" s="64"/>
      <c r="P157" s="80"/>
      <c r="Q157" s="79">
        <f t="shared" si="109"/>
        <v>0</v>
      </c>
      <c r="R157" s="269"/>
      <c r="S157" s="270"/>
      <c r="T157" s="266"/>
      <c r="U157" s="267"/>
      <c r="V157" s="267"/>
      <c r="W157" s="268"/>
      <c r="X157" s="271" t="str">
        <f>IFERROR(INDEX(Table3941[],MATCH(R157,Table3941[Film Type],),3),"")</f>
        <v/>
      </c>
      <c r="Y157" s="271"/>
      <c r="Z157" s="78" t="s">
        <v>55</v>
      </c>
      <c r="AA157" s="78" t="s">
        <v>55</v>
      </c>
      <c r="AB157" s="77"/>
      <c r="AC157" s="76"/>
      <c r="AD157" s="75">
        <f t="shared" si="110"/>
        <v>0</v>
      </c>
      <c r="AG157" s="74">
        <f t="shared" si="111"/>
        <v>0</v>
      </c>
      <c r="AK157" s="65">
        <f t="shared" si="112"/>
        <v>0</v>
      </c>
      <c r="AL157" s="65">
        <f t="shared" si="113"/>
        <v>0</v>
      </c>
      <c r="AM157" s="65">
        <f t="shared" si="114"/>
        <v>0</v>
      </c>
      <c r="AN157" s="73">
        <f t="shared" si="115"/>
        <v>0</v>
      </c>
      <c r="AO157" s="65" t="str">
        <f t="shared" si="116"/>
        <v>0.00</v>
      </c>
      <c r="AP157" s="65" t="str">
        <f t="shared" si="117"/>
        <v>0</v>
      </c>
      <c r="AQ157" s="71">
        <f t="shared" si="118"/>
        <v>0</v>
      </c>
      <c r="AR157" s="72">
        <f t="shared" si="119"/>
        <v>0</v>
      </c>
      <c r="AS157" s="71">
        <f t="shared" si="120"/>
        <v>0</v>
      </c>
      <c r="AT157" s="70">
        <f t="shared" si="121"/>
        <v>0</v>
      </c>
      <c r="AU157" s="70">
        <f t="shared" si="122"/>
        <v>0</v>
      </c>
      <c r="AV157" s="2"/>
      <c r="AW157" s="66">
        <f t="shared" si="123"/>
        <v>0</v>
      </c>
      <c r="AX157" s="68">
        <f>_xlfn.IFNA(INDEX(Table3941[I $ p/ft2],MATCH(R157,Table3941[Film Type],0)),1.75)</f>
        <v>1.75</v>
      </c>
      <c r="AY157" s="69">
        <f>VLOOKUP(Z157,Table1349[#All],2,FALSE)</f>
        <v>1</v>
      </c>
      <c r="AZ157" s="68">
        <f t="shared" si="124"/>
        <v>1.75</v>
      </c>
      <c r="BA157" s="65">
        <f t="shared" si="125"/>
        <v>0</v>
      </c>
      <c r="BB157" s="64">
        <f t="shared" si="126"/>
        <v>0</v>
      </c>
      <c r="BC157" s="67">
        <f t="shared" si="127"/>
        <v>0</v>
      </c>
      <c r="BD157" s="66">
        <f t="shared" si="128"/>
        <v>0</v>
      </c>
      <c r="BE157" s="64"/>
      <c r="BF157" s="66">
        <f t="shared" si="129"/>
        <v>0</v>
      </c>
      <c r="BG157" s="66">
        <f t="shared" si="130"/>
        <v>0</v>
      </c>
      <c r="BH157" s="65">
        <f>VLOOKUP(AA157,Table1551[#All],2,FALSE)</f>
        <v>1</v>
      </c>
      <c r="BI157" s="65">
        <f t="shared" si="131"/>
        <v>0</v>
      </c>
      <c r="BJ157" s="64" t="str">
        <f t="shared" si="132"/>
        <v>0</v>
      </c>
      <c r="CN157" s="10"/>
    </row>
    <row r="158" spans="1:93" ht="10.35" customHeight="1" thickBot="1" x14ac:dyDescent="0.5">
      <c r="A158" s="63" t="s">
        <v>54</v>
      </c>
      <c r="B158" s="62">
        <f>SUM(AW7:AW157)</f>
        <v>0</v>
      </c>
      <c r="C158" s="261" t="s">
        <v>53</v>
      </c>
      <c r="D158" s="262"/>
      <c r="E158" s="61">
        <f>SUM(BB7:BB157)</f>
        <v>0</v>
      </c>
      <c r="F158" s="261" t="s">
        <v>52</v>
      </c>
      <c r="G158" s="263"/>
      <c r="H158" s="262"/>
      <c r="I158" s="62">
        <f>SUM(BF7:BF157)</f>
        <v>0</v>
      </c>
      <c r="J158" s="261" t="s">
        <v>51</v>
      </c>
      <c r="K158" s="262"/>
      <c r="L158" s="61">
        <f>SUM(BJ7:BJ157)</f>
        <v>0</v>
      </c>
      <c r="M158" s="264" t="s">
        <v>50</v>
      </c>
      <c r="N158" s="264"/>
      <c r="O158" s="264">
        <f>CO158</f>
        <v>0</v>
      </c>
      <c r="P158" s="264"/>
      <c r="Q158" s="265" t="s">
        <v>49</v>
      </c>
      <c r="R158" s="265"/>
      <c r="S158" s="60" cm="1">
        <f t="array" ref="S158">SUM(BD7:BD157+BG7:BG157)+$AB$4+$AC$2</f>
        <v>0</v>
      </c>
      <c r="T158" s="248" t="s">
        <v>48</v>
      </c>
      <c r="U158" s="248"/>
      <c r="V158" s="249">
        <f>S158/10</f>
        <v>0</v>
      </c>
      <c r="W158" s="249"/>
      <c r="X158" s="250" t="s">
        <v>47</v>
      </c>
      <c r="Y158" s="251"/>
      <c r="Z158" s="252" t="s">
        <v>46</v>
      </c>
      <c r="AA158" s="253"/>
      <c r="AB158" s="59">
        <f>SUM(AK7:AL157)</f>
        <v>0</v>
      </c>
      <c r="AC158" s="58" t="s">
        <v>45</v>
      </c>
      <c r="AD158" s="57" cm="1">
        <f t="array" ref="AD158">SUM(AM7:AM157+AN7:AN157+AO7:AO157+AP7:AP157)</f>
        <v>0</v>
      </c>
      <c r="AF158" s="56" t="s">
        <v>44</v>
      </c>
      <c r="AG158" s="55">
        <f>SUM(AG7:AG157)</f>
        <v>0</v>
      </c>
      <c r="AH158" s="54"/>
      <c r="AI158" s="54"/>
      <c r="AJ158" s="54"/>
      <c r="AK158" s="54"/>
      <c r="AL158" s="54"/>
      <c r="AM158" s="54"/>
      <c r="AN158" s="54"/>
      <c r="AQ158" s="2"/>
      <c r="AR158" s="2"/>
      <c r="AS158" s="2"/>
      <c r="AT158" s="2"/>
      <c r="AU158" s="2"/>
      <c r="AV158" s="2"/>
      <c r="CN158" s="10"/>
    </row>
    <row r="159" spans="1:93" ht="11.1" customHeight="1" x14ac:dyDescent="0.45">
      <c r="A159" s="254"/>
      <c r="B159" s="254"/>
      <c r="C159" s="254"/>
      <c r="D159" s="254"/>
      <c r="E159" s="254"/>
      <c r="F159" s="255"/>
      <c r="G159" s="255"/>
      <c r="H159" s="255"/>
      <c r="I159" s="255"/>
      <c r="J159" s="255"/>
      <c r="K159" s="255"/>
      <c r="L159" s="255"/>
      <c r="M159" s="255"/>
      <c r="N159" s="255"/>
      <c r="O159" s="255"/>
      <c r="P159" s="255"/>
      <c r="Q159" s="254"/>
      <c r="R159" s="254"/>
      <c r="S159" s="254"/>
      <c r="T159" s="254"/>
      <c r="U159" s="254"/>
      <c r="V159" s="254"/>
      <c r="W159" s="256"/>
      <c r="X159" s="26" t="s">
        <v>43</v>
      </c>
      <c r="Y159" s="46">
        <v>0.2</v>
      </c>
      <c r="Z159" s="257" t="s">
        <v>42</v>
      </c>
      <c r="AA159" s="258"/>
      <c r="AB159" s="233">
        <f>IFERROR((AD159/AD169),0)</f>
        <v>0</v>
      </c>
      <c r="AC159" s="242" t="s">
        <v>41</v>
      </c>
      <c r="AD159" s="244">
        <f>SUM(AD158,AB158)</f>
        <v>0</v>
      </c>
      <c r="AQ159" s="2"/>
      <c r="AR159" s="2"/>
      <c r="AS159" s="2"/>
      <c r="AT159" s="2"/>
      <c r="AU159" s="2"/>
      <c r="AV159" s="2"/>
      <c r="CN159" s="10"/>
      <c r="CO159" s="1">
        <f>SUM(CO7:CO158)</f>
        <v>0</v>
      </c>
    </row>
    <row r="160" spans="1:93" ht="11.1" customHeight="1" x14ac:dyDescent="0.45">
      <c r="A160" s="200" t="s">
        <v>40</v>
      </c>
      <c r="B160" s="201"/>
      <c r="C160" s="206"/>
      <c r="D160" s="207"/>
      <c r="E160" s="208"/>
      <c r="F160" s="206"/>
      <c r="G160" s="207"/>
      <c r="H160" s="207"/>
      <c r="I160" s="207"/>
      <c r="J160" s="207"/>
      <c r="K160" s="207"/>
      <c r="L160" s="207"/>
      <c r="M160" s="207"/>
      <c r="N160" s="207"/>
      <c r="O160" s="207"/>
      <c r="P160" s="208"/>
      <c r="Q160" s="45">
        <v>0</v>
      </c>
      <c r="R160" s="19" t="s">
        <v>20</v>
      </c>
      <c r="S160" s="42" t="s">
        <v>19</v>
      </c>
      <c r="T160" s="53">
        <f>BM7</f>
        <v>0</v>
      </c>
      <c r="U160" s="52">
        <f>IFERROR((W160/W163),0)</f>
        <v>0</v>
      </c>
      <c r="V160" s="48" t="s">
        <v>18</v>
      </c>
      <c r="W160" s="47">
        <f>BO7</f>
        <v>0</v>
      </c>
      <c r="X160" s="26" t="s">
        <v>39</v>
      </c>
      <c r="Y160" s="46" t="s">
        <v>37</v>
      </c>
      <c r="Z160" s="259"/>
      <c r="AA160" s="260"/>
      <c r="AB160" s="234"/>
      <c r="AC160" s="243"/>
      <c r="AD160" s="245"/>
      <c r="AQ160" s="50"/>
      <c r="AR160" s="50"/>
      <c r="AS160" s="50"/>
      <c r="AT160" s="50"/>
      <c r="AU160" s="50"/>
      <c r="AV160" s="50"/>
      <c r="CN160" s="10"/>
    </row>
    <row r="161" spans="1:92" ht="11.1" customHeight="1" x14ac:dyDescent="0.45">
      <c r="A161" s="202"/>
      <c r="B161" s="203"/>
      <c r="C161" s="179"/>
      <c r="D161" s="180"/>
      <c r="E161" s="184"/>
      <c r="F161" s="179"/>
      <c r="G161" s="180"/>
      <c r="H161" s="180"/>
      <c r="I161" s="180"/>
      <c r="J161" s="180"/>
      <c r="K161" s="180"/>
      <c r="L161" s="180"/>
      <c r="M161" s="180"/>
      <c r="N161" s="180"/>
      <c r="O161" s="180"/>
      <c r="P161" s="184"/>
      <c r="Q161" s="45">
        <v>0</v>
      </c>
      <c r="R161" s="19" t="s">
        <v>15</v>
      </c>
      <c r="S161" s="246" t="s">
        <v>14</v>
      </c>
      <c r="T161" s="215">
        <v>0.8</v>
      </c>
      <c r="U161" s="51">
        <v>0.1</v>
      </c>
      <c r="V161" s="48" t="s">
        <v>13</v>
      </c>
      <c r="W161" s="47">
        <f>W163*U161</f>
        <v>0</v>
      </c>
      <c r="X161" s="26" t="s">
        <v>38</v>
      </c>
      <c r="Y161" s="46" t="s">
        <v>37</v>
      </c>
      <c r="Z161" s="221" t="s">
        <v>36</v>
      </c>
      <c r="AA161" s="222"/>
      <c r="AB161" s="240">
        <f>IFERROR((AD161/AD167),0)</f>
        <v>0</v>
      </c>
      <c r="AC161" s="227" t="s">
        <v>35</v>
      </c>
      <c r="AD161" s="229">
        <f>SUM(AQ7:AQ157)</f>
        <v>0</v>
      </c>
      <c r="AQ161" s="50"/>
      <c r="AR161" s="50"/>
      <c r="AS161" s="50"/>
      <c r="AT161" s="50"/>
      <c r="AU161" s="50"/>
      <c r="AV161" s="50"/>
      <c r="CN161" s="10"/>
    </row>
    <row r="162" spans="1:92" ht="11.1" customHeight="1" thickBot="1" x14ac:dyDescent="0.5">
      <c r="A162" s="202"/>
      <c r="B162" s="203"/>
      <c r="C162" s="179"/>
      <c r="D162" s="180"/>
      <c r="E162" s="184"/>
      <c r="F162" s="179"/>
      <c r="G162" s="180"/>
      <c r="H162" s="180"/>
      <c r="I162" s="180"/>
      <c r="J162" s="180"/>
      <c r="K162" s="180"/>
      <c r="L162" s="180"/>
      <c r="M162" s="180"/>
      <c r="N162" s="180"/>
      <c r="O162" s="180"/>
      <c r="P162" s="184"/>
      <c r="Q162" s="45">
        <v>0</v>
      </c>
      <c r="R162" s="19" t="s">
        <v>9</v>
      </c>
      <c r="S162" s="247"/>
      <c r="T162" s="216"/>
      <c r="U162" s="49">
        <f>IFERROR(W162/W163,0)</f>
        <v>0</v>
      </c>
      <c r="V162" s="48" t="s">
        <v>8</v>
      </c>
      <c r="W162" s="47">
        <f>W163-T160-W160-W161</f>
        <v>0</v>
      </c>
      <c r="X162" s="26" t="s">
        <v>34</v>
      </c>
      <c r="Y162" s="46" t="s">
        <v>33</v>
      </c>
      <c r="Z162" s="223"/>
      <c r="AA162" s="224"/>
      <c r="AB162" s="241"/>
      <c r="AC162" s="235"/>
      <c r="AD162" s="230"/>
      <c r="AQ162" s="15"/>
      <c r="AR162" s="15"/>
      <c r="AS162" s="15"/>
      <c r="AT162" s="15"/>
      <c r="AU162" s="15"/>
      <c r="AV162" s="15"/>
      <c r="CN162" s="10"/>
    </row>
    <row r="163" spans="1:92" ht="11.1" customHeight="1" x14ac:dyDescent="0.45">
      <c r="A163" s="202"/>
      <c r="B163" s="203"/>
      <c r="C163" s="179"/>
      <c r="D163" s="180"/>
      <c r="E163" s="184"/>
      <c r="F163" s="179"/>
      <c r="G163" s="180"/>
      <c r="H163" s="180"/>
      <c r="I163" s="180"/>
      <c r="J163" s="180"/>
      <c r="K163" s="180"/>
      <c r="L163" s="180"/>
      <c r="M163" s="180"/>
      <c r="N163" s="180"/>
      <c r="O163" s="180"/>
      <c r="P163" s="184"/>
      <c r="Q163" s="45">
        <v>0</v>
      </c>
      <c r="R163" s="19" t="s">
        <v>5</v>
      </c>
      <c r="S163" s="185"/>
      <c r="T163" s="186"/>
      <c r="U163" s="171" t="s">
        <v>4</v>
      </c>
      <c r="V163" s="238"/>
      <c r="W163" s="44">
        <f>SUM(BM7:BN7)</f>
        <v>0</v>
      </c>
      <c r="X163" s="26" t="s">
        <v>32</v>
      </c>
      <c r="Y163" s="239" t="s">
        <v>31</v>
      </c>
      <c r="Z163" s="221" t="s">
        <v>30</v>
      </c>
      <c r="AA163" s="222"/>
      <c r="AB163" s="233">
        <v>7.0000000000000007E-2</v>
      </c>
      <c r="AC163" s="227" t="s">
        <v>29</v>
      </c>
      <c r="AD163" s="229">
        <f>SUM(AR7:AR157)</f>
        <v>0</v>
      </c>
      <c r="AE163" s="236" t="s">
        <v>28</v>
      </c>
      <c r="AQ163" s="15"/>
      <c r="AR163" s="15"/>
      <c r="AS163" s="15"/>
      <c r="AT163" s="15"/>
      <c r="AU163" s="15"/>
      <c r="AV163" s="15"/>
      <c r="CN163" s="10"/>
    </row>
    <row r="164" spans="1:92" ht="11.1" customHeight="1" x14ac:dyDescent="0.45">
      <c r="A164" s="204"/>
      <c r="B164" s="205"/>
      <c r="C164" s="167"/>
      <c r="D164" s="168"/>
      <c r="E164" s="169"/>
      <c r="F164" s="167"/>
      <c r="G164" s="168"/>
      <c r="H164" s="168"/>
      <c r="I164" s="168"/>
      <c r="J164" s="168"/>
      <c r="K164" s="168"/>
      <c r="L164" s="168"/>
      <c r="M164" s="168"/>
      <c r="N164" s="168"/>
      <c r="O164" s="168"/>
      <c r="P164" s="169"/>
      <c r="Q164" s="20">
        <v>0</v>
      </c>
      <c r="R164" s="19" t="s">
        <v>2</v>
      </c>
      <c r="S164" s="187"/>
      <c r="T164" s="188"/>
      <c r="U164" s="171" t="s">
        <v>1</v>
      </c>
      <c r="V164" s="238"/>
      <c r="W164" s="43"/>
      <c r="X164" s="26"/>
      <c r="Y164" s="239"/>
      <c r="Z164" s="223"/>
      <c r="AA164" s="224"/>
      <c r="AB164" s="234"/>
      <c r="AC164" s="235"/>
      <c r="AD164" s="230"/>
      <c r="AE164" s="237"/>
      <c r="AQ164" s="15"/>
      <c r="AR164" s="15"/>
      <c r="AS164" s="15"/>
      <c r="AT164" s="15"/>
      <c r="AU164" s="15"/>
      <c r="AV164" s="15"/>
      <c r="CN164" s="10"/>
    </row>
    <row r="165" spans="1:92" ht="11.1" customHeight="1" x14ac:dyDescent="0.45">
      <c r="A165" s="217"/>
      <c r="B165" s="217"/>
      <c r="C165" s="217"/>
      <c r="D165" s="217"/>
      <c r="E165" s="217"/>
      <c r="F165" s="217"/>
      <c r="G165" s="217"/>
      <c r="H165" s="217"/>
      <c r="I165" s="217"/>
      <c r="J165" s="217"/>
      <c r="K165" s="217"/>
      <c r="L165" s="217"/>
      <c r="M165" s="217"/>
      <c r="N165" s="217"/>
      <c r="O165" s="217"/>
      <c r="P165" s="217"/>
      <c r="Q165" s="217"/>
      <c r="R165" s="217"/>
      <c r="S165" s="217"/>
      <c r="T165" s="217"/>
      <c r="U165" s="217"/>
      <c r="V165" s="217"/>
      <c r="W165" s="218"/>
      <c r="X165" s="35" t="s">
        <v>27</v>
      </c>
      <c r="Y165" s="34" t="s">
        <v>26</v>
      </c>
      <c r="Z165" s="221" t="s">
        <v>25</v>
      </c>
      <c r="AA165" s="222"/>
      <c r="AB165" s="225">
        <f>IFERROR(AD165/AD167,0)</f>
        <v>0</v>
      </c>
      <c r="AC165" s="227" t="s">
        <v>24</v>
      </c>
      <c r="AD165" s="229">
        <f>SUM(AS7:AS157)</f>
        <v>0</v>
      </c>
      <c r="AE165" s="231">
        <f>IFERROR(AD165/S158,0)</f>
        <v>0</v>
      </c>
      <c r="AQ165" s="15"/>
      <c r="AR165" s="15"/>
      <c r="AS165" s="15"/>
      <c r="AT165" s="15"/>
      <c r="AU165" s="15"/>
      <c r="AV165" s="15"/>
      <c r="CN165" s="10"/>
    </row>
    <row r="166" spans="1:92" ht="11.1" customHeight="1" thickBot="1" x14ac:dyDescent="0.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20"/>
      <c r="X166" s="35" t="s">
        <v>23</v>
      </c>
      <c r="Y166" s="34" t="s">
        <v>22</v>
      </c>
      <c r="Z166" s="223"/>
      <c r="AA166" s="224"/>
      <c r="AB166" s="226"/>
      <c r="AC166" s="228"/>
      <c r="AD166" s="230"/>
      <c r="AE166" s="232"/>
      <c r="AQ166" s="15"/>
      <c r="AR166" s="15"/>
      <c r="AS166" s="15"/>
      <c r="AT166" s="15"/>
      <c r="AU166" s="15"/>
      <c r="AV166" s="15"/>
      <c r="CN166" s="10"/>
    </row>
    <row r="167" spans="1:92" ht="11.1" customHeight="1" x14ac:dyDescent="0.45">
      <c r="A167" s="200" t="s">
        <v>21</v>
      </c>
      <c r="B167" s="201"/>
      <c r="C167" s="206"/>
      <c r="D167" s="207"/>
      <c r="E167" s="208"/>
      <c r="F167" s="206"/>
      <c r="G167" s="207"/>
      <c r="H167" s="207"/>
      <c r="I167" s="207"/>
      <c r="J167" s="207"/>
      <c r="K167" s="207"/>
      <c r="L167" s="207"/>
      <c r="M167" s="207"/>
      <c r="N167" s="207"/>
      <c r="O167" s="207"/>
      <c r="P167" s="209"/>
      <c r="Q167" s="23">
        <v>0</v>
      </c>
      <c r="R167" s="30" t="s">
        <v>20</v>
      </c>
      <c r="S167" s="42" t="s">
        <v>19</v>
      </c>
      <c r="T167" s="41">
        <f>BM8</f>
        <v>0</v>
      </c>
      <c r="U167" s="40">
        <f>IFERROR((W167/W170),0)</f>
        <v>0</v>
      </c>
      <c r="V167" s="28" t="s">
        <v>18</v>
      </c>
      <c r="W167" s="27">
        <f>BO8</f>
        <v>0</v>
      </c>
      <c r="X167" s="26" t="s">
        <v>17</v>
      </c>
      <c r="Y167" s="25" t="s">
        <v>6</v>
      </c>
      <c r="Z167" s="210" t="s">
        <v>14</v>
      </c>
      <c r="AA167" s="210"/>
      <c r="AB167" s="211">
        <v>0.97250000000000003</v>
      </c>
      <c r="AC167" s="39" t="s">
        <v>16</v>
      </c>
      <c r="AD167" s="38">
        <f>SUM(AD159+AD161+AD163+AD165)</f>
        <v>0</v>
      </c>
      <c r="AQ167" s="15"/>
      <c r="AR167" s="15"/>
      <c r="AS167" s="15"/>
      <c r="AT167" s="15"/>
      <c r="AU167" s="15"/>
      <c r="AV167" s="15"/>
      <c r="CN167" s="10"/>
    </row>
    <row r="168" spans="1:92" ht="11.1" customHeight="1" x14ac:dyDescent="0.45">
      <c r="A168" s="202"/>
      <c r="B168" s="203"/>
      <c r="C168" s="179"/>
      <c r="D168" s="180"/>
      <c r="E168" s="184"/>
      <c r="F168" s="179"/>
      <c r="G168" s="180"/>
      <c r="H168" s="180"/>
      <c r="I168" s="180"/>
      <c r="J168" s="180"/>
      <c r="K168" s="180"/>
      <c r="L168" s="180"/>
      <c r="M168" s="180"/>
      <c r="N168" s="180"/>
      <c r="O168" s="180"/>
      <c r="P168" s="181"/>
      <c r="Q168" s="23">
        <v>0</v>
      </c>
      <c r="R168" s="37" t="s">
        <v>15</v>
      </c>
      <c r="S168" s="214" t="s">
        <v>14</v>
      </c>
      <c r="T168" s="215">
        <v>1.2</v>
      </c>
      <c r="U168" s="36">
        <v>0.1</v>
      </c>
      <c r="V168" s="28" t="s">
        <v>13</v>
      </c>
      <c r="W168" s="27">
        <f>W170*U168</f>
        <v>0</v>
      </c>
      <c r="X168" s="35" t="s">
        <v>12</v>
      </c>
      <c r="Y168" s="34" t="s">
        <v>11</v>
      </c>
      <c r="Z168" s="210"/>
      <c r="AA168" s="210"/>
      <c r="AB168" s="212"/>
      <c r="AC168" s="33" t="s">
        <v>10</v>
      </c>
      <c r="AD168" s="32">
        <f>SUM(BM11:BM12)+AB2</f>
        <v>0</v>
      </c>
      <c r="AQ168" s="31"/>
      <c r="AR168" s="31"/>
      <c r="AS168" s="31"/>
      <c r="AT168" s="31"/>
      <c r="AU168" s="31"/>
      <c r="AV168" s="31"/>
      <c r="CN168" s="10"/>
    </row>
    <row r="169" spans="1:92" ht="11.1" customHeight="1" x14ac:dyDescent="0.45">
      <c r="A169" s="202"/>
      <c r="B169" s="203"/>
      <c r="C169" s="179"/>
      <c r="D169" s="180"/>
      <c r="E169" s="184"/>
      <c r="F169" s="179"/>
      <c r="G169" s="180"/>
      <c r="H169" s="180"/>
      <c r="I169" s="180"/>
      <c r="J169" s="180"/>
      <c r="K169" s="180"/>
      <c r="L169" s="180"/>
      <c r="M169" s="180"/>
      <c r="N169" s="180"/>
      <c r="O169" s="180"/>
      <c r="P169" s="181"/>
      <c r="Q169" s="23">
        <v>0</v>
      </c>
      <c r="R169" s="30" t="s">
        <v>9</v>
      </c>
      <c r="S169" s="214"/>
      <c r="T169" s="216"/>
      <c r="U169" s="29">
        <f>IFERROR(W169/W170,0)</f>
        <v>0</v>
      </c>
      <c r="V169" s="28" t="s">
        <v>8</v>
      </c>
      <c r="W169" s="27">
        <f>W170-T167-W167-W168</f>
        <v>0</v>
      </c>
      <c r="X169" s="26" t="s">
        <v>7</v>
      </c>
      <c r="Y169" s="25" t="s">
        <v>6</v>
      </c>
      <c r="Z169" s="210"/>
      <c r="AA169" s="210"/>
      <c r="AB169" s="213"/>
      <c r="AC169" s="182" t="s">
        <v>4</v>
      </c>
      <c r="AD169" s="183">
        <f>AD167+AD168</f>
        <v>0</v>
      </c>
      <c r="AQ169" s="24"/>
      <c r="AR169" s="24"/>
      <c r="AS169" s="24"/>
      <c r="AT169" s="24"/>
      <c r="AU169" s="24"/>
      <c r="AV169" s="24"/>
      <c r="CN169" s="10"/>
    </row>
    <row r="170" spans="1:92" ht="11.1" customHeight="1" x14ac:dyDescent="0.45">
      <c r="A170" s="202"/>
      <c r="B170" s="203"/>
      <c r="C170" s="179"/>
      <c r="D170" s="180"/>
      <c r="E170" s="184"/>
      <c r="F170" s="179"/>
      <c r="G170" s="180"/>
      <c r="H170" s="180"/>
      <c r="I170" s="180"/>
      <c r="J170" s="180"/>
      <c r="K170" s="180"/>
      <c r="L170" s="180"/>
      <c r="M170" s="180"/>
      <c r="N170" s="180"/>
      <c r="O170" s="180"/>
      <c r="P170" s="181"/>
      <c r="Q170" s="23">
        <v>0</v>
      </c>
      <c r="R170" s="19" t="s">
        <v>5</v>
      </c>
      <c r="S170" s="185"/>
      <c r="T170" s="186"/>
      <c r="U170" s="189" t="s">
        <v>4</v>
      </c>
      <c r="V170" s="189"/>
      <c r="W170" s="22">
        <f>SUM(BM8:BN8)</f>
        <v>0</v>
      </c>
      <c r="X170" s="190" t="s">
        <v>3</v>
      </c>
      <c r="Y170" s="192">
        <f>IFERROR(AD167/B158,0)</f>
        <v>0</v>
      </c>
      <c r="Z170" s="194"/>
      <c r="AA170" s="195"/>
      <c r="AB170" s="196"/>
      <c r="AC170" s="182"/>
      <c r="AD170" s="183"/>
      <c r="AQ170" s="21"/>
      <c r="AR170" s="21"/>
      <c r="AS170" s="21"/>
      <c r="AT170" s="21"/>
      <c r="AU170" s="21"/>
      <c r="AV170" s="21"/>
      <c r="AX170" s="1"/>
      <c r="AY170" s="1"/>
      <c r="AZ170" s="1"/>
      <c r="BD170" s="1"/>
      <c r="CN170" s="10"/>
    </row>
    <row r="171" spans="1:92" ht="11.1" customHeight="1" thickBot="1" x14ac:dyDescent="0.5">
      <c r="A171" s="204"/>
      <c r="B171" s="205"/>
      <c r="C171" s="167"/>
      <c r="D171" s="168"/>
      <c r="E171" s="169"/>
      <c r="F171" s="167"/>
      <c r="G171" s="168"/>
      <c r="H171" s="168"/>
      <c r="I171" s="168"/>
      <c r="J171" s="168"/>
      <c r="K171" s="168"/>
      <c r="L171" s="168"/>
      <c r="M171" s="168"/>
      <c r="N171" s="168"/>
      <c r="O171" s="168"/>
      <c r="P171" s="170"/>
      <c r="Q171" s="20">
        <v>0</v>
      </c>
      <c r="R171" s="19" t="s">
        <v>2</v>
      </c>
      <c r="S171" s="187"/>
      <c r="T171" s="188"/>
      <c r="U171" s="171" t="s">
        <v>1</v>
      </c>
      <c r="V171" s="172"/>
      <c r="W171" s="18"/>
      <c r="X171" s="191"/>
      <c r="Y171" s="193"/>
      <c r="Z171" s="197"/>
      <c r="AA171" s="198"/>
      <c r="AB171" s="199"/>
      <c r="AC171" s="17" t="s">
        <v>0</v>
      </c>
      <c r="AD171" s="16">
        <v>0</v>
      </c>
      <c r="AQ171" s="15"/>
      <c r="AR171" s="15"/>
      <c r="AS171" s="15"/>
      <c r="AT171" s="15"/>
      <c r="AU171" s="15"/>
      <c r="AV171" s="15"/>
      <c r="AX171" s="1"/>
      <c r="AY171" s="1"/>
      <c r="AZ171" s="1"/>
      <c r="BD171" s="1"/>
      <c r="CN171" s="10"/>
    </row>
    <row r="172" spans="1:92" ht="11.1" customHeight="1" x14ac:dyDescent="0.45">
      <c r="AC172" s="8"/>
      <c r="AD172" s="8"/>
      <c r="AQ172" s="15"/>
      <c r="AR172" s="15"/>
      <c r="AS172" s="15"/>
      <c r="AT172" s="15"/>
      <c r="AU172" s="15"/>
      <c r="AV172" s="15"/>
      <c r="AX172" s="1"/>
      <c r="AY172" s="1"/>
      <c r="AZ172" s="1"/>
      <c r="BD172" s="1"/>
      <c r="CN172" s="10"/>
    </row>
    <row r="173" spans="1:92" ht="11.1" customHeight="1" x14ac:dyDescent="0.45">
      <c r="AC173" s="8"/>
      <c r="AD173" s="8"/>
      <c r="AX173" s="1"/>
      <c r="AY173" s="1"/>
      <c r="AZ173" s="1"/>
      <c r="BD173" s="1"/>
      <c r="CN173" s="10"/>
    </row>
    <row r="174" spans="1:92" ht="11.1" customHeight="1" x14ac:dyDescent="0.45">
      <c r="T174" s="14"/>
      <c r="U174" s="13"/>
      <c r="AB174" s="8"/>
      <c r="AC174" s="8"/>
      <c r="AD174" s="8"/>
      <c r="AE174" s="11"/>
      <c r="AF174" s="11"/>
      <c r="AG174" s="12"/>
      <c r="AH174" s="12"/>
      <c r="AI174" s="12"/>
      <c r="AJ174" s="12"/>
      <c r="AK174" s="12"/>
      <c r="AL174" s="12"/>
      <c r="AM174" s="12"/>
      <c r="AN174" s="12"/>
      <c r="AQ174" s="11"/>
      <c r="AR174" s="11"/>
      <c r="AS174" s="11"/>
      <c r="AT174" s="11"/>
      <c r="AU174" s="11"/>
      <c r="AV174" s="11"/>
      <c r="AX174" s="1"/>
      <c r="AY174" s="1"/>
      <c r="AZ174" s="1"/>
      <c r="BD174" s="1"/>
      <c r="CN174" s="10"/>
    </row>
    <row r="175" spans="1:92" ht="11.1" customHeight="1" x14ac:dyDescent="0.45">
      <c r="AB175" s="8"/>
      <c r="AC175" s="8"/>
      <c r="AD175" s="8"/>
      <c r="AX175" s="1"/>
      <c r="AY175" s="1"/>
      <c r="AZ175" s="1"/>
      <c r="BD175" s="1"/>
      <c r="CN175" s="10"/>
    </row>
    <row r="176" spans="1:92" ht="14.25" x14ac:dyDescent="0.45">
      <c r="A176"/>
      <c r="B176"/>
      <c r="C176"/>
      <c r="AB176" s="8"/>
      <c r="AC176" s="8"/>
      <c r="AD176" s="8"/>
      <c r="AX176" s="1"/>
      <c r="AY176" s="1"/>
      <c r="AZ176" s="1"/>
      <c r="BD176" s="1"/>
      <c r="CN176" s="10"/>
    </row>
    <row r="177" spans="1:92" ht="14.25" x14ac:dyDescent="0.45">
      <c r="A177"/>
      <c r="B177"/>
      <c r="C177"/>
      <c r="AB177" s="8"/>
      <c r="AC177" s="8"/>
      <c r="AD177" s="8"/>
      <c r="AE177" s="8"/>
      <c r="AF177" s="8"/>
      <c r="AG177" s="9"/>
      <c r="AH177" s="9"/>
      <c r="AI177" s="9"/>
      <c r="AJ177" s="9"/>
      <c r="AK177" s="9"/>
      <c r="AL177" s="9"/>
      <c r="AM177" s="9"/>
      <c r="AN177" s="9"/>
      <c r="AQ177" s="8"/>
      <c r="AR177" s="8"/>
      <c r="AS177" s="8"/>
      <c r="AT177" s="8"/>
      <c r="AU177" s="8"/>
      <c r="AV177" s="8"/>
      <c r="AX177" s="1"/>
      <c r="AY177" s="1"/>
      <c r="AZ177" s="1"/>
      <c r="BD177" s="1"/>
      <c r="CN177" s="10"/>
    </row>
    <row r="178" spans="1:92" ht="14.25" x14ac:dyDescent="0.45">
      <c r="A178"/>
      <c r="B178"/>
      <c r="C178"/>
      <c r="AB178" s="8"/>
      <c r="AC178" s="8"/>
      <c r="AD178" s="8"/>
      <c r="AE178" s="8"/>
      <c r="AF178" s="8"/>
      <c r="AG178" s="9"/>
      <c r="AH178" s="9"/>
      <c r="AI178" s="9"/>
      <c r="AJ178" s="9"/>
      <c r="AK178" s="9"/>
      <c r="AL178" s="9"/>
      <c r="AM178" s="9"/>
      <c r="AN178" s="9"/>
      <c r="AQ178" s="8"/>
      <c r="AR178" s="8"/>
      <c r="AS178" s="8"/>
      <c r="AT178" s="8"/>
      <c r="AU178" s="8"/>
      <c r="AV178" s="8"/>
      <c r="AX178" s="1"/>
      <c r="AY178" s="1"/>
      <c r="AZ178" s="1"/>
      <c r="BD178" s="1"/>
      <c r="CN178" s="10"/>
    </row>
    <row r="179" spans="1:92" ht="14.25" x14ac:dyDescent="0.45">
      <c r="A179"/>
      <c r="B179"/>
      <c r="C179"/>
      <c r="AB179" s="8"/>
      <c r="AE179" s="8"/>
      <c r="AF179" s="8"/>
      <c r="AG179" s="9"/>
      <c r="AH179" s="9"/>
      <c r="AI179" s="9"/>
      <c r="AJ179" s="9"/>
      <c r="AK179" s="9"/>
      <c r="AL179" s="9"/>
      <c r="AM179" s="9"/>
      <c r="AN179" s="9"/>
      <c r="AQ179" s="8"/>
      <c r="AR179" s="8"/>
      <c r="AS179" s="8"/>
      <c r="AT179" s="8"/>
      <c r="AU179" s="8"/>
      <c r="AV179" s="8"/>
      <c r="AX179" s="1"/>
      <c r="AY179" s="1"/>
      <c r="AZ179" s="1"/>
      <c r="BD179" s="1"/>
    </row>
    <row r="180" spans="1:92" ht="14.25" x14ac:dyDescent="0.45">
      <c r="A180"/>
      <c r="B180"/>
      <c r="C180"/>
      <c r="AB180" s="8"/>
      <c r="AC180" s="8"/>
      <c r="AD180" s="8"/>
      <c r="AE180" s="8"/>
      <c r="AF180" s="8"/>
      <c r="AG180" s="9"/>
      <c r="AH180" s="9"/>
      <c r="AI180" s="9"/>
      <c r="AJ180" s="9"/>
      <c r="AK180" s="9"/>
      <c r="AL180" s="9"/>
      <c r="AM180" s="9"/>
      <c r="AN180" s="9"/>
      <c r="AQ180" s="8"/>
      <c r="AR180" s="8"/>
      <c r="AS180" s="8"/>
      <c r="AT180" s="8"/>
      <c r="AU180" s="8"/>
      <c r="AV180" s="8"/>
      <c r="AX180" s="1"/>
      <c r="AY180" s="1"/>
      <c r="AZ180" s="1"/>
      <c r="BD180" s="1"/>
    </row>
    <row r="181" spans="1:92" ht="14.25" x14ac:dyDescent="0.45">
      <c r="A181"/>
      <c r="B181"/>
      <c r="C181"/>
      <c r="AE181" s="8"/>
      <c r="AF181" s="8"/>
      <c r="AG181" s="9"/>
      <c r="AH181" s="9"/>
      <c r="AI181" s="9"/>
      <c r="AJ181" s="9"/>
      <c r="AK181" s="9"/>
      <c r="AL181" s="9"/>
      <c r="AM181" s="9"/>
      <c r="AN181" s="9"/>
      <c r="AQ181" s="8"/>
      <c r="AR181" s="8"/>
      <c r="AS181" s="8"/>
      <c r="AT181" s="8"/>
      <c r="AU181" s="8"/>
      <c r="AV181" s="8"/>
      <c r="AX181" s="1"/>
      <c r="AY181" s="1"/>
      <c r="AZ181" s="1"/>
      <c r="BD181" s="1"/>
    </row>
    <row r="182" spans="1:92" ht="14.25" x14ac:dyDescent="0.45">
      <c r="A182"/>
      <c r="B182"/>
      <c r="C182"/>
      <c r="AE182" s="8"/>
      <c r="AF182" s="8"/>
      <c r="AG182" s="9"/>
      <c r="AH182" s="9"/>
      <c r="AI182" s="9"/>
      <c r="AJ182" s="9"/>
      <c r="AK182" s="9"/>
      <c r="AL182" s="9"/>
      <c r="AM182" s="9"/>
      <c r="AN182" s="9"/>
      <c r="AQ182" s="8"/>
      <c r="AR182" s="8"/>
      <c r="AS182" s="8"/>
      <c r="AT182" s="8"/>
      <c r="AU182" s="8"/>
      <c r="AV182" s="8"/>
    </row>
    <row r="183" spans="1:92" ht="14.25" x14ac:dyDescent="0.45">
      <c r="A183"/>
      <c r="B183"/>
      <c r="C183"/>
      <c r="AE183" s="8"/>
      <c r="AF183" s="8"/>
      <c r="AG183" s="9"/>
      <c r="AH183" s="9"/>
      <c r="AI183" s="9"/>
      <c r="AJ183" s="9"/>
      <c r="AK183" s="9"/>
      <c r="AL183" s="9"/>
      <c r="AM183" s="9"/>
      <c r="AN183" s="9"/>
      <c r="AQ183" s="8"/>
      <c r="AR183" s="8"/>
      <c r="AS183" s="8"/>
      <c r="AT183" s="8"/>
      <c r="AU183" s="8"/>
      <c r="AV183" s="8"/>
    </row>
    <row r="184" spans="1:92" ht="14.25" x14ac:dyDescent="0.45">
      <c r="A184"/>
      <c r="B184"/>
      <c r="C184"/>
      <c r="AE184" s="8"/>
      <c r="AF184" s="8"/>
      <c r="AG184" s="9"/>
      <c r="AH184" s="9"/>
      <c r="AI184" s="9"/>
      <c r="AJ184" s="9"/>
      <c r="AK184" s="9"/>
      <c r="AL184" s="9"/>
      <c r="AM184" s="9"/>
      <c r="AN184" s="9"/>
      <c r="AQ184" s="8"/>
      <c r="AR184" s="8"/>
      <c r="AS184" s="8"/>
      <c r="AT184" s="8"/>
      <c r="AU184" s="8"/>
      <c r="AV184" s="8"/>
    </row>
    <row r="185" spans="1:92" ht="14.25" x14ac:dyDescent="0.45">
      <c r="A185"/>
      <c r="B185"/>
      <c r="C185"/>
      <c r="AE185" s="7"/>
      <c r="AF185" s="7"/>
    </row>
    <row r="186" spans="1:92" ht="14.25" x14ac:dyDescent="0.45">
      <c r="A186"/>
      <c r="B186"/>
      <c r="C186"/>
    </row>
    <row r="187" spans="1:92" ht="14.25" x14ac:dyDescent="0.45">
      <c r="A187"/>
      <c r="B187"/>
      <c r="C187"/>
    </row>
    <row r="188" spans="1:92" ht="14.25" x14ac:dyDescent="0.45">
      <c r="A188"/>
      <c r="B188"/>
      <c r="C188"/>
    </row>
    <row r="189" spans="1:92" ht="14.25" x14ac:dyDescent="0.45">
      <c r="A189"/>
      <c r="B189"/>
      <c r="C189"/>
    </row>
    <row r="190" spans="1:92" ht="14.25" x14ac:dyDescent="0.45">
      <c r="A190"/>
      <c r="B190"/>
      <c r="C190"/>
    </row>
    <row r="191" spans="1:92" ht="14.25" x14ac:dyDescent="0.45">
      <c r="A191"/>
      <c r="B191"/>
      <c r="C191"/>
    </row>
    <row r="192" spans="1:92" ht="14.25" x14ac:dyDescent="0.45">
      <c r="A192"/>
      <c r="B192"/>
      <c r="C192"/>
    </row>
    <row r="193" spans="1:3" ht="14.25" x14ac:dyDescent="0.45">
      <c r="A193"/>
      <c r="B193"/>
      <c r="C193"/>
    </row>
    <row r="194" spans="1:3" ht="14.25" x14ac:dyDescent="0.45">
      <c r="A194"/>
      <c r="B194"/>
      <c r="C194"/>
    </row>
    <row r="195" spans="1:3" ht="14.25" x14ac:dyDescent="0.45">
      <c r="A195"/>
      <c r="B195"/>
      <c r="C195"/>
    </row>
  </sheetData>
  <sheetProtection selectLockedCells="1"/>
  <dataConsolidate topLabels="1">
    <dataRefs count="1">
      <dataRef ref="I7:K7" sheet="Page 2"/>
    </dataRefs>
  </dataConsolidate>
  <mergeCells count="723">
    <mergeCell ref="AD169:AD170"/>
    <mergeCell ref="C170:E170"/>
    <mergeCell ref="F170:P170"/>
    <mergeCell ref="S170:T171"/>
    <mergeCell ref="U170:V170"/>
    <mergeCell ref="X170:X171"/>
    <mergeCell ref="Y170:Y171"/>
    <mergeCell ref="Z170:AB171"/>
    <mergeCell ref="C171:E171"/>
    <mergeCell ref="AC165:AC166"/>
    <mergeCell ref="AD165:AD166"/>
    <mergeCell ref="AE165:AE166"/>
    <mergeCell ref="AB163:AB164"/>
    <mergeCell ref="AC163:AC164"/>
    <mergeCell ref="AD163:AD164"/>
    <mergeCell ref="AE163:AE164"/>
    <mergeCell ref="F171:P171"/>
    <mergeCell ref="U171:V171"/>
    <mergeCell ref="F169:P169"/>
    <mergeCell ref="A165:W166"/>
    <mergeCell ref="Z165:AA166"/>
    <mergeCell ref="AB165:AB166"/>
    <mergeCell ref="A167:B171"/>
    <mergeCell ref="C167:E167"/>
    <mergeCell ref="F167:P167"/>
    <mergeCell ref="Z167:AA169"/>
    <mergeCell ref="AB167:AB169"/>
    <mergeCell ref="C168:E168"/>
    <mergeCell ref="F168:P168"/>
    <mergeCell ref="S168:S169"/>
    <mergeCell ref="T168:T169"/>
    <mergeCell ref="C169:E169"/>
    <mergeCell ref="AC169:AC170"/>
    <mergeCell ref="Y163:Y164"/>
    <mergeCell ref="Z163:AA164"/>
    <mergeCell ref="A160:B164"/>
    <mergeCell ref="Z161:AA162"/>
    <mergeCell ref="AB161:AB162"/>
    <mergeCell ref="AC161:AC162"/>
    <mergeCell ref="S161:S162"/>
    <mergeCell ref="T161:T162"/>
    <mergeCell ref="C164:E164"/>
    <mergeCell ref="F164:P164"/>
    <mergeCell ref="U164:V164"/>
    <mergeCell ref="C163:E163"/>
    <mergeCell ref="F163:P163"/>
    <mergeCell ref="S163:T164"/>
    <mergeCell ref="U163:V163"/>
    <mergeCell ref="Z158:AA158"/>
    <mergeCell ref="A159:W159"/>
    <mergeCell ref="Z159:AA160"/>
    <mergeCell ref="C158:D158"/>
    <mergeCell ref="F158:H158"/>
    <mergeCell ref="J158:K158"/>
    <mergeCell ref="M158:N158"/>
    <mergeCell ref="AD161:AD162"/>
    <mergeCell ref="C162:E162"/>
    <mergeCell ref="F162:P162"/>
    <mergeCell ref="AB159:AB160"/>
    <mergeCell ref="AC159:AC160"/>
    <mergeCell ref="AD159:AD160"/>
    <mergeCell ref="C160:E160"/>
    <mergeCell ref="F160:P160"/>
    <mergeCell ref="C161:E161"/>
    <mergeCell ref="F161:P161"/>
    <mergeCell ref="B154:E154"/>
    <mergeCell ref="R154:S154"/>
    <mergeCell ref="T154:W154"/>
    <mergeCell ref="X154:Y154"/>
    <mergeCell ref="B155:E155"/>
    <mergeCell ref="R155:S155"/>
    <mergeCell ref="T155:W155"/>
    <mergeCell ref="X155:Y155"/>
    <mergeCell ref="O158:P158"/>
    <mergeCell ref="Q158:R158"/>
    <mergeCell ref="B156:E156"/>
    <mergeCell ref="R156:S156"/>
    <mergeCell ref="T156:W156"/>
    <mergeCell ref="X156:Y156"/>
    <mergeCell ref="B157:E157"/>
    <mergeCell ref="R157:S157"/>
    <mergeCell ref="T157:W157"/>
    <mergeCell ref="X157:Y157"/>
    <mergeCell ref="T158:U158"/>
    <mergeCell ref="V158:W158"/>
    <mergeCell ref="X158:Y158"/>
    <mergeCell ref="B151:E151"/>
    <mergeCell ref="R151:S151"/>
    <mergeCell ref="T151:W151"/>
    <mergeCell ref="X151:Y151"/>
    <mergeCell ref="B152:E152"/>
    <mergeCell ref="R152:S152"/>
    <mergeCell ref="T152:W152"/>
    <mergeCell ref="X152:Y152"/>
    <mergeCell ref="B153:E153"/>
    <mergeCell ref="R153:S153"/>
    <mergeCell ref="T153:W153"/>
    <mergeCell ref="X153:Y153"/>
    <mergeCell ref="B148:E148"/>
    <mergeCell ref="R148:S148"/>
    <mergeCell ref="T148:W148"/>
    <mergeCell ref="X148:Y148"/>
    <mergeCell ref="B149:E149"/>
    <mergeCell ref="R149:S149"/>
    <mergeCell ref="T149:W149"/>
    <mergeCell ref="X149:Y149"/>
    <mergeCell ref="B150:E150"/>
    <mergeCell ref="R150:S150"/>
    <mergeCell ref="T150:W150"/>
    <mergeCell ref="X150:Y150"/>
    <mergeCell ref="B145:E145"/>
    <mergeCell ref="R145:S145"/>
    <mergeCell ref="T145:W145"/>
    <mergeCell ref="X145:Y145"/>
    <mergeCell ref="B146:E146"/>
    <mergeCell ref="R146:S146"/>
    <mergeCell ref="T146:W146"/>
    <mergeCell ref="X146:Y146"/>
    <mergeCell ref="B147:E147"/>
    <mergeCell ref="R147:S147"/>
    <mergeCell ref="T147:W147"/>
    <mergeCell ref="X147:Y147"/>
    <mergeCell ref="B142:E142"/>
    <mergeCell ref="R142:S142"/>
    <mergeCell ref="T142:W142"/>
    <mergeCell ref="X142:Y142"/>
    <mergeCell ref="B143:E143"/>
    <mergeCell ref="R143:S143"/>
    <mergeCell ref="T143:W143"/>
    <mergeCell ref="X143:Y143"/>
    <mergeCell ref="B144:E144"/>
    <mergeCell ref="R144:S144"/>
    <mergeCell ref="T144:W144"/>
    <mergeCell ref="X144:Y144"/>
    <mergeCell ref="B139:E139"/>
    <mergeCell ref="R139:S139"/>
    <mergeCell ref="T139:W139"/>
    <mergeCell ref="X139:Y139"/>
    <mergeCell ref="B140:E140"/>
    <mergeCell ref="R140:S140"/>
    <mergeCell ref="T140:W140"/>
    <mergeCell ref="X140:Y140"/>
    <mergeCell ref="B141:E141"/>
    <mergeCell ref="R141:S141"/>
    <mergeCell ref="T141:W141"/>
    <mergeCell ref="X141:Y141"/>
    <mergeCell ref="B136:E136"/>
    <mergeCell ref="R136:S136"/>
    <mergeCell ref="T136:W136"/>
    <mergeCell ref="X136:Y136"/>
    <mergeCell ref="B137:E137"/>
    <mergeCell ref="R137:S137"/>
    <mergeCell ref="T137:W137"/>
    <mergeCell ref="X137:Y137"/>
    <mergeCell ref="B138:E138"/>
    <mergeCell ref="R138:S138"/>
    <mergeCell ref="T138:W138"/>
    <mergeCell ref="X138:Y138"/>
    <mergeCell ref="B133:E133"/>
    <mergeCell ref="R133:S133"/>
    <mergeCell ref="T133:W133"/>
    <mergeCell ref="X133:Y133"/>
    <mergeCell ref="B134:E134"/>
    <mergeCell ref="R134:S134"/>
    <mergeCell ref="T134:W134"/>
    <mergeCell ref="X134:Y134"/>
    <mergeCell ref="B135:E135"/>
    <mergeCell ref="R135:S135"/>
    <mergeCell ref="T135:W135"/>
    <mergeCell ref="X135:Y135"/>
    <mergeCell ref="B130:E130"/>
    <mergeCell ref="R130:S130"/>
    <mergeCell ref="T130:W130"/>
    <mergeCell ref="X130:Y130"/>
    <mergeCell ref="B131:E131"/>
    <mergeCell ref="R131:S131"/>
    <mergeCell ref="T131:W131"/>
    <mergeCell ref="X131:Y131"/>
    <mergeCell ref="B132:E132"/>
    <mergeCell ref="R132:S132"/>
    <mergeCell ref="T132:W132"/>
    <mergeCell ref="X132:Y132"/>
    <mergeCell ref="B127:E127"/>
    <mergeCell ref="R127:S127"/>
    <mergeCell ref="T127:W127"/>
    <mergeCell ref="X127:Y127"/>
    <mergeCell ref="B128:E128"/>
    <mergeCell ref="R128:S128"/>
    <mergeCell ref="T128:W128"/>
    <mergeCell ref="X128:Y128"/>
    <mergeCell ref="B129:E129"/>
    <mergeCell ref="R129:S129"/>
    <mergeCell ref="T129:W129"/>
    <mergeCell ref="X129:Y129"/>
    <mergeCell ref="B124:E124"/>
    <mergeCell ref="R124:S124"/>
    <mergeCell ref="T124:W124"/>
    <mergeCell ref="X124:Y124"/>
    <mergeCell ref="B125:E125"/>
    <mergeCell ref="R125:S125"/>
    <mergeCell ref="T125:W125"/>
    <mergeCell ref="X125:Y125"/>
    <mergeCell ref="B126:E126"/>
    <mergeCell ref="R126:S126"/>
    <mergeCell ref="T126:W126"/>
    <mergeCell ref="X126:Y126"/>
    <mergeCell ref="B121:E121"/>
    <mergeCell ref="R121:S121"/>
    <mergeCell ref="T121:W121"/>
    <mergeCell ref="X121:Y121"/>
    <mergeCell ref="B122:E122"/>
    <mergeCell ref="R122:S122"/>
    <mergeCell ref="T122:W122"/>
    <mergeCell ref="X122:Y122"/>
    <mergeCell ref="B123:E123"/>
    <mergeCell ref="R123:S123"/>
    <mergeCell ref="T123:W123"/>
    <mergeCell ref="X123:Y123"/>
    <mergeCell ref="B118:E118"/>
    <mergeCell ref="R118:S118"/>
    <mergeCell ref="T118:W118"/>
    <mergeCell ref="X118:Y118"/>
    <mergeCell ref="B119:E119"/>
    <mergeCell ref="R119:S119"/>
    <mergeCell ref="T119:W119"/>
    <mergeCell ref="X119:Y119"/>
    <mergeCell ref="B120:E120"/>
    <mergeCell ref="R120:S120"/>
    <mergeCell ref="T120:W120"/>
    <mergeCell ref="X120:Y120"/>
    <mergeCell ref="B115:E115"/>
    <mergeCell ref="R115:S115"/>
    <mergeCell ref="T115:W115"/>
    <mergeCell ref="X115:Y115"/>
    <mergeCell ref="B116:E116"/>
    <mergeCell ref="R116:S116"/>
    <mergeCell ref="T116:W116"/>
    <mergeCell ref="X116:Y116"/>
    <mergeCell ref="B117:E117"/>
    <mergeCell ref="R117:S117"/>
    <mergeCell ref="T117:W117"/>
    <mergeCell ref="X117:Y117"/>
    <mergeCell ref="B112:E112"/>
    <mergeCell ref="R112:S112"/>
    <mergeCell ref="T112:W112"/>
    <mergeCell ref="X112:Y112"/>
    <mergeCell ref="B113:E113"/>
    <mergeCell ref="R113:S113"/>
    <mergeCell ref="T113:W113"/>
    <mergeCell ref="X113:Y113"/>
    <mergeCell ref="B114:E114"/>
    <mergeCell ref="R114:S114"/>
    <mergeCell ref="T114:W114"/>
    <mergeCell ref="X114:Y114"/>
    <mergeCell ref="B109:E109"/>
    <mergeCell ref="R109:S109"/>
    <mergeCell ref="T109:W109"/>
    <mergeCell ref="X109:Y109"/>
    <mergeCell ref="B110:E110"/>
    <mergeCell ref="R110:S110"/>
    <mergeCell ref="T110:W110"/>
    <mergeCell ref="X110:Y110"/>
    <mergeCell ref="B111:E111"/>
    <mergeCell ref="R111:S111"/>
    <mergeCell ref="T111:W111"/>
    <mergeCell ref="X111:Y111"/>
    <mergeCell ref="B106:E106"/>
    <mergeCell ref="R106:S106"/>
    <mergeCell ref="T106:W106"/>
    <mergeCell ref="X106:Y106"/>
    <mergeCell ref="B107:E107"/>
    <mergeCell ref="R107:S107"/>
    <mergeCell ref="T107:W107"/>
    <mergeCell ref="X107:Y107"/>
    <mergeCell ref="B108:E108"/>
    <mergeCell ref="R108:S108"/>
    <mergeCell ref="T108:W108"/>
    <mergeCell ref="X108:Y108"/>
    <mergeCell ref="B103:E103"/>
    <mergeCell ref="R103:S103"/>
    <mergeCell ref="T103:W103"/>
    <mergeCell ref="X103:Y103"/>
    <mergeCell ref="B104:E104"/>
    <mergeCell ref="R104:S104"/>
    <mergeCell ref="T104:W104"/>
    <mergeCell ref="X104:Y104"/>
    <mergeCell ref="B105:E105"/>
    <mergeCell ref="R105:S105"/>
    <mergeCell ref="T105:W105"/>
    <mergeCell ref="X105:Y105"/>
    <mergeCell ref="B100:E100"/>
    <mergeCell ref="R100:S100"/>
    <mergeCell ref="T100:W100"/>
    <mergeCell ref="X100:Y100"/>
    <mergeCell ref="B101:E101"/>
    <mergeCell ref="R101:S101"/>
    <mergeCell ref="T101:W101"/>
    <mergeCell ref="X101:Y101"/>
    <mergeCell ref="B102:E102"/>
    <mergeCell ref="R102:S102"/>
    <mergeCell ref="T102:W102"/>
    <mergeCell ref="X102:Y102"/>
    <mergeCell ref="B97:E97"/>
    <mergeCell ref="R97:S97"/>
    <mergeCell ref="T97:W97"/>
    <mergeCell ref="X97:Y97"/>
    <mergeCell ref="B98:E98"/>
    <mergeCell ref="R98:S98"/>
    <mergeCell ref="T98:W98"/>
    <mergeCell ref="X98:Y98"/>
    <mergeCell ref="B99:E99"/>
    <mergeCell ref="R99:S99"/>
    <mergeCell ref="T99:W99"/>
    <mergeCell ref="X99:Y99"/>
    <mergeCell ref="B94:E94"/>
    <mergeCell ref="R94:S94"/>
    <mergeCell ref="T94:W94"/>
    <mergeCell ref="X94:Y94"/>
    <mergeCell ref="B95:E95"/>
    <mergeCell ref="R95:S95"/>
    <mergeCell ref="T95:W95"/>
    <mergeCell ref="X95:Y95"/>
    <mergeCell ref="B96:E96"/>
    <mergeCell ref="R96:S96"/>
    <mergeCell ref="T96:W96"/>
    <mergeCell ref="X96:Y96"/>
    <mergeCell ref="B91:E91"/>
    <mergeCell ref="R91:S91"/>
    <mergeCell ref="T91:W91"/>
    <mergeCell ref="X91:Y91"/>
    <mergeCell ref="B92:E92"/>
    <mergeCell ref="R92:S92"/>
    <mergeCell ref="T92:W92"/>
    <mergeCell ref="X92:Y92"/>
    <mergeCell ref="B93:E93"/>
    <mergeCell ref="R93:S93"/>
    <mergeCell ref="T93:W93"/>
    <mergeCell ref="X93:Y93"/>
    <mergeCell ref="B88:E88"/>
    <mergeCell ref="R88:S88"/>
    <mergeCell ref="T88:W88"/>
    <mergeCell ref="X88:Y88"/>
    <mergeCell ref="B89:E89"/>
    <mergeCell ref="R89:S89"/>
    <mergeCell ref="T89:W89"/>
    <mergeCell ref="X89:Y89"/>
    <mergeCell ref="B90:E90"/>
    <mergeCell ref="R90:S90"/>
    <mergeCell ref="T90:W90"/>
    <mergeCell ref="X90:Y90"/>
    <mergeCell ref="B85:E85"/>
    <mergeCell ref="R85:S85"/>
    <mergeCell ref="T85:W85"/>
    <mergeCell ref="X85:Y85"/>
    <mergeCell ref="B86:E86"/>
    <mergeCell ref="R86:S86"/>
    <mergeCell ref="T86:W86"/>
    <mergeCell ref="X86:Y86"/>
    <mergeCell ref="B87:E87"/>
    <mergeCell ref="R87:S87"/>
    <mergeCell ref="T87:W87"/>
    <mergeCell ref="X87:Y87"/>
    <mergeCell ref="B82:E82"/>
    <mergeCell ref="R82:S82"/>
    <mergeCell ref="T82:W82"/>
    <mergeCell ref="X82:Y82"/>
    <mergeCell ref="B83:E83"/>
    <mergeCell ref="R83:S83"/>
    <mergeCell ref="T83:W83"/>
    <mergeCell ref="X83:Y83"/>
    <mergeCell ref="B84:E84"/>
    <mergeCell ref="R84:S84"/>
    <mergeCell ref="T84:W84"/>
    <mergeCell ref="X84:Y84"/>
    <mergeCell ref="B79:E79"/>
    <mergeCell ref="R79:S79"/>
    <mergeCell ref="T79:W79"/>
    <mergeCell ref="X79:Y79"/>
    <mergeCell ref="B80:E80"/>
    <mergeCell ref="R80:S80"/>
    <mergeCell ref="T80:W80"/>
    <mergeCell ref="X80:Y80"/>
    <mergeCell ref="B81:E81"/>
    <mergeCell ref="R81:S81"/>
    <mergeCell ref="T81:W81"/>
    <mergeCell ref="X81:Y81"/>
    <mergeCell ref="B76:E76"/>
    <mergeCell ref="R76:S76"/>
    <mergeCell ref="T76:W76"/>
    <mergeCell ref="X76:Y76"/>
    <mergeCell ref="B77:E77"/>
    <mergeCell ref="R77:S77"/>
    <mergeCell ref="T77:W77"/>
    <mergeCell ref="X77:Y77"/>
    <mergeCell ref="B78:E78"/>
    <mergeCell ref="R78:S78"/>
    <mergeCell ref="T78:W78"/>
    <mergeCell ref="X78:Y78"/>
    <mergeCell ref="B73:E73"/>
    <mergeCell ref="R73:S73"/>
    <mergeCell ref="T73:W73"/>
    <mergeCell ref="X73:Y73"/>
    <mergeCell ref="B74:E74"/>
    <mergeCell ref="R74:S74"/>
    <mergeCell ref="T74:W74"/>
    <mergeCell ref="X74:Y74"/>
    <mergeCell ref="B75:E75"/>
    <mergeCell ref="R75:S75"/>
    <mergeCell ref="T75:W75"/>
    <mergeCell ref="X75:Y75"/>
    <mergeCell ref="B70:E70"/>
    <mergeCell ref="R70:S70"/>
    <mergeCell ref="T70:W70"/>
    <mergeCell ref="X70:Y70"/>
    <mergeCell ref="B71:E71"/>
    <mergeCell ref="R71:S71"/>
    <mergeCell ref="T71:W71"/>
    <mergeCell ref="X71:Y71"/>
    <mergeCell ref="B72:E72"/>
    <mergeCell ref="R72:S72"/>
    <mergeCell ref="T72:W72"/>
    <mergeCell ref="X72:Y72"/>
    <mergeCell ref="B67:E67"/>
    <mergeCell ref="R67:S67"/>
    <mergeCell ref="T67:W67"/>
    <mergeCell ref="X67:Y67"/>
    <mergeCell ref="B68:E68"/>
    <mergeCell ref="R68:S68"/>
    <mergeCell ref="T68:W68"/>
    <mergeCell ref="X68:Y68"/>
    <mergeCell ref="B69:E69"/>
    <mergeCell ref="R69:S69"/>
    <mergeCell ref="T69:W69"/>
    <mergeCell ref="X69:Y69"/>
    <mergeCell ref="B64:E64"/>
    <mergeCell ref="R64:S64"/>
    <mergeCell ref="T64:W64"/>
    <mergeCell ref="X64:Y64"/>
    <mergeCell ref="B65:E65"/>
    <mergeCell ref="R65:S65"/>
    <mergeCell ref="T65:W65"/>
    <mergeCell ref="X65:Y65"/>
    <mergeCell ref="B66:E66"/>
    <mergeCell ref="R66:S66"/>
    <mergeCell ref="T66:W66"/>
    <mergeCell ref="X66:Y66"/>
    <mergeCell ref="B61:E61"/>
    <mergeCell ref="R61:S61"/>
    <mergeCell ref="T61:W61"/>
    <mergeCell ref="X61:Y61"/>
    <mergeCell ref="B62:E62"/>
    <mergeCell ref="R62:S62"/>
    <mergeCell ref="T62:W62"/>
    <mergeCell ref="X62:Y62"/>
    <mergeCell ref="B63:E63"/>
    <mergeCell ref="R63:S63"/>
    <mergeCell ref="T63:W63"/>
    <mergeCell ref="X63:Y63"/>
    <mergeCell ref="B58:E58"/>
    <mergeCell ref="R58:S58"/>
    <mergeCell ref="T58:W58"/>
    <mergeCell ref="X58:Y58"/>
    <mergeCell ref="B59:E59"/>
    <mergeCell ref="R59:S59"/>
    <mergeCell ref="T59:W59"/>
    <mergeCell ref="X59:Y59"/>
    <mergeCell ref="B60:E60"/>
    <mergeCell ref="R60:S60"/>
    <mergeCell ref="T60:W60"/>
    <mergeCell ref="X60:Y60"/>
    <mergeCell ref="B55:E55"/>
    <mergeCell ref="R55:S55"/>
    <mergeCell ref="T55:W55"/>
    <mergeCell ref="X55:Y55"/>
    <mergeCell ref="B56:E56"/>
    <mergeCell ref="R56:S56"/>
    <mergeCell ref="T56:W56"/>
    <mergeCell ref="X56:Y56"/>
    <mergeCell ref="B57:E57"/>
    <mergeCell ref="R57:S57"/>
    <mergeCell ref="T57:W57"/>
    <mergeCell ref="X57:Y57"/>
    <mergeCell ref="B52:E52"/>
    <mergeCell ref="R52:S52"/>
    <mergeCell ref="T52:W52"/>
    <mergeCell ref="X52:Y52"/>
    <mergeCell ref="B53:E53"/>
    <mergeCell ref="R53:S53"/>
    <mergeCell ref="T53:W53"/>
    <mergeCell ref="X53:Y53"/>
    <mergeCell ref="B54:E54"/>
    <mergeCell ref="R54:S54"/>
    <mergeCell ref="T54:W54"/>
    <mergeCell ref="X54:Y54"/>
    <mergeCell ref="B49:E49"/>
    <mergeCell ref="R49:S49"/>
    <mergeCell ref="T49:W49"/>
    <mergeCell ref="X49:Y49"/>
    <mergeCell ref="B50:E50"/>
    <mergeCell ref="R50:S50"/>
    <mergeCell ref="T50:W50"/>
    <mergeCell ref="X50:Y50"/>
    <mergeCell ref="B51:E51"/>
    <mergeCell ref="R51:S51"/>
    <mergeCell ref="T51:W51"/>
    <mergeCell ref="X51:Y51"/>
    <mergeCell ref="B46:E46"/>
    <mergeCell ref="R46:S46"/>
    <mergeCell ref="T46:W46"/>
    <mergeCell ref="X46:Y46"/>
    <mergeCell ref="B47:E47"/>
    <mergeCell ref="R47:S47"/>
    <mergeCell ref="T47:W47"/>
    <mergeCell ref="X47:Y47"/>
    <mergeCell ref="B48:E48"/>
    <mergeCell ref="R48:S48"/>
    <mergeCell ref="T48:W48"/>
    <mergeCell ref="X48:Y48"/>
    <mergeCell ref="B43:E43"/>
    <mergeCell ref="R43:S43"/>
    <mergeCell ref="T43:W43"/>
    <mergeCell ref="X43:Y43"/>
    <mergeCell ref="B44:E44"/>
    <mergeCell ref="R44:S44"/>
    <mergeCell ref="T44:W44"/>
    <mergeCell ref="X44:Y44"/>
    <mergeCell ref="B45:E45"/>
    <mergeCell ref="R45:S45"/>
    <mergeCell ref="T45:W45"/>
    <mergeCell ref="X45:Y45"/>
    <mergeCell ref="B40:E40"/>
    <mergeCell ref="R40:S40"/>
    <mergeCell ref="T40:W40"/>
    <mergeCell ref="X40:Y40"/>
    <mergeCell ref="B41:E41"/>
    <mergeCell ref="R41:S41"/>
    <mergeCell ref="T41:W41"/>
    <mergeCell ref="X41:Y41"/>
    <mergeCell ref="B42:E42"/>
    <mergeCell ref="R42:S42"/>
    <mergeCell ref="T42:W42"/>
    <mergeCell ref="X42:Y42"/>
    <mergeCell ref="B37:E37"/>
    <mergeCell ref="R37:S37"/>
    <mergeCell ref="T37:W37"/>
    <mergeCell ref="X37:Y37"/>
    <mergeCell ref="B38:E38"/>
    <mergeCell ref="R38:S38"/>
    <mergeCell ref="T38:W38"/>
    <mergeCell ref="X38:Y38"/>
    <mergeCell ref="B39:E39"/>
    <mergeCell ref="R39:S39"/>
    <mergeCell ref="T39:W39"/>
    <mergeCell ref="X39:Y39"/>
    <mergeCell ref="B34:E34"/>
    <mergeCell ref="R34:S34"/>
    <mergeCell ref="T34:W34"/>
    <mergeCell ref="X34:Y34"/>
    <mergeCell ref="B35:E35"/>
    <mergeCell ref="R35:S35"/>
    <mergeCell ref="T35:W35"/>
    <mergeCell ref="X35:Y35"/>
    <mergeCell ref="B36:E36"/>
    <mergeCell ref="R36:S36"/>
    <mergeCell ref="T36:W36"/>
    <mergeCell ref="X36:Y36"/>
    <mergeCell ref="B31:E31"/>
    <mergeCell ref="R31:S31"/>
    <mergeCell ref="T31:W31"/>
    <mergeCell ref="X31:Y31"/>
    <mergeCell ref="B32:E32"/>
    <mergeCell ref="R32:S32"/>
    <mergeCell ref="T32:W32"/>
    <mergeCell ref="X32:Y32"/>
    <mergeCell ref="B33:E33"/>
    <mergeCell ref="R33:S33"/>
    <mergeCell ref="T33:W33"/>
    <mergeCell ref="X33:Y33"/>
    <mergeCell ref="B28:E28"/>
    <mergeCell ref="R28:S28"/>
    <mergeCell ref="T28:W28"/>
    <mergeCell ref="X28:Y28"/>
    <mergeCell ref="B29:E29"/>
    <mergeCell ref="R29:S29"/>
    <mergeCell ref="T29:W29"/>
    <mergeCell ref="X29:Y29"/>
    <mergeCell ref="B30:E30"/>
    <mergeCell ref="R30:S30"/>
    <mergeCell ref="T30:W30"/>
    <mergeCell ref="X30:Y30"/>
    <mergeCell ref="B25:E25"/>
    <mergeCell ref="R25:S25"/>
    <mergeCell ref="T25:W25"/>
    <mergeCell ref="X25:Y25"/>
    <mergeCell ref="B26:E26"/>
    <mergeCell ref="R26:S26"/>
    <mergeCell ref="T26:W26"/>
    <mergeCell ref="X26:Y26"/>
    <mergeCell ref="B27:E27"/>
    <mergeCell ref="R27:S27"/>
    <mergeCell ref="T27:W27"/>
    <mergeCell ref="X27:Y27"/>
    <mergeCell ref="B22:E22"/>
    <mergeCell ref="R22:S22"/>
    <mergeCell ref="T22:W22"/>
    <mergeCell ref="X22:Y22"/>
    <mergeCell ref="B23:E23"/>
    <mergeCell ref="R23:S23"/>
    <mergeCell ref="T23:W23"/>
    <mergeCell ref="X23:Y23"/>
    <mergeCell ref="B24:E24"/>
    <mergeCell ref="R24:S24"/>
    <mergeCell ref="T24:W24"/>
    <mergeCell ref="X24:Y24"/>
    <mergeCell ref="B19:E19"/>
    <mergeCell ref="R19:S19"/>
    <mergeCell ref="T19:W19"/>
    <mergeCell ref="X19:Y19"/>
    <mergeCell ref="B20:E20"/>
    <mergeCell ref="R20:S20"/>
    <mergeCell ref="T20:W20"/>
    <mergeCell ref="X20:Y20"/>
    <mergeCell ref="B21:E21"/>
    <mergeCell ref="R21:S21"/>
    <mergeCell ref="T21:W21"/>
    <mergeCell ref="X21:Y21"/>
    <mergeCell ref="B16:E16"/>
    <mergeCell ref="R16:S16"/>
    <mergeCell ref="T16:W16"/>
    <mergeCell ref="X16:Y16"/>
    <mergeCell ref="B17:E17"/>
    <mergeCell ref="R17:S17"/>
    <mergeCell ref="T17:W17"/>
    <mergeCell ref="X17:Y17"/>
    <mergeCell ref="B18:E18"/>
    <mergeCell ref="R18:S18"/>
    <mergeCell ref="T18:W18"/>
    <mergeCell ref="X18:Y18"/>
    <mergeCell ref="B13:E13"/>
    <mergeCell ref="R13:S13"/>
    <mergeCell ref="T13:W13"/>
    <mergeCell ref="X13:Y13"/>
    <mergeCell ref="B14:E14"/>
    <mergeCell ref="R14:S14"/>
    <mergeCell ref="T14:W14"/>
    <mergeCell ref="X14:Y14"/>
    <mergeCell ref="B15:E15"/>
    <mergeCell ref="R15:S15"/>
    <mergeCell ref="T15:W15"/>
    <mergeCell ref="X15:Y15"/>
    <mergeCell ref="CQ10:CR10"/>
    <mergeCell ref="B11:E11"/>
    <mergeCell ref="R11:S11"/>
    <mergeCell ref="T11:W11"/>
    <mergeCell ref="X11:Y11"/>
    <mergeCell ref="B12:E12"/>
    <mergeCell ref="R12:S12"/>
    <mergeCell ref="T12:W12"/>
    <mergeCell ref="X12:Y12"/>
    <mergeCell ref="B8:E8"/>
    <mergeCell ref="R8:S8"/>
    <mergeCell ref="T8:W8"/>
    <mergeCell ref="X8:Y8"/>
    <mergeCell ref="B9:E9"/>
    <mergeCell ref="R9:S9"/>
    <mergeCell ref="T9:W9"/>
    <mergeCell ref="X9:Y9"/>
    <mergeCell ref="B10:E10"/>
    <mergeCell ref="R10:S10"/>
    <mergeCell ref="T10:W10"/>
    <mergeCell ref="X10:Y10"/>
    <mergeCell ref="B7:E7"/>
    <mergeCell ref="R7:S7"/>
    <mergeCell ref="T7:W7"/>
    <mergeCell ref="X7:Y7"/>
    <mergeCell ref="I5:I6"/>
    <mergeCell ref="J5:J6"/>
    <mergeCell ref="K5:K6"/>
    <mergeCell ref="M5:P5"/>
    <mergeCell ref="R5:S6"/>
    <mergeCell ref="T5:W6"/>
    <mergeCell ref="AD1:AD6"/>
    <mergeCell ref="X2:Y2"/>
    <mergeCell ref="Z2:AA2"/>
    <mergeCell ref="K3:L4"/>
    <mergeCell ref="M3:P4"/>
    <mergeCell ref="Q3:Q4"/>
    <mergeCell ref="R3:S4"/>
    <mergeCell ref="X5:Y6"/>
    <mergeCell ref="Z5:Z6"/>
    <mergeCell ref="T3:T4"/>
    <mergeCell ref="U3:W4"/>
    <mergeCell ref="X3:AA3"/>
    <mergeCell ref="AB3:AC3"/>
    <mergeCell ref="X4:Y4"/>
    <mergeCell ref="L1:M2"/>
    <mergeCell ref="H1:K2"/>
    <mergeCell ref="AA5:AA6"/>
    <mergeCell ref="AB5:AC6"/>
    <mergeCell ref="X1:Y1"/>
    <mergeCell ref="Z1:AA1"/>
    <mergeCell ref="A5:A6"/>
    <mergeCell ref="B5:E6"/>
    <mergeCell ref="F5:F6"/>
    <mergeCell ref="G5:G6"/>
    <mergeCell ref="H5:H6"/>
    <mergeCell ref="H3:I4"/>
    <mergeCell ref="J3:J4"/>
    <mergeCell ref="N1:P2"/>
    <mergeCell ref="Q1:Q2"/>
    <mergeCell ref="R1:S2"/>
    <mergeCell ref="T1:T2"/>
    <mergeCell ref="U1:W2"/>
    <mergeCell ref="A1:A2"/>
    <mergeCell ref="B1:B2"/>
    <mergeCell ref="C1:C2"/>
    <mergeCell ref="D1:E2"/>
    <mergeCell ref="F1:G2"/>
    <mergeCell ref="A3:A4"/>
    <mergeCell ref="B3:B4"/>
    <mergeCell ref="C3:C4"/>
    <mergeCell ref="D3:E4"/>
    <mergeCell ref="F3:G4"/>
  </mergeCells>
  <conditionalFormatting sqref="F162:P162">
    <cfRule type="duplicateValues" dxfId="10" priority="3"/>
  </conditionalFormatting>
  <conditionalFormatting sqref="U162">
    <cfRule type="colorScale" priority="11">
      <colorScale>
        <cfvo type="num" val="0.13"/>
        <cfvo type="max"/>
        <color rgb="FFFF0000"/>
        <color rgb="FF98FB33"/>
      </colorScale>
    </cfRule>
  </conditionalFormatting>
  <conditionalFormatting sqref="U169">
    <cfRule type="colorScale" priority="10">
      <colorScale>
        <cfvo type="num" val="0.13"/>
        <cfvo type="max"/>
        <color rgb="FFFF0000"/>
        <color rgb="FF98FB33"/>
      </colorScale>
    </cfRule>
  </conditionalFormatting>
  <conditionalFormatting sqref="W164">
    <cfRule type="expression" dxfId="9" priority="8">
      <formula>($W$164/$W$163)&lt;=0.98</formula>
    </cfRule>
    <cfRule type="expression" dxfId="8" priority="9">
      <formula>($W$164/$W$163)&gt;=1.02</formula>
    </cfRule>
  </conditionalFormatting>
  <conditionalFormatting sqref="W171">
    <cfRule type="expression" dxfId="7" priority="6">
      <formula>($W$171/$W$170)&lt;=0.98</formula>
    </cfRule>
    <cfRule type="expression" dxfId="6" priority="7">
      <formula>($W$171/$W$170)&gt;=1.02</formula>
    </cfRule>
  </conditionalFormatting>
  <conditionalFormatting sqref="AB165">
    <cfRule type="colorScale" priority="12">
      <colorScale>
        <cfvo type="num" val="0.13"/>
        <cfvo type="max"/>
        <color rgb="FFFF0000"/>
        <color rgb="FF98FB33"/>
      </colorScale>
    </cfRule>
  </conditionalFormatting>
  <conditionalFormatting sqref="AD158">
    <cfRule type="colorScale" priority="13">
      <colorScale>
        <cfvo type="num" val="80"/>
        <cfvo type="max"/>
        <color rgb="FFFF0000"/>
        <color rgb="FFFFE5D5"/>
      </colorScale>
    </cfRule>
  </conditionalFormatting>
  <conditionalFormatting sqref="AD171">
    <cfRule type="expression" dxfId="5" priority="4">
      <formula>($AD$171/$AD$169)&gt;=1.02</formula>
    </cfRule>
    <cfRule type="expression" dxfId="4" priority="5">
      <formula>($AD$171/$AD$169)&lt;=0.98</formula>
    </cfRule>
  </conditionalFormatting>
  <dataValidations count="18">
    <dataValidation type="list" errorStyle="warning" allowBlank="1" showErrorMessage="1" sqref="R7:S157" xr:uid="{C3542CF1-A074-46D2-84A5-A4DC7CFF649A}">
      <formula1>$CK$7:$CK$154</formula1>
    </dataValidation>
    <dataValidation type="list" showInputMessage="1" showErrorMessage="1" sqref="Z7:Z157" xr:uid="{D816EE38-4117-4DDD-945A-4D38A6CA757E}">
      <formula1>$CC$7:$CC$11</formula1>
    </dataValidation>
    <dataValidation type="list" allowBlank="1" showInputMessage="1" showErrorMessage="1" sqref="Z2:AA2" xr:uid="{6FDBD45B-5F0A-4139-93BF-E576BA130F9A}">
      <formula1>$CI$7:$CI$9</formula1>
    </dataValidation>
    <dataValidation type="list" errorStyle="warning" allowBlank="1" showInputMessage="1" sqref="AC2" xr:uid="{F7B0EE85-6CCC-4413-AD3E-F3D0CF138ABD}">
      <formula1>$CA$7:$CA$26</formula1>
    </dataValidation>
    <dataValidation type="list" allowBlank="1" showInputMessage="1" showErrorMessage="1" sqref="X2:Y2" xr:uid="{77D3806A-AE19-4FAD-AD6D-005E37DDF7F6}">
      <formula1>$CH$7:$CH$8</formula1>
    </dataValidation>
    <dataValidation type="list" errorStyle="warning" allowBlank="1" showInputMessage="1" sqref="AB7:AB157" xr:uid="{067691E5-6610-473F-990E-CA0880523A6A}">
      <formula1>$CB$7:$CB$14</formula1>
    </dataValidation>
    <dataValidation type="list" allowBlank="1" showInputMessage="1" showErrorMessage="1" sqref="H7:H157" xr:uid="{00F209F2-F8C1-4527-9CB3-85D5E8226653}">
      <formula1>$BZ$7:$BZ$7</formula1>
    </dataValidation>
    <dataValidation type="list" showInputMessage="1" showErrorMessage="1" sqref="AA7:AA157" xr:uid="{5990CFCC-C71C-41F4-B3DE-673C670314D5}">
      <formula1>$CE$7:$CE$11</formula1>
    </dataValidation>
    <dataValidation type="list" errorStyle="warning" allowBlank="1" showErrorMessage="1" sqref="G7:G157" xr:uid="{F5C7BE02-F780-4FB1-B552-5C2EE0F9A655}">
      <formula1>$BY$7:$BY$18</formula1>
    </dataValidation>
    <dataValidation type="list" errorStyle="warning" allowBlank="1" showErrorMessage="1" sqref="F7:F157" xr:uid="{FC1F0E24-CC12-46AA-A808-B385D7F6BBBD}">
      <formula1>$BX$7:$BX$14</formula1>
    </dataValidation>
    <dataValidation type="list" errorStyle="information" allowBlank="1" showInputMessage="1" sqref="AB4 Q164 Q171" xr:uid="{D231DFBB-5107-4961-B989-25365334E3B7}">
      <formula1>$CA$7:$CA$26</formula1>
    </dataValidation>
    <dataValidation type="list" errorStyle="warning" allowBlank="1" showInputMessage="1" showErrorMessage="1" sqref="R3" xr:uid="{3D3CCCDA-CA5B-4201-9F45-427B2D01709B}">
      <formula1>$BV$7:$BV$11</formula1>
    </dataValidation>
    <dataValidation type="list" errorStyle="warning" allowBlank="1" showInputMessage="1" showErrorMessage="1" sqref="D3" xr:uid="{801A3151-EC36-4974-B01F-80913E7945C4}">
      <formula1>$BS$7:$BS$9</formula1>
    </dataValidation>
    <dataValidation type="list" errorStyle="warning" allowBlank="1" showInputMessage="1" showErrorMessage="1" sqref="B3" xr:uid="{49AD013D-1AEE-4CEF-8E6D-63AA25CCCAFD}">
      <formula1>$BR$7:$BR$13</formula1>
    </dataValidation>
    <dataValidation type="list" errorStyle="warning" allowBlank="1" showInputMessage="1" showErrorMessage="1" sqref="H3" xr:uid="{D48D0DAF-7B93-4CDB-8ED5-7FF05A9E795F}">
      <formula1>$BT$7:$BT$12</formula1>
    </dataValidation>
    <dataValidation type="list" errorStyle="warning" allowBlank="1" showInputMessage="1" showErrorMessage="1" sqref="U3" xr:uid="{8343F8C4-9FFC-4A90-953C-9C6B1173AD8B}">
      <formula1>$BW$7:$BW$30</formula1>
    </dataValidation>
    <dataValidation type="list" errorStyle="warning" allowBlank="1" showInputMessage="1" showErrorMessage="1" sqref="K3" xr:uid="{E6FB0508-4405-4302-9B12-4DE5FECA8C9D}">
      <formula1>$BU$7:$BU$11</formula1>
    </dataValidation>
    <dataValidation type="list" errorStyle="warning" allowBlank="1" showInputMessage="1" showErrorMessage="1" sqref="U1" xr:uid="{13B2A2E2-B7FB-4855-A6B2-66994BD29E5B}">
      <formula1>$BQ$7:$BQ$15</formula1>
    </dataValidation>
  </dataValidations>
  <pageMargins left="0.7" right="0.7" top="0.75" bottom="0.75" header="0.3" footer="0.3"/>
  <pageSetup pageOrder="overThenDown" orientation="portrait" r:id="rId1"/>
  <legacyDrawing r:id="rId2"/>
  <tableParts count="1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68F67-023B-4BBD-BCEA-7998AD443151}">
  <dimension ref="B2:K11"/>
  <sheetViews>
    <sheetView zoomScale="235" zoomScaleNormal="235" workbookViewId="0">
      <selection activeCell="K3" sqref="K3"/>
    </sheetView>
  </sheetViews>
  <sheetFormatPr defaultRowHeight="14.25" x14ac:dyDescent="0.45"/>
  <cols>
    <col min="1" max="1" width="3.73046875" customWidth="1"/>
    <col min="2" max="2" width="11.86328125" customWidth="1"/>
  </cols>
  <sheetData>
    <row r="2" spans="2:11" x14ac:dyDescent="0.45">
      <c r="F2" s="153" t="s">
        <v>395</v>
      </c>
      <c r="G2" s="153" t="s">
        <v>394</v>
      </c>
      <c r="H2" s="153" t="s">
        <v>393</v>
      </c>
      <c r="I2" s="153" t="s">
        <v>392</v>
      </c>
      <c r="J2" s="153" t="s">
        <v>391</v>
      </c>
      <c r="K2" s="165" t="s">
        <v>399</v>
      </c>
    </row>
    <row r="3" spans="2:11" x14ac:dyDescent="0.45">
      <c r="B3" s="153" t="s">
        <v>390</v>
      </c>
      <c r="C3" s="155">
        <f>SUM(K3:K4)</f>
        <v>0</v>
      </c>
      <c r="E3" s="153" t="s">
        <v>396</v>
      </c>
      <c r="F3" s="154">
        <f>'Page 1'!B158</f>
        <v>0</v>
      </c>
      <c r="G3" s="154">
        <f>'Page 1'!E158</f>
        <v>0</v>
      </c>
      <c r="H3" s="152">
        <f>'Page 1'!S158</f>
        <v>0</v>
      </c>
      <c r="I3" s="155">
        <f>'Page 1'!AD169</f>
        <v>0</v>
      </c>
      <c r="J3" s="155">
        <f>'Page 1'!AD165</f>
        <v>0</v>
      </c>
      <c r="K3" s="155">
        <f>'Page 1'!AD171</f>
        <v>0</v>
      </c>
    </row>
    <row r="4" spans="2:11" x14ac:dyDescent="0.45">
      <c r="B4" s="153" t="s">
        <v>389</v>
      </c>
      <c r="C4" s="155">
        <f>SUM(J3:J4)</f>
        <v>0</v>
      </c>
      <c r="E4" s="153" t="s">
        <v>397</v>
      </c>
      <c r="F4" s="154">
        <f>'Page 2'!B158</f>
        <v>0</v>
      </c>
      <c r="G4" s="152">
        <f>'Page 2'!E158</f>
        <v>0</v>
      </c>
      <c r="H4" s="152">
        <f>'Page 2'!S158</f>
        <v>0</v>
      </c>
      <c r="I4" s="155">
        <f>ROUNDUP('Page 2'!AD169,0)</f>
        <v>0</v>
      </c>
      <c r="J4" s="155">
        <f>'Page 2'!AD165</f>
        <v>0</v>
      </c>
      <c r="K4" s="155">
        <f>'Page 2'!AD171</f>
        <v>0</v>
      </c>
    </row>
    <row r="5" spans="2:11" x14ac:dyDescent="0.45">
      <c r="B5" s="153" t="s">
        <v>388</v>
      </c>
      <c r="C5" s="154">
        <f>SUM(F3:F4)</f>
        <v>0</v>
      </c>
    </row>
    <row r="6" spans="2:11" x14ac:dyDescent="0.45">
      <c r="B6" s="153" t="s">
        <v>387</v>
      </c>
      <c r="C6" s="154">
        <f>SUM(G3:G4)</f>
        <v>0</v>
      </c>
    </row>
    <row r="7" spans="2:11" x14ac:dyDescent="0.45">
      <c r="B7" s="153" t="s">
        <v>386</v>
      </c>
      <c r="C7" s="154">
        <f>SUM(H3:H4)</f>
        <v>0</v>
      </c>
    </row>
    <row r="8" spans="2:11" x14ac:dyDescent="0.45">
      <c r="B8" s="153" t="s">
        <v>385</v>
      </c>
      <c r="C8" s="154">
        <f>C7/10</f>
        <v>0</v>
      </c>
    </row>
    <row r="11" spans="2:11" x14ac:dyDescent="0.45">
      <c r="H11" t="s">
        <v>398</v>
      </c>
    </row>
  </sheetData>
  <conditionalFormatting sqref="C3">
    <cfRule type="cellIs" dxfId="3" priority="2" operator="between">
      <formula>300</formula>
      <formula>9999999999999990</formula>
    </cfRule>
    <cfRule type="cellIs" dxfId="2" priority="4" operator="between">
      <formula>0</formula>
      <formula>0</formula>
    </cfRule>
  </conditionalFormatting>
  <conditionalFormatting sqref="K3:K4">
    <cfRule type="cellIs" dxfId="1" priority="1" operator="between">
      <formula>300</formula>
      <formula>9999999999999990</formula>
    </cfRule>
    <cfRule type="cellIs" dxfId="0" priority="3" operator="between">
      <formula>0</formula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Page 1</vt:lpstr>
      <vt:lpstr>Page 2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Copeland</dc:creator>
  <cp:lastModifiedBy>Matt Copeland - Pro Glass Works</cp:lastModifiedBy>
  <dcterms:created xsi:type="dcterms:W3CDTF">2015-06-05T18:17:20Z</dcterms:created>
  <dcterms:modified xsi:type="dcterms:W3CDTF">2024-05-01T20:59:15Z</dcterms:modified>
</cp:coreProperties>
</file>