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tt\AppData\Roaming\Microsoft\Templates\"/>
    </mc:Choice>
  </mc:AlternateContent>
  <xr:revisionPtr revIDLastSave="0" documentId="8_{811E22BA-7D1E-4ED1-8459-E404FEC84157}" xr6:coauthVersionLast="47" xr6:coauthVersionMax="47" xr10:uidLastSave="{00000000-0000-0000-0000-000000000000}"/>
  <bookViews>
    <workbookView xWindow="3456" yWindow="3456" windowWidth="23028" windowHeight="12648" xr2:uid="{5CFC653E-778C-924B-98FB-78D0B994AFFA}"/>
  </bookViews>
  <sheets>
    <sheet name="Surve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G204" i="1" l="1"/>
  <c r="AH11" i="1"/>
  <c r="BC204" i="1"/>
  <c r="BF204" i="1"/>
  <c r="BG203" i="1"/>
  <c r="BC203" i="1"/>
  <c r="BF203" i="1"/>
  <c r="BG202" i="1"/>
  <c r="BC202" i="1"/>
  <c r="BF202" i="1"/>
  <c r="BG201" i="1"/>
  <c r="BC201" i="1"/>
  <c r="BF201" i="1"/>
  <c r="BG200" i="1"/>
  <c r="BC200" i="1"/>
  <c r="BF200" i="1"/>
  <c r="BG199" i="1"/>
  <c r="BC199" i="1"/>
  <c r="BF199" i="1"/>
  <c r="BG198" i="1"/>
  <c r="BC198" i="1"/>
  <c r="BF198" i="1"/>
  <c r="BG197" i="1"/>
  <c r="BC197" i="1"/>
  <c r="BF197" i="1"/>
  <c r="BG196" i="1"/>
  <c r="BC196" i="1"/>
  <c r="BF196" i="1"/>
  <c r="BG195" i="1"/>
  <c r="BC195" i="1"/>
  <c r="BF195" i="1"/>
  <c r="BG194" i="1"/>
  <c r="BC194" i="1"/>
  <c r="BF194" i="1"/>
  <c r="BG193" i="1"/>
  <c r="BC193" i="1"/>
  <c r="BF193" i="1"/>
  <c r="BG192" i="1"/>
  <c r="BC192" i="1"/>
  <c r="BF192" i="1"/>
  <c r="BG191" i="1"/>
  <c r="BC191" i="1"/>
  <c r="BF191" i="1"/>
  <c r="BG190" i="1"/>
  <c r="BC190" i="1"/>
  <c r="BF190" i="1"/>
  <c r="BG189" i="1"/>
  <c r="BC189" i="1"/>
  <c r="BF189" i="1"/>
  <c r="BG188" i="1"/>
  <c r="BC188" i="1"/>
  <c r="BF188" i="1"/>
  <c r="BG187" i="1"/>
  <c r="BC187" i="1"/>
  <c r="BF187" i="1"/>
  <c r="BG186" i="1"/>
  <c r="BC186" i="1"/>
  <c r="BF186" i="1"/>
  <c r="BG185" i="1"/>
  <c r="BC185" i="1"/>
  <c r="BF185" i="1"/>
  <c r="BG184" i="1"/>
  <c r="BC184" i="1"/>
  <c r="BF184" i="1"/>
  <c r="BG183" i="1"/>
  <c r="BC183" i="1"/>
  <c r="BF183" i="1"/>
  <c r="BG182" i="1"/>
  <c r="BC182" i="1"/>
  <c r="BF182" i="1"/>
  <c r="BG181" i="1"/>
  <c r="BC181" i="1"/>
  <c r="BF181" i="1"/>
  <c r="BG180" i="1"/>
  <c r="BC180" i="1"/>
  <c r="BF180" i="1"/>
  <c r="BG179" i="1"/>
  <c r="BC179" i="1"/>
  <c r="BF179" i="1"/>
  <c r="BG178" i="1"/>
  <c r="BC178" i="1"/>
  <c r="BF178" i="1"/>
  <c r="BG177" i="1"/>
  <c r="BC177" i="1"/>
  <c r="BF177" i="1"/>
  <c r="BG176" i="1"/>
  <c r="BC176" i="1"/>
  <c r="BF176" i="1"/>
  <c r="BG175" i="1"/>
  <c r="BC175" i="1"/>
  <c r="BF175" i="1"/>
  <c r="BG174" i="1"/>
  <c r="BC174" i="1"/>
  <c r="BF174" i="1"/>
  <c r="BG173" i="1"/>
  <c r="BC173" i="1"/>
  <c r="BF173" i="1"/>
  <c r="BG172" i="1"/>
  <c r="BC172" i="1"/>
  <c r="BF172" i="1"/>
  <c r="BG171" i="1"/>
  <c r="BC171" i="1"/>
  <c r="BF171" i="1"/>
  <c r="BG170" i="1"/>
  <c r="BC170" i="1"/>
  <c r="BF170" i="1"/>
  <c r="BG169" i="1"/>
  <c r="BC169" i="1"/>
  <c r="BF169" i="1"/>
  <c r="BG168" i="1"/>
  <c r="BC168" i="1"/>
  <c r="BF168" i="1"/>
  <c r="BG167" i="1"/>
  <c r="BC167" i="1"/>
  <c r="BF167" i="1"/>
  <c r="BG166" i="1"/>
  <c r="BC166" i="1"/>
  <c r="BF166" i="1"/>
  <c r="BG165" i="1"/>
  <c r="BC165" i="1"/>
  <c r="BF165" i="1"/>
  <c r="BG164" i="1"/>
  <c r="BC164" i="1"/>
  <c r="BF164" i="1"/>
  <c r="BG163" i="1"/>
  <c r="BC163" i="1"/>
  <c r="BF163" i="1"/>
  <c r="BG162" i="1"/>
  <c r="BC162" i="1"/>
  <c r="BF162" i="1"/>
  <c r="BG161" i="1"/>
  <c r="BC161" i="1"/>
  <c r="BF161" i="1"/>
  <c r="BG160" i="1"/>
  <c r="BC160" i="1"/>
  <c r="BF160" i="1"/>
  <c r="BG159" i="1"/>
  <c r="BC159" i="1"/>
  <c r="BF159" i="1"/>
  <c r="BG158" i="1"/>
  <c r="BC158" i="1"/>
  <c r="BF158" i="1"/>
  <c r="BG157" i="1"/>
  <c r="BC157" i="1"/>
  <c r="BF157" i="1"/>
  <c r="BG156" i="1"/>
  <c r="BC156" i="1"/>
  <c r="BF156" i="1"/>
  <c r="BG155" i="1"/>
  <c r="BC155" i="1"/>
  <c r="BF155" i="1"/>
  <c r="BG154" i="1"/>
  <c r="BC154" i="1"/>
  <c r="BF154" i="1"/>
  <c r="BG153" i="1"/>
  <c r="BC153" i="1"/>
  <c r="BF153" i="1"/>
  <c r="BG152" i="1"/>
  <c r="BC152" i="1"/>
  <c r="BF152" i="1"/>
  <c r="BG151" i="1"/>
  <c r="BC151" i="1"/>
  <c r="BF151" i="1"/>
  <c r="BG150" i="1"/>
  <c r="BC150" i="1"/>
  <c r="BF150" i="1"/>
  <c r="BG149" i="1"/>
  <c r="BC149" i="1"/>
  <c r="BF149" i="1"/>
  <c r="BG148" i="1"/>
  <c r="BC148" i="1"/>
  <c r="BF148" i="1"/>
  <c r="BG147" i="1"/>
  <c r="BC147" i="1"/>
  <c r="BF147" i="1"/>
  <c r="BG146" i="1"/>
  <c r="BC146" i="1"/>
  <c r="BF146" i="1"/>
  <c r="BG145" i="1"/>
  <c r="BC145" i="1"/>
  <c r="BF145" i="1"/>
  <c r="BG144" i="1"/>
  <c r="BC144" i="1"/>
  <c r="BF144" i="1"/>
  <c r="BG143" i="1"/>
  <c r="BC143" i="1"/>
  <c r="BF143" i="1"/>
  <c r="BG142" i="1"/>
  <c r="BC142" i="1"/>
  <c r="BF142" i="1"/>
  <c r="BG141" i="1"/>
  <c r="BC141" i="1"/>
  <c r="BF141" i="1"/>
  <c r="BG140" i="1"/>
  <c r="BC140" i="1"/>
  <c r="BF140" i="1"/>
  <c r="BG139" i="1"/>
  <c r="BC139" i="1"/>
  <c r="BF139" i="1"/>
  <c r="BG138" i="1"/>
  <c r="BC138" i="1"/>
  <c r="BF138" i="1"/>
  <c r="BG137" i="1"/>
  <c r="BC137" i="1"/>
  <c r="BF137" i="1"/>
  <c r="BG136" i="1"/>
  <c r="BC136" i="1"/>
  <c r="BF136" i="1"/>
  <c r="BG135" i="1"/>
  <c r="BC135" i="1"/>
  <c r="BF135" i="1"/>
  <c r="BG134" i="1"/>
  <c r="BC134" i="1"/>
  <c r="BF134" i="1"/>
  <c r="BG133" i="1"/>
  <c r="BC133" i="1"/>
  <c r="BF133" i="1"/>
  <c r="BG132" i="1"/>
  <c r="BC132" i="1"/>
  <c r="BF132" i="1"/>
  <c r="BG131" i="1"/>
  <c r="BC131" i="1"/>
  <c r="BF131" i="1"/>
  <c r="BG130" i="1"/>
  <c r="BC130" i="1"/>
  <c r="BF130" i="1"/>
  <c r="BG129" i="1"/>
  <c r="BC129" i="1"/>
  <c r="BF129" i="1"/>
  <c r="BG128" i="1"/>
  <c r="BC128" i="1"/>
  <c r="BF128" i="1"/>
  <c r="BG127" i="1"/>
  <c r="BC127" i="1"/>
  <c r="BF127" i="1"/>
  <c r="BG126" i="1"/>
  <c r="BC126" i="1"/>
  <c r="BF126" i="1"/>
  <c r="BG125" i="1"/>
  <c r="BC125" i="1"/>
  <c r="BF125" i="1"/>
  <c r="BG124" i="1"/>
  <c r="BC124" i="1"/>
  <c r="BF124" i="1"/>
  <c r="BG123" i="1"/>
  <c r="BC123" i="1"/>
  <c r="BF123" i="1"/>
  <c r="BG122" i="1"/>
  <c r="BC122" i="1"/>
  <c r="BF122" i="1"/>
  <c r="BG121" i="1"/>
  <c r="BC121" i="1"/>
  <c r="BF121" i="1"/>
  <c r="BG120" i="1"/>
  <c r="BC120" i="1"/>
  <c r="BF120" i="1"/>
  <c r="BG119" i="1"/>
  <c r="BC119" i="1"/>
  <c r="BF119" i="1"/>
  <c r="BG118" i="1"/>
  <c r="BC118" i="1"/>
  <c r="BF118" i="1"/>
  <c r="BG117" i="1"/>
  <c r="BC117" i="1"/>
  <c r="BF117" i="1"/>
  <c r="BG116" i="1"/>
  <c r="BC116" i="1"/>
  <c r="BF116" i="1"/>
  <c r="BG115" i="1"/>
  <c r="BC115" i="1"/>
  <c r="BF115" i="1"/>
  <c r="BG114" i="1"/>
  <c r="BC114" i="1"/>
  <c r="BF114" i="1"/>
  <c r="BG113" i="1"/>
  <c r="BC113" i="1"/>
  <c r="BF113" i="1"/>
  <c r="BG112" i="1"/>
  <c r="BC112" i="1"/>
  <c r="BF112" i="1"/>
  <c r="BG111" i="1"/>
  <c r="BC111" i="1"/>
  <c r="BF111" i="1"/>
  <c r="BG110" i="1"/>
  <c r="BC110" i="1"/>
  <c r="BF110" i="1"/>
  <c r="BG109" i="1"/>
  <c r="BC109" i="1"/>
  <c r="BF109" i="1"/>
  <c r="BG108" i="1"/>
  <c r="BC108" i="1"/>
  <c r="BF108" i="1"/>
  <c r="BG107" i="1"/>
  <c r="BC107" i="1"/>
  <c r="BF107" i="1"/>
  <c r="BG106" i="1"/>
  <c r="BC106" i="1"/>
  <c r="BF106" i="1"/>
  <c r="BG105" i="1"/>
  <c r="BC105" i="1"/>
  <c r="BF105" i="1"/>
  <c r="BG104" i="1"/>
  <c r="BC104" i="1"/>
  <c r="BF104" i="1"/>
  <c r="BG103" i="1"/>
  <c r="BC103" i="1"/>
  <c r="BF103" i="1"/>
  <c r="BG102" i="1"/>
  <c r="BC102" i="1"/>
  <c r="BF102" i="1"/>
  <c r="BG101" i="1"/>
  <c r="BC101" i="1"/>
  <c r="BF101" i="1"/>
  <c r="BG100" i="1"/>
  <c r="BC100" i="1"/>
  <c r="BF100" i="1"/>
  <c r="BG99" i="1"/>
  <c r="BC99" i="1"/>
  <c r="BF99" i="1"/>
  <c r="BG98" i="1"/>
  <c r="BC98" i="1"/>
  <c r="BF98" i="1"/>
  <c r="BG97" i="1"/>
  <c r="BC97" i="1"/>
  <c r="BF97" i="1"/>
  <c r="BG96" i="1"/>
  <c r="BC96" i="1"/>
  <c r="BF96" i="1"/>
  <c r="BG95" i="1"/>
  <c r="BC95" i="1"/>
  <c r="BF95" i="1"/>
  <c r="BG94" i="1"/>
  <c r="BC94" i="1"/>
  <c r="BF94" i="1"/>
  <c r="BG93" i="1"/>
  <c r="BC93" i="1"/>
  <c r="BF93" i="1"/>
  <c r="BG92" i="1"/>
  <c r="BC92" i="1"/>
  <c r="BF92" i="1"/>
  <c r="BG91" i="1"/>
  <c r="BC91" i="1"/>
  <c r="BF91" i="1"/>
  <c r="BG90" i="1"/>
  <c r="BC90" i="1"/>
  <c r="BF90" i="1"/>
  <c r="BG89" i="1"/>
  <c r="BC89" i="1"/>
  <c r="BF89" i="1"/>
  <c r="BG88" i="1"/>
  <c r="BC88" i="1"/>
  <c r="BF88" i="1"/>
  <c r="BG87" i="1"/>
  <c r="BC87" i="1"/>
  <c r="BF87" i="1"/>
  <c r="BG86" i="1"/>
  <c r="BC86" i="1"/>
  <c r="BF86" i="1"/>
  <c r="BG85" i="1"/>
  <c r="BC85" i="1"/>
  <c r="BF85" i="1"/>
  <c r="BG84" i="1"/>
  <c r="BC84" i="1"/>
  <c r="BF84" i="1"/>
  <c r="BG83" i="1"/>
  <c r="BC83" i="1"/>
  <c r="BF83" i="1"/>
  <c r="BG82" i="1"/>
  <c r="BC82" i="1"/>
  <c r="BF82" i="1"/>
  <c r="BG81" i="1"/>
  <c r="BC81" i="1"/>
  <c r="BF81" i="1"/>
  <c r="BG80" i="1"/>
  <c r="BC80" i="1"/>
  <c r="BF80" i="1"/>
  <c r="BG79" i="1"/>
  <c r="BC79" i="1"/>
  <c r="BF79" i="1"/>
  <c r="BG78" i="1"/>
  <c r="BC78" i="1"/>
  <c r="BF78" i="1"/>
  <c r="BG77" i="1"/>
  <c r="BC77" i="1"/>
  <c r="BF77" i="1"/>
  <c r="BG76" i="1"/>
  <c r="BC76" i="1"/>
  <c r="BF76" i="1"/>
  <c r="BG75" i="1"/>
  <c r="BC75" i="1"/>
  <c r="BF75" i="1"/>
  <c r="BG74" i="1"/>
  <c r="BC74" i="1"/>
  <c r="BF74" i="1"/>
  <c r="BG73" i="1"/>
  <c r="BC73" i="1"/>
  <c r="BF73" i="1"/>
  <c r="BG72" i="1"/>
  <c r="BC72" i="1"/>
  <c r="BF72" i="1"/>
  <c r="BG71" i="1"/>
  <c r="BC71" i="1"/>
  <c r="BF71" i="1"/>
  <c r="BG70" i="1"/>
  <c r="BC70" i="1"/>
  <c r="BF70" i="1"/>
  <c r="BG69" i="1"/>
  <c r="BC69" i="1"/>
  <c r="BF69" i="1"/>
  <c r="BG68" i="1"/>
  <c r="BC68" i="1"/>
  <c r="BF68" i="1"/>
  <c r="BG67" i="1"/>
  <c r="BC67" i="1"/>
  <c r="BF67" i="1"/>
  <c r="BG66" i="1"/>
  <c r="BC66" i="1"/>
  <c r="BF66" i="1"/>
  <c r="BG65" i="1"/>
  <c r="BC65" i="1"/>
  <c r="BF65" i="1"/>
  <c r="BG64" i="1"/>
  <c r="BC64" i="1"/>
  <c r="BF64" i="1"/>
  <c r="BG63" i="1"/>
  <c r="BC63" i="1"/>
  <c r="BF63" i="1"/>
  <c r="BG62" i="1"/>
  <c r="BC62" i="1"/>
  <c r="BF62" i="1"/>
  <c r="BG61" i="1"/>
  <c r="BC61" i="1"/>
  <c r="BF61" i="1"/>
  <c r="BG60" i="1"/>
  <c r="BC60" i="1"/>
  <c r="BF60" i="1"/>
  <c r="BG59" i="1"/>
  <c r="BC59" i="1"/>
  <c r="BF59" i="1"/>
  <c r="BG58" i="1"/>
  <c r="BC58" i="1"/>
  <c r="BF58" i="1"/>
  <c r="BG57" i="1"/>
  <c r="BC57" i="1"/>
  <c r="BF57" i="1"/>
  <c r="BG56" i="1"/>
  <c r="BC56" i="1"/>
  <c r="BF56" i="1"/>
  <c r="BG55" i="1"/>
  <c r="BC55" i="1"/>
  <c r="BF55" i="1"/>
  <c r="BG54" i="1"/>
  <c r="BC54" i="1"/>
  <c r="BF54" i="1"/>
  <c r="BG53" i="1"/>
  <c r="BC53" i="1"/>
  <c r="BF53" i="1"/>
  <c r="BG52" i="1"/>
  <c r="BC52" i="1"/>
  <c r="BF52" i="1"/>
  <c r="BG51" i="1"/>
  <c r="BC51" i="1"/>
  <c r="BF51" i="1"/>
  <c r="BG50" i="1"/>
  <c r="BC50" i="1"/>
  <c r="BF50" i="1"/>
  <c r="BG49" i="1"/>
  <c r="BC49" i="1"/>
  <c r="BF49" i="1"/>
  <c r="BG48" i="1"/>
  <c r="BC48" i="1"/>
  <c r="BF48" i="1"/>
  <c r="BG47" i="1"/>
  <c r="BC47" i="1"/>
  <c r="BF47" i="1"/>
  <c r="BG46" i="1"/>
  <c r="BC46" i="1"/>
  <c r="BF46" i="1"/>
  <c r="BG45" i="1"/>
  <c r="BC45" i="1"/>
  <c r="BF45" i="1"/>
  <c r="BG44" i="1"/>
  <c r="BC44" i="1"/>
  <c r="BF44" i="1"/>
  <c r="BG43" i="1"/>
  <c r="BC43" i="1"/>
  <c r="BF43" i="1"/>
  <c r="BG42" i="1"/>
  <c r="BC42" i="1"/>
  <c r="BF42" i="1"/>
  <c r="BG41" i="1"/>
  <c r="BC41" i="1"/>
  <c r="BF41" i="1"/>
  <c r="BG40" i="1"/>
  <c r="BC40" i="1"/>
  <c r="BF40" i="1"/>
  <c r="BG39" i="1"/>
  <c r="BC39" i="1"/>
  <c r="BF39" i="1"/>
  <c r="BG38" i="1"/>
  <c r="BC38" i="1"/>
  <c r="BF38" i="1"/>
  <c r="BG37" i="1"/>
  <c r="BC37" i="1"/>
  <c r="BF37" i="1"/>
  <c r="BG36" i="1"/>
  <c r="BC36" i="1"/>
  <c r="BF36" i="1"/>
  <c r="BG35" i="1"/>
  <c r="BC35" i="1"/>
  <c r="BF35" i="1"/>
  <c r="BC34" i="1"/>
  <c r="BF34" i="1"/>
  <c r="BC33" i="1"/>
  <c r="BF33" i="1"/>
  <c r="BC32" i="1"/>
  <c r="BF32" i="1"/>
  <c r="BC31" i="1"/>
  <c r="BF31" i="1"/>
  <c r="BC30" i="1"/>
  <c r="BF30" i="1"/>
  <c r="BC29" i="1"/>
  <c r="BF29" i="1"/>
  <c r="BC28" i="1"/>
  <c r="BF28" i="1"/>
  <c r="BC27" i="1"/>
  <c r="BF27" i="1"/>
  <c r="BC26" i="1"/>
  <c r="BF26" i="1"/>
  <c r="BC25" i="1"/>
  <c r="BF25" i="1"/>
  <c r="BC24" i="1"/>
  <c r="BF24" i="1"/>
  <c r="BC23" i="1"/>
  <c r="BF23" i="1"/>
  <c r="BC22" i="1"/>
  <c r="BF22" i="1"/>
  <c r="BC21" i="1"/>
  <c r="BF21" i="1"/>
  <c r="BC20" i="1"/>
  <c r="BF20" i="1"/>
  <c r="BC19" i="1"/>
  <c r="BF19" i="1"/>
  <c r="BC18" i="1"/>
  <c r="BF18" i="1"/>
  <c r="BC17" i="1"/>
  <c r="BF17" i="1"/>
  <c r="BC16" i="1"/>
  <c r="BF16" i="1"/>
  <c r="BC15" i="1"/>
  <c r="BF15" i="1"/>
  <c r="BC14" i="1"/>
  <c r="BF14" i="1"/>
  <c r="BC13" i="1"/>
  <c r="BF13" i="1"/>
  <c r="BC12" i="1"/>
  <c r="BF12" i="1"/>
  <c r="BC11" i="1"/>
  <c r="BF11" i="1"/>
  <c r="BC10" i="1"/>
  <c r="BF10" i="1"/>
  <c r="BC9" i="1"/>
  <c r="BF9" i="1"/>
  <c r="BC8" i="1"/>
  <c r="BF8" i="1"/>
  <c r="BC7" i="1"/>
  <c r="BF7" i="1"/>
  <c r="BC6" i="1"/>
  <c r="BF6" i="1"/>
  <c r="BG5" i="1"/>
  <c r="BC5" i="1"/>
  <c r="BF5" i="1"/>
  <c r="BG29" i="1"/>
  <c r="BG30" i="1"/>
  <c r="BG31" i="1"/>
  <c r="BG32" i="1"/>
  <c r="BG33" i="1"/>
  <c r="BG34" i="1"/>
  <c r="AY5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149" i="1"/>
  <c r="AY150" i="1"/>
  <c r="AY151" i="1"/>
  <c r="AY152" i="1"/>
  <c r="AY153" i="1"/>
  <c r="AY154" i="1"/>
  <c r="AY155" i="1"/>
  <c r="AY156" i="1"/>
  <c r="AY157" i="1"/>
  <c r="AY158" i="1"/>
  <c r="AY159" i="1"/>
  <c r="AY160" i="1"/>
  <c r="AY161" i="1"/>
  <c r="AY162" i="1"/>
  <c r="AY163" i="1"/>
  <c r="AY164" i="1"/>
  <c r="AY165" i="1"/>
  <c r="AY166" i="1"/>
  <c r="AY167" i="1"/>
  <c r="AY168" i="1"/>
  <c r="AY169" i="1"/>
  <c r="AY170" i="1"/>
  <c r="AY171" i="1"/>
  <c r="AY172" i="1"/>
  <c r="AY173" i="1"/>
  <c r="AY174" i="1"/>
  <c r="AY175" i="1"/>
  <c r="AY176" i="1"/>
  <c r="AY177" i="1"/>
  <c r="AY178" i="1"/>
  <c r="AY179" i="1"/>
  <c r="AY180" i="1"/>
  <c r="AY181" i="1"/>
  <c r="AY182" i="1"/>
  <c r="AY183" i="1"/>
  <c r="AY184" i="1"/>
  <c r="AY185" i="1"/>
  <c r="AY186" i="1"/>
  <c r="AY187" i="1"/>
  <c r="AY188" i="1"/>
  <c r="AY189" i="1"/>
  <c r="AY190" i="1"/>
  <c r="AY191" i="1"/>
  <c r="AY192" i="1"/>
  <c r="AY193" i="1"/>
  <c r="AY194" i="1"/>
  <c r="AY195" i="1"/>
  <c r="AY196" i="1"/>
  <c r="AY197" i="1"/>
  <c r="AY198" i="1"/>
  <c r="AY199" i="1"/>
  <c r="AY200" i="1"/>
  <c r="AY201" i="1"/>
  <c r="AY202" i="1"/>
  <c r="AY203" i="1"/>
  <c r="AY204" i="1"/>
  <c r="AY29" i="1"/>
  <c r="AY6" i="1"/>
  <c r="B3" i="1"/>
  <c r="AO6" i="1"/>
  <c r="AW6" i="1"/>
  <c r="AZ6" i="1"/>
  <c r="AO7" i="1"/>
  <c r="AW7" i="1"/>
  <c r="AZ7" i="1"/>
  <c r="AO8" i="1"/>
  <c r="AW8" i="1"/>
  <c r="AZ8" i="1"/>
  <c r="AO9" i="1"/>
  <c r="AW9" i="1"/>
  <c r="AZ9" i="1"/>
  <c r="AO10" i="1"/>
  <c r="AW10" i="1"/>
  <c r="AZ10" i="1"/>
  <c r="AO11" i="1"/>
  <c r="AW11" i="1"/>
  <c r="AZ11" i="1"/>
  <c r="AO12" i="1"/>
  <c r="AW12" i="1"/>
  <c r="AZ12" i="1"/>
  <c r="AO13" i="1"/>
  <c r="AW13" i="1"/>
  <c r="AZ13" i="1"/>
  <c r="AO14" i="1"/>
  <c r="AW14" i="1"/>
  <c r="AZ14" i="1"/>
  <c r="AO15" i="1"/>
  <c r="AW15" i="1"/>
  <c r="AZ15" i="1"/>
  <c r="AO16" i="1"/>
  <c r="AW16" i="1"/>
  <c r="AZ16" i="1"/>
  <c r="AO17" i="1"/>
  <c r="AW17" i="1"/>
  <c r="AZ17" i="1"/>
  <c r="AO18" i="1"/>
  <c r="AW18" i="1"/>
  <c r="AZ18" i="1"/>
  <c r="AO19" i="1"/>
  <c r="AW19" i="1"/>
  <c r="AZ19" i="1"/>
  <c r="AO20" i="1"/>
  <c r="AW20" i="1"/>
  <c r="AZ20" i="1"/>
  <c r="AO21" i="1"/>
  <c r="AW21" i="1"/>
  <c r="AZ21" i="1"/>
  <c r="AO22" i="1"/>
  <c r="AW22" i="1"/>
  <c r="AZ22" i="1"/>
  <c r="AO23" i="1"/>
  <c r="AW23" i="1"/>
  <c r="AZ23" i="1"/>
  <c r="AO24" i="1"/>
  <c r="AW24" i="1"/>
  <c r="AZ24" i="1"/>
  <c r="AO25" i="1"/>
  <c r="AW25" i="1"/>
  <c r="AZ25" i="1"/>
  <c r="AO26" i="1"/>
  <c r="AW26" i="1"/>
  <c r="AZ26" i="1"/>
  <c r="AO27" i="1"/>
  <c r="AW27" i="1"/>
  <c r="AZ27" i="1"/>
  <c r="AO28" i="1"/>
  <c r="AW28" i="1"/>
  <c r="AZ28" i="1"/>
  <c r="AO29" i="1"/>
  <c r="BA29" i="1"/>
  <c r="AW29" i="1"/>
  <c r="AN29" i="1"/>
  <c r="AZ29" i="1"/>
  <c r="AO30" i="1"/>
  <c r="AN30" i="1"/>
  <c r="BA30" i="1"/>
  <c r="AW30" i="1"/>
  <c r="AZ30" i="1"/>
  <c r="AO31" i="1"/>
  <c r="AN31" i="1"/>
  <c r="BA31" i="1"/>
  <c r="AW31" i="1"/>
  <c r="AZ31" i="1"/>
  <c r="AO32" i="1"/>
  <c r="AN32" i="1"/>
  <c r="BA32" i="1"/>
  <c r="AW32" i="1"/>
  <c r="AZ32" i="1"/>
  <c r="AO33" i="1"/>
  <c r="AN33" i="1"/>
  <c r="BA33" i="1"/>
  <c r="AW33" i="1"/>
  <c r="AZ33" i="1"/>
  <c r="AO34" i="1"/>
  <c r="AN34" i="1"/>
  <c r="BA34" i="1"/>
  <c r="AW34" i="1"/>
  <c r="AZ34" i="1"/>
  <c r="AO35" i="1"/>
  <c r="AN35" i="1"/>
  <c r="BA35" i="1"/>
  <c r="AW35" i="1"/>
  <c r="AZ35" i="1"/>
  <c r="AO36" i="1"/>
  <c r="AN36" i="1"/>
  <c r="BA36" i="1"/>
  <c r="AW36" i="1"/>
  <c r="AZ36" i="1"/>
  <c r="AO37" i="1"/>
  <c r="AN37" i="1"/>
  <c r="BA37" i="1"/>
  <c r="AW37" i="1"/>
  <c r="AZ37" i="1"/>
  <c r="AO38" i="1"/>
  <c r="AN38" i="1"/>
  <c r="BA38" i="1"/>
  <c r="AW38" i="1"/>
  <c r="AZ38" i="1"/>
  <c r="AO39" i="1"/>
  <c r="AN39" i="1"/>
  <c r="BA39" i="1"/>
  <c r="AW39" i="1"/>
  <c r="AZ39" i="1"/>
  <c r="AO40" i="1"/>
  <c r="AN40" i="1"/>
  <c r="BA40" i="1"/>
  <c r="AW40" i="1"/>
  <c r="AZ40" i="1"/>
  <c r="AO41" i="1"/>
  <c r="AN41" i="1"/>
  <c r="BA41" i="1"/>
  <c r="AW41" i="1"/>
  <c r="AZ41" i="1"/>
  <c r="AO42" i="1"/>
  <c r="AN42" i="1"/>
  <c r="BA42" i="1"/>
  <c r="AW42" i="1"/>
  <c r="AZ42" i="1"/>
  <c r="AO43" i="1"/>
  <c r="AN43" i="1"/>
  <c r="BA43" i="1"/>
  <c r="AW43" i="1"/>
  <c r="AZ43" i="1"/>
  <c r="AO44" i="1"/>
  <c r="AN44" i="1"/>
  <c r="BA44" i="1"/>
  <c r="AW44" i="1"/>
  <c r="AZ44" i="1"/>
  <c r="AO45" i="1"/>
  <c r="AN45" i="1"/>
  <c r="BA45" i="1"/>
  <c r="AW45" i="1"/>
  <c r="AZ45" i="1"/>
  <c r="AO46" i="1"/>
  <c r="AN46" i="1"/>
  <c r="BA46" i="1"/>
  <c r="AW46" i="1"/>
  <c r="AZ46" i="1"/>
  <c r="AO47" i="1"/>
  <c r="AN47" i="1"/>
  <c r="BA47" i="1"/>
  <c r="AW47" i="1"/>
  <c r="AZ47" i="1"/>
  <c r="AO48" i="1"/>
  <c r="AN48" i="1"/>
  <c r="BA48" i="1"/>
  <c r="AW48" i="1"/>
  <c r="AZ48" i="1"/>
  <c r="AO49" i="1"/>
  <c r="AN49" i="1"/>
  <c r="BA49" i="1"/>
  <c r="AW49" i="1"/>
  <c r="AZ49" i="1"/>
  <c r="AO50" i="1"/>
  <c r="AN50" i="1"/>
  <c r="BA50" i="1"/>
  <c r="AW50" i="1"/>
  <c r="AZ50" i="1"/>
  <c r="AO51" i="1"/>
  <c r="AN51" i="1"/>
  <c r="BA51" i="1"/>
  <c r="AW51" i="1"/>
  <c r="AZ51" i="1"/>
  <c r="AO52" i="1"/>
  <c r="AN52" i="1"/>
  <c r="BA52" i="1"/>
  <c r="AW52" i="1"/>
  <c r="AZ52" i="1"/>
  <c r="AO53" i="1"/>
  <c r="AN53" i="1"/>
  <c r="BA53" i="1"/>
  <c r="AW53" i="1"/>
  <c r="AZ53" i="1"/>
  <c r="AO54" i="1"/>
  <c r="AN54" i="1"/>
  <c r="BA54" i="1"/>
  <c r="AW54" i="1"/>
  <c r="AZ54" i="1"/>
  <c r="AO55" i="1"/>
  <c r="AN55" i="1"/>
  <c r="BA55" i="1"/>
  <c r="AW55" i="1"/>
  <c r="AZ55" i="1"/>
  <c r="AO56" i="1"/>
  <c r="AN56" i="1"/>
  <c r="BA56" i="1"/>
  <c r="AW56" i="1"/>
  <c r="AZ56" i="1"/>
  <c r="AO57" i="1"/>
  <c r="AN57" i="1"/>
  <c r="BA57" i="1"/>
  <c r="AW57" i="1"/>
  <c r="AZ57" i="1"/>
  <c r="AO58" i="1"/>
  <c r="AN58" i="1"/>
  <c r="BA58" i="1"/>
  <c r="AW58" i="1"/>
  <c r="AZ58" i="1"/>
  <c r="AO59" i="1"/>
  <c r="AN59" i="1"/>
  <c r="BA59" i="1"/>
  <c r="AW59" i="1"/>
  <c r="AZ59" i="1"/>
  <c r="AO60" i="1"/>
  <c r="AN60" i="1"/>
  <c r="BA60" i="1"/>
  <c r="AW60" i="1"/>
  <c r="AZ60" i="1"/>
  <c r="AO61" i="1"/>
  <c r="AN61" i="1"/>
  <c r="BA61" i="1"/>
  <c r="AW61" i="1"/>
  <c r="AZ61" i="1"/>
  <c r="AO62" i="1"/>
  <c r="AN62" i="1"/>
  <c r="BA62" i="1"/>
  <c r="AW62" i="1"/>
  <c r="AZ62" i="1"/>
  <c r="AO63" i="1"/>
  <c r="AN63" i="1"/>
  <c r="BA63" i="1"/>
  <c r="AW63" i="1"/>
  <c r="AZ63" i="1"/>
  <c r="AO64" i="1"/>
  <c r="AN64" i="1"/>
  <c r="BA64" i="1"/>
  <c r="AW64" i="1"/>
  <c r="AZ64" i="1"/>
  <c r="AO65" i="1"/>
  <c r="AN65" i="1"/>
  <c r="BA65" i="1"/>
  <c r="AW65" i="1"/>
  <c r="AZ65" i="1"/>
  <c r="AO66" i="1"/>
  <c r="AN66" i="1"/>
  <c r="BA66" i="1"/>
  <c r="AW66" i="1"/>
  <c r="AZ66" i="1"/>
  <c r="AO67" i="1"/>
  <c r="AN67" i="1"/>
  <c r="BA67" i="1"/>
  <c r="AW67" i="1"/>
  <c r="AZ67" i="1"/>
  <c r="AO68" i="1"/>
  <c r="AN68" i="1"/>
  <c r="BA68" i="1"/>
  <c r="AW68" i="1"/>
  <c r="AZ68" i="1"/>
  <c r="AO69" i="1"/>
  <c r="AN69" i="1"/>
  <c r="BA69" i="1"/>
  <c r="AW69" i="1"/>
  <c r="AZ69" i="1"/>
  <c r="AO70" i="1"/>
  <c r="AN70" i="1"/>
  <c r="BA70" i="1"/>
  <c r="AW70" i="1"/>
  <c r="AZ70" i="1"/>
  <c r="AO71" i="1"/>
  <c r="AN71" i="1"/>
  <c r="BA71" i="1"/>
  <c r="AW71" i="1"/>
  <c r="AZ71" i="1"/>
  <c r="AO72" i="1"/>
  <c r="AN72" i="1"/>
  <c r="BA72" i="1"/>
  <c r="AW72" i="1"/>
  <c r="AZ72" i="1"/>
  <c r="AO73" i="1"/>
  <c r="AN73" i="1"/>
  <c r="BA73" i="1"/>
  <c r="AW73" i="1"/>
  <c r="AZ73" i="1"/>
  <c r="AO74" i="1"/>
  <c r="AN74" i="1"/>
  <c r="BA74" i="1"/>
  <c r="AW74" i="1"/>
  <c r="AZ74" i="1"/>
  <c r="AO75" i="1"/>
  <c r="AN75" i="1"/>
  <c r="BA75" i="1"/>
  <c r="AW75" i="1"/>
  <c r="AZ75" i="1"/>
  <c r="AO76" i="1"/>
  <c r="AN76" i="1"/>
  <c r="BA76" i="1"/>
  <c r="AW76" i="1"/>
  <c r="AZ76" i="1"/>
  <c r="AO77" i="1"/>
  <c r="AN77" i="1"/>
  <c r="BA77" i="1"/>
  <c r="AW77" i="1"/>
  <c r="AZ77" i="1"/>
  <c r="AO78" i="1"/>
  <c r="AN78" i="1"/>
  <c r="BA78" i="1"/>
  <c r="AW78" i="1"/>
  <c r="AZ78" i="1"/>
  <c r="AO79" i="1"/>
  <c r="AN79" i="1"/>
  <c r="BA79" i="1"/>
  <c r="AW79" i="1"/>
  <c r="AZ79" i="1"/>
  <c r="AO80" i="1"/>
  <c r="AN80" i="1"/>
  <c r="BA80" i="1"/>
  <c r="AW80" i="1"/>
  <c r="AZ80" i="1"/>
  <c r="AO81" i="1"/>
  <c r="AN81" i="1"/>
  <c r="BA81" i="1"/>
  <c r="AW81" i="1"/>
  <c r="AZ81" i="1"/>
  <c r="AO82" i="1"/>
  <c r="AN82" i="1"/>
  <c r="BA82" i="1"/>
  <c r="AW82" i="1"/>
  <c r="AZ82" i="1"/>
  <c r="AO83" i="1"/>
  <c r="AN83" i="1"/>
  <c r="BA83" i="1"/>
  <c r="AW83" i="1"/>
  <c r="AZ83" i="1"/>
  <c r="AO84" i="1"/>
  <c r="AN84" i="1"/>
  <c r="BA84" i="1"/>
  <c r="AW84" i="1"/>
  <c r="AZ84" i="1"/>
  <c r="AO85" i="1"/>
  <c r="AN85" i="1"/>
  <c r="BA85" i="1"/>
  <c r="AW85" i="1"/>
  <c r="AZ85" i="1"/>
  <c r="AO86" i="1"/>
  <c r="AN86" i="1"/>
  <c r="BA86" i="1"/>
  <c r="AW86" i="1"/>
  <c r="AZ86" i="1"/>
  <c r="AO87" i="1"/>
  <c r="AN87" i="1"/>
  <c r="BA87" i="1"/>
  <c r="AW87" i="1"/>
  <c r="AZ87" i="1"/>
  <c r="AO88" i="1"/>
  <c r="AN88" i="1"/>
  <c r="BA88" i="1"/>
  <c r="AW88" i="1"/>
  <c r="AZ88" i="1"/>
  <c r="AO89" i="1"/>
  <c r="AN89" i="1"/>
  <c r="BA89" i="1"/>
  <c r="AW89" i="1"/>
  <c r="AZ89" i="1"/>
  <c r="AO90" i="1"/>
  <c r="AN90" i="1"/>
  <c r="BA90" i="1"/>
  <c r="AW90" i="1"/>
  <c r="AZ90" i="1"/>
  <c r="AO91" i="1"/>
  <c r="AN91" i="1"/>
  <c r="BA91" i="1"/>
  <c r="AW91" i="1"/>
  <c r="AZ91" i="1"/>
  <c r="AO92" i="1"/>
  <c r="AN92" i="1"/>
  <c r="BA92" i="1"/>
  <c r="AW92" i="1"/>
  <c r="AZ92" i="1"/>
  <c r="AO93" i="1"/>
  <c r="AN93" i="1"/>
  <c r="BA93" i="1"/>
  <c r="AW93" i="1"/>
  <c r="AZ93" i="1"/>
  <c r="AO94" i="1"/>
  <c r="AN94" i="1"/>
  <c r="BA94" i="1"/>
  <c r="AW94" i="1"/>
  <c r="AZ94" i="1"/>
  <c r="AO95" i="1"/>
  <c r="AN95" i="1"/>
  <c r="BA95" i="1"/>
  <c r="AW95" i="1"/>
  <c r="AZ95" i="1"/>
  <c r="AO96" i="1"/>
  <c r="AN96" i="1"/>
  <c r="BA96" i="1"/>
  <c r="AW96" i="1"/>
  <c r="AZ96" i="1"/>
  <c r="AO97" i="1"/>
  <c r="AN97" i="1"/>
  <c r="BA97" i="1"/>
  <c r="AW97" i="1"/>
  <c r="AZ97" i="1"/>
  <c r="AO98" i="1"/>
  <c r="AN98" i="1"/>
  <c r="BA98" i="1"/>
  <c r="AW98" i="1"/>
  <c r="AZ98" i="1"/>
  <c r="AO99" i="1"/>
  <c r="AN99" i="1"/>
  <c r="BA99" i="1"/>
  <c r="AW99" i="1"/>
  <c r="AZ99" i="1"/>
  <c r="AO100" i="1"/>
  <c r="AN100" i="1"/>
  <c r="BA100" i="1"/>
  <c r="AW100" i="1"/>
  <c r="AZ100" i="1"/>
  <c r="AO101" i="1"/>
  <c r="AN101" i="1"/>
  <c r="BA101" i="1"/>
  <c r="AW101" i="1"/>
  <c r="AZ101" i="1"/>
  <c r="AO102" i="1"/>
  <c r="AN102" i="1"/>
  <c r="BA102" i="1"/>
  <c r="AW102" i="1"/>
  <c r="AZ102" i="1"/>
  <c r="AO103" i="1"/>
  <c r="AN103" i="1"/>
  <c r="BA103" i="1"/>
  <c r="AW103" i="1"/>
  <c r="AZ103" i="1"/>
  <c r="AO104" i="1"/>
  <c r="AN104" i="1"/>
  <c r="BA104" i="1"/>
  <c r="AW104" i="1"/>
  <c r="AZ104" i="1"/>
  <c r="AO105" i="1"/>
  <c r="AN105" i="1"/>
  <c r="BA105" i="1"/>
  <c r="AW105" i="1"/>
  <c r="AZ105" i="1"/>
  <c r="AO106" i="1"/>
  <c r="AN106" i="1"/>
  <c r="BA106" i="1"/>
  <c r="AW106" i="1"/>
  <c r="AZ106" i="1"/>
  <c r="AO107" i="1"/>
  <c r="AN107" i="1"/>
  <c r="BA107" i="1"/>
  <c r="AW107" i="1"/>
  <c r="AZ107" i="1"/>
  <c r="AO108" i="1"/>
  <c r="AN108" i="1"/>
  <c r="BA108" i="1"/>
  <c r="AW108" i="1"/>
  <c r="AZ108" i="1"/>
  <c r="AO109" i="1"/>
  <c r="AN109" i="1"/>
  <c r="BA109" i="1"/>
  <c r="AW109" i="1"/>
  <c r="AZ109" i="1"/>
  <c r="AO110" i="1"/>
  <c r="AN110" i="1"/>
  <c r="BA110" i="1"/>
  <c r="AW110" i="1"/>
  <c r="AZ110" i="1"/>
  <c r="AO111" i="1"/>
  <c r="AN111" i="1"/>
  <c r="BA111" i="1"/>
  <c r="AW111" i="1"/>
  <c r="AZ111" i="1"/>
  <c r="AO112" i="1"/>
  <c r="AN112" i="1"/>
  <c r="BA112" i="1"/>
  <c r="AW112" i="1"/>
  <c r="AZ112" i="1"/>
  <c r="AO113" i="1"/>
  <c r="AN113" i="1"/>
  <c r="BA113" i="1"/>
  <c r="AW113" i="1"/>
  <c r="AZ113" i="1"/>
  <c r="AO114" i="1"/>
  <c r="AN114" i="1"/>
  <c r="BA114" i="1"/>
  <c r="AW114" i="1"/>
  <c r="AZ114" i="1"/>
  <c r="AO115" i="1"/>
  <c r="AN115" i="1"/>
  <c r="BA115" i="1"/>
  <c r="AW115" i="1"/>
  <c r="AZ115" i="1"/>
  <c r="AO116" i="1"/>
  <c r="AN116" i="1"/>
  <c r="BA116" i="1"/>
  <c r="AW116" i="1"/>
  <c r="AZ116" i="1"/>
  <c r="AO117" i="1"/>
  <c r="AN117" i="1"/>
  <c r="BA117" i="1"/>
  <c r="AW117" i="1"/>
  <c r="AZ117" i="1"/>
  <c r="AO118" i="1"/>
  <c r="AN118" i="1"/>
  <c r="BA118" i="1"/>
  <c r="AW118" i="1"/>
  <c r="AZ118" i="1"/>
  <c r="AO119" i="1"/>
  <c r="AN119" i="1"/>
  <c r="BA119" i="1"/>
  <c r="AW119" i="1"/>
  <c r="AZ119" i="1"/>
  <c r="AO120" i="1"/>
  <c r="AN120" i="1"/>
  <c r="BA120" i="1"/>
  <c r="AW120" i="1"/>
  <c r="AZ120" i="1"/>
  <c r="AO121" i="1"/>
  <c r="AN121" i="1"/>
  <c r="BA121" i="1"/>
  <c r="AW121" i="1"/>
  <c r="AZ121" i="1"/>
  <c r="AO122" i="1"/>
  <c r="AN122" i="1"/>
  <c r="BA122" i="1"/>
  <c r="AW122" i="1"/>
  <c r="AZ122" i="1"/>
  <c r="AO123" i="1"/>
  <c r="AN123" i="1"/>
  <c r="BA123" i="1"/>
  <c r="AW123" i="1"/>
  <c r="AZ123" i="1"/>
  <c r="AO124" i="1"/>
  <c r="AN124" i="1"/>
  <c r="BA124" i="1"/>
  <c r="AW124" i="1"/>
  <c r="AZ124" i="1"/>
  <c r="AO125" i="1"/>
  <c r="AN125" i="1"/>
  <c r="BA125" i="1"/>
  <c r="AW125" i="1"/>
  <c r="AZ125" i="1"/>
  <c r="AO126" i="1"/>
  <c r="AN126" i="1"/>
  <c r="BA126" i="1"/>
  <c r="AW126" i="1"/>
  <c r="AZ126" i="1"/>
  <c r="AO127" i="1"/>
  <c r="AN127" i="1"/>
  <c r="BA127" i="1"/>
  <c r="AW127" i="1"/>
  <c r="AZ127" i="1"/>
  <c r="AO128" i="1"/>
  <c r="AN128" i="1"/>
  <c r="BA128" i="1"/>
  <c r="AW128" i="1"/>
  <c r="AZ128" i="1"/>
  <c r="AO129" i="1"/>
  <c r="AN129" i="1"/>
  <c r="BA129" i="1"/>
  <c r="AW129" i="1"/>
  <c r="AZ129" i="1"/>
  <c r="AO130" i="1"/>
  <c r="AN130" i="1"/>
  <c r="BA130" i="1"/>
  <c r="AW130" i="1"/>
  <c r="AZ130" i="1"/>
  <c r="AO131" i="1"/>
  <c r="AN131" i="1"/>
  <c r="BA131" i="1"/>
  <c r="AW131" i="1"/>
  <c r="AZ131" i="1"/>
  <c r="AO132" i="1"/>
  <c r="AN132" i="1"/>
  <c r="BA132" i="1"/>
  <c r="AW132" i="1"/>
  <c r="AZ132" i="1"/>
  <c r="AO133" i="1"/>
  <c r="AN133" i="1"/>
  <c r="BA133" i="1"/>
  <c r="AW133" i="1"/>
  <c r="AZ133" i="1"/>
  <c r="AO134" i="1"/>
  <c r="AN134" i="1"/>
  <c r="BA134" i="1"/>
  <c r="AW134" i="1"/>
  <c r="AZ134" i="1"/>
  <c r="AO135" i="1"/>
  <c r="AN135" i="1"/>
  <c r="BA135" i="1"/>
  <c r="AW135" i="1"/>
  <c r="AZ135" i="1"/>
  <c r="AO136" i="1"/>
  <c r="AN136" i="1"/>
  <c r="BA136" i="1"/>
  <c r="AW136" i="1"/>
  <c r="AZ136" i="1"/>
  <c r="AO137" i="1"/>
  <c r="AN137" i="1"/>
  <c r="BA137" i="1"/>
  <c r="AW137" i="1"/>
  <c r="AZ137" i="1"/>
  <c r="AO138" i="1"/>
  <c r="AN138" i="1"/>
  <c r="BA138" i="1"/>
  <c r="AW138" i="1"/>
  <c r="AZ138" i="1"/>
  <c r="AO139" i="1"/>
  <c r="AN139" i="1"/>
  <c r="BA139" i="1"/>
  <c r="AW139" i="1"/>
  <c r="AZ139" i="1"/>
  <c r="AO140" i="1"/>
  <c r="AN140" i="1"/>
  <c r="BA140" i="1"/>
  <c r="AW140" i="1"/>
  <c r="AZ140" i="1"/>
  <c r="AO141" i="1"/>
  <c r="AN141" i="1"/>
  <c r="BA141" i="1"/>
  <c r="AW141" i="1"/>
  <c r="AZ141" i="1"/>
  <c r="AO142" i="1"/>
  <c r="AN142" i="1"/>
  <c r="BA142" i="1"/>
  <c r="AW142" i="1"/>
  <c r="AZ142" i="1"/>
  <c r="AO143" i="1"/>
  <c r="AN143" i="1"/>
  <c r="BA143" i="1"/>
  <c r="AW143" i="1"/>
  <c r="AZ143" i="1"/>
  <c r="AO144" i="1"/>
  <c r="AN144" i="1"/>
  <c r="BA144" i="1"/>
  <c r="AW144" i="1"/>
  <c r="AZ144" i="1"/>
  <c r="AO145" i="1"/>
  <c r="AN145" i="1"/>
  <c r="BA145" i="1"/>
  <c r="AW145" i="1"/>
  <c r="AZ145" i="1"/>
  <c r="AO146" i="1"/>
  <c r="AN146" i="1"/>
  <c r="BA146" i="1"/>
  <c r="AW146" i="1"/>
  <c r="AZ146" i="1"/>
  <c r="AO147" i="1"/>
  <c r="AN147" i="1"/>
  <c r="BA147" i="1"/>
  <c r="AW147" i="1"/>
  <c r="AZ147" i="1"/>
  <c r="AO148" i="1"/>
  <c r="AN148" i="1"/>
  <c r="BA148" i="1"/>
  <c r="AW148" i="1"/>
  <c r="AZ148" i="1"/>
  <c r="AO149" i="1"/>
  <c r="AN149" i="1"/>
  <c r="BA149" i="1"/>
  <c r="AW149" i="1"/>
  <c r="AZ149" i="1"/>
  <c r="AO150" i="1"/>
  <c r="AN150" i="1"/>
  <c r="BA150" i="1"/>
  <c r="AW150" i="1"/>
  <c r="AZ150" i="1"/>
  <c r="AO151" i="1"/>
  <c r="AN151" i="1"/>
  <c r="BA151" i="1"/>
  <c r="AW151" i="1"/>
  <c r="AZ151" i="1"/>
  <c r="AO152" i="1"/>
  <c r="AN152" i="1"/>
  <c r="BA152" i="1"/>
  <c r="AW152" i="1"/>
  <c r="AZ152" i="1"/>
  <c r="AO153" i="1"/>
  <c r="AN153" i="1"/>
  <c r="BA153" i="1"/>
  <c r="AW153" i="1"/>
  <c r="AZ153" i="1"/>
  <c r="AO154" i="1"/>
  <c r="AN154" i="1"/>
  <c r="BA154" i="1"/>
  <c r="AW154" i="1"/>
  <c r="AZ154" i="1"/>
  <c r="AO155" i="1"/>
  <c r="AN155" i="1"/>
  <c r="BA155" i="1"/>
  <c r="AW155" i="1"/>
  <c r="AZ155" i="1"/>
  <c r="AO156" i="1"/>
  <c r="AN156" i="1"/>
  <c r="BA156" i="1"/>
  <c r="AW156" i="1"/>
  <c r="AZ156" i="1"/>
  <c r="AO157" i="1"/>
  <c r="AN157" i="1"/>
  <c r="BA157" i="1"/>
  <c r="AW157" i="1"/>
  <c r="AZ157" i="1"/>
  <c r="AO158" i="1"/>
  <c r="AN158" i="1"/>
  <c r="BA158" i="1"/>
  <c r="AW158" i="1"/>
  <c r="AZ158" i="1"/>
  <c r="AO159" i="1"/>
  <c r="AN159" i="1"/>
  <c r="BA159" i="1"/>
  <c r="AW159" i="1"/>
  <c r="AZ159" i="1"/>
  <c r="AO160" i="1"/>
  <c r="AN160" i="1"/>
  <c r="BA160" i="1"/>
  <c r="AW160" i="1"/>
  <c r="AZ160" i="1"/>
  <c r="AO161" i="1"/>
  <c r="AN161" i="1"/>
  <c r="BA161" i="1"/>
  <c r="AW161" i="1"/>
  <c r="AZ161" i="1"/>
  <c r="AO162" i="1"/>
  <c r="AN162" i="1"/>
  <c r="BA162" i="1"/>
  <c r="AW162" i="1"/>
  <c r="AZ162" i="1"/>
  <c r="AO163" i="1"/>
  <c r="AN163" i="1"/>
  <c r="BA163" i="1"/>
  <c r="AW163" i="1"/>
  <c r="AZ163" i="1"/>
  <c r="AO164" i="1"/>
  <c r="AN164" i="1"/>
  <c r="BA164" i="1"/>
  <c r="AW164" i="1"/>
  <c r="AZ164" i="1"/>
  <c r="AO165" i="1"/>
  <c r="AN165" i="1"/>
  <c r="BA165" i="1"/>
  <c r="AW165" i="1"/>
  <c r="AZ165" i="1"/>
  <c r="AO166" i="1"/>
  <c r="AN166" i="1"/>
  <c r="BA166" i="1"/>
  <c r="AW166" i="1"/>
  <c r="AZ166" i="1"/>
  <c r="AO167" i="1"/>
  <c r="AN167" i="1"/>
  <c r="BA167" i="1"/>
  <c r="AW167" i="1"/>
  <c r="AZ167" i="1"/>
  <c r="AO168" i="1"/>
  <c r="AN168" i="1"/>
  <c r="BA168" i="1"/>
  <c r="AW168" i="1"/>
  <c r="AZ168" i="1"/>
  <c r="AO169" i="1"/>
  <c r="AN169" i="1"/>
  <c r="BA169" i="1"/>
  <c r="AW169" i="1"/>
  <c r="AZ169" i="1"/>
  <c r="AO170" i="1"/>
  <c r="AN170" i="1"/>
  <c r="BA170" i="1"/>
  <c r="AW170" i="1"/>
  <c r="AZ170" i="1"/>
  <c r="AO171" i="1"/>
  <c r="AN171" i="1"/>
  <c r="BA171" i="1"/>
  <c r="AW171" i="1"/>
  <c r="AZ171" i="1"/>
  <c r="AO172" i="1"/>
  <c r="AN172" i="1"/>
  <c r="BA172" i="1"/>
  <c r="AW172" i="1"/>
  <c r="AZ172" i="1"/>
  <c r="AO173" i="1"/>
  <c r="AN173" i="1"/>
  <c r="BA173" i="1"/>
  <c r="AW173" i="1"/>
  <c r="AZ173" i="1"/>
  <c r="AO174" i="1"/>
  <c r="AN174" i="1"/>
  <c r="BA174" i="1"/>
  <c r="AW174" i="1"/>
  <c r="AZ174" i="1"/>
  <c r="AO175" i="1"/>
  <c r="AN175" i="1"/>
  <c r="BA175" i="1"/>
  <c r="AW175" i="1"/>
  <c r="AZ175" i="1"/>
  <c r="AO176" i="1"/>
  <c r="AN176" i="1"/>
  <c r="BA176" i="1"/>
  <c r="AW176" i="1"/>
  <c r="AZ176" i="1"/>
  <c r="AO177" i="1"/>
  <c r="AN177" i="1"/>
  <c r="BA177" i="1"/>
  <c r="AW177" i="1"/>
  <c r="AZ177" i="1"/>
  <c r="AO178" i="1"/>
  <c r="AN178" i="1"/>
  <c r="BA178" i="1"/>
  <c r="AW178" i="1"/>
  <c r="AZ178" i="1"/>
  <c r="AO179" i="1"/>
  <c r="AN179" i="1"/>
  <c r="BA179" i="1"/>
  <c r="AW179" i="1"/>
  <c r="AZ179" i="1"/>
  <c r="AO180" i="1"/>
  <c r="AN180" i="1"/>
  <c r="BA180" i="1"/>
  <c r="AW180" i="1"/>
  <c r="AZ180" i="1"/>
  <c r="AO181" i="1"/>
  <c r="AN181" i="1"/>
  <c r="BA181" i="1"/>
  <c r="AW181" i="1"/>
  <c r="AZ181" i="1"/>
  <c r="AO182" i="1"/>
  <c r="AN182" i="1"/>
  <c r="BA182" i="1"/>
  <c r="AW182" i="1"/>
  <c r="AZ182" i="1"/>
  <c r="AO183" i="1"/>
  <c r="AN183" i="1"/>
  <c r="BA183" i="1"/>
  <c r="AW183" i="1"/>
  <c r="AZ183" i="1"/>
  <c r="AO184" i="1"/>
  <c r="AN184" i="1"/>
  <c r="BA184" i="1"/>
  <c r="AW184" i="1"/>
  <c r="AZ184" i="1"/>
  <c r="AO185" i="1"/>
  <c r="AN185" i="1"/>
  <c r="BA185" i="1"/>
  <c r="AW185" i="1"/>
  <c r="AZ185" i="1"/>
  <c r="AO186" i="1"/>
  <c r="AN186" i="1"/>
  <c r="BA186" i="1"/>
  <c r="AW186" i="1"/>
  <c r="AZ186" i="1"/>
  <c r="AO187" i="1"/>
  <c r="AN187" i="1"/>
  <c r="BA187" i="1"/>
  <c r="AW187" i="1"/>
  <c r="AZ187" i="1"/>
  <c r="AO188" i="1"/>
  <c r="AN188" i="1"/>
  <c r="BA188" i="1"/>
  <c r="AW188" i="1"/>
  <c r="AZ188" i="1"/>
  <c r="AO189" i="1"/>
  <c r="AN189" i="1"/>
  <c r="BA189" i="1"/>
  <c r="AW189" i="1"/>
  <c r="AZ189" i="1"/>
  <c r="AO190" i="1"/>
  <c r="AN190" i="1"/>
  <c r="BA190" i="1"/>
  <c r="AW190" i="1"/>
  <c r="AZ190" i="1"/>
  <c r="AO191" i="1"/>
  <c r="AN191" i="1"/>
  <c r="BA191" i="1"/>
  <c r="AW191" i="1"/>
  <c r="AZ191" i="1"/>
  <c r="AO192" i="1"/>
  <c r="AN192" i="1"/>
  <c r="BA192" i="1"/>
  <c r="AW192" i="1"/>
  <c r="AZ192" i="1"/>
  <c r="AO193" i="1"/>
  <c r="AN193" i="1"/>
  <c r="BA193" i="1"/>
  <c r="AW193" i="1"/>
  <c r="AZ193" i="1"/>
  <c r="AO194" i="1"/>
  <c r="AN194" i="1"/>
  <c r="BA194" i="1"/>
  <c r="AW194" i="1"/>
  <c r="AZ194" i="1"/>
  <c r="AO195" i="1"/>
  <c r="AN195" i="1"/>
  <c r="BA195" i="1"/>
  <c r="AW195" i="1"/>
  <c r="AZ195" i="1"/>
  <c r="AO196" i="1"/>
  <c r="AN196" i="1"/>
  <c r="BA196" i="1"/>
  <c r="AW196" i="1"/>
  <c r="AZ196" i="1"/>
  <c r="AO197" i="1"/>
  <c r="AN197" i="1"/>
  <c r="BA197" i="1"/>
  <c r="AW197" i="1"/>
  <c r="AZ197" i="1"/>
  <c r="AO198" i="1"/>
  <c r="AN198" i="1"/>
  <c r="BA198" i="1"/>
  <c r="AW198" i="1"/>
  <c r="AZ198" i="1"/>
  <c r="AO199" i="1"/>
  <c r="AN199" i="1"/>
  <c r="BA199" i="1"/>
  <c r="AW199" i="1"/>
  <c r="AZ199" i="1"/>
  <c r="AO200" i="1"/>
  <c r="AN200" i="1"/>
  <c r="BA200" i="1"/>
  <c r="AW200" i="1"/>
  <c r="AZ200" i="1"/>
  <c r="AO201" i="1"/>
  <c r="AN201" i="1"/>
  <c r="BA201" i="1"/>
  <c r="AW201" i="1"/>
  <c r="AZ201" i="1"/>
  <c r="AO202" i="1"/>
  <c r="AN202" i="1"/>
  <c r="BA202" i="1"/>
  <c r="AW202" i="1"/>
  <c r="AZ202" i="1"/>
  <c r="AO203" i="1"/>
  <c r="AN203" i="1"/>
  <c r="BA203" i="1"/>
  <c r="AW203" i="1"/>
  <c r="AZ203" i="1"/>
  <c r="AO204" i="1"/>
  <c r="AN204" i="1"/>
  <c r="BA204" i="1"/>
  <c r="AW204" i="1"/>
  <c r="AZ204" i="1"/>
  <c r="BA5" i="1"/>
  <c r="AW5" i="1"/>
  <c r="AO5" i="1"/>
  <c r="AZ5" i="1"/>
  <c r="Z3" i="1"/>
  <c r="BL5" i="1"/>
  <c r="W207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201" i="1"/>
  <c r="AX202" i="1"/>
  <c r="AX203" i="1"/>
  <c r="AX204" i="1"/>
  <c r="AX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5" i="1"/>
  <c r="AY25" i="1"/>
  <c r="AY26" i="1"/>
  <c r="AY27" i="1"/>
  <c r="AY28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P5" i="1"/>
  <c r="BL6" i="1"/>
  <c r="W213" i="1"/>
  <c r="BJ5" i="1"/>
  <c r="BK5" i="1"/>
  <c r="W210" i="1"/>
  <c r="U207" i="1"/>
  <c r="BJ6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K3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G6" i="1"/>
  <c r="BG7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M3" i="1" a="1"/>
  <c r="M3" i="1"/>
  <c r="D3" i="1"/>
  <c r="BE203" i="1"/>
  <c r="AL203" i="1"/>
  <c r="AM203" i="1"/>
  <c r="AT203" i="1"/>
  <c r="AU203" i="1"/>
  <c r="AF203" i="1"/>
  <c r="AR203" i="1"/>
  <c r="AQ203" i="1"/>
  <c r="AS203" i="1"/>
  <c r="BE202" i="1"/>
  <c r="AL202" i="1"/>
  <c r="AM202" i="1"/>
  <c r="AT202" i="1"/>
  <c r="AU202" i="1"/>
  <c r="AF202" i="1"/>
  <c r="AR202" i="1"/>
  <c r="AQ202" i="1"/>
  <c r="AS202" i="1"/>
  <c r="BE201" i="1"/>
  <c r="AL201" i="1"/>
  <c r="AM201" i="1"/>
  <c r="AT201" i="1"/>
  <c r="AU201" i="1"/>
  <c r="AF201" i="1"/>
  <c r="AR201" i="1"/>
  <c r="AQ201" i="1"/>
  <c r="AS201" i="1"/>
  <c r="BE200" i="1"/>
  <c r="AL200" i="1"/>
  <c r="AM200" i="1"/>
  <c r="AT200" i="1"/>
  <c r="AU200" i="1"/>
  <c r="AF200" i="1"/>
  <c r="AR200" i="1"/>
  <c r="AQ200" i="1"/>
  <c r="AS200" i="1"/>
  <c r="BE199" i="1"/>
  <c r="AL199" i="1"/>
  <c r="AM199" i="1"/>
  <c r="AT199" i="1"/>
  <c r="AU199" i="1"/>
  <c r="AF199" i="1"/>
  <c r="AR199" i="1"/>
  <c r="AQ199" i="1"/>
  <c r="AS199" i="1"/>
  <c r="BE198" i="1"/>
  <c r="AL198" i="1"/>
  <c r="AM198" i="1"/>
  <c r="AT198" i="1"/>
  <c r="AU198" i="1"/>
  <c r="AF198" i="1"/>
  <c r="AR198" i="1"/>
  <c r="AQ198" i="1"/>
  <c r="AS198" i="1"/>
  <c r="BE197" i="1"/>
  <c r="AL197" i="1"/>
  <c r="AM197" i="1"/>
  <c r="AT197" i="1"/>
  <c r="AU197" i="1"/>
  <c r="AF197" i="1"/>
  <c r="AR197" i="1"/>
  <c r="AQ197" i="1"/>
  <c r="AS197" i="1"/>
  <c r="BE196" i="1"/>
  <c r="AL196" i="1"/>
  <c r="AM196" i="1"/>
  <c r="AT196" i="1"/>
  <c r="AU196" i="1"/>
  <c r="AF196" i="1"/>
  <c r="AR196" i="1"/>
  <c r="AQ196" i="1"/>
  <c r="AS196" i="1"/>
  <c r="BE195" i="1"/>
  <c r="AL195" i="1"/>
  <c r="AM195" i="1"/>
  <c r="AT195" i="1"/>
  <c r="AU195" i="1"/>
  <c r="AF195" i="1"/>
  <c r="AR195" i="1"/>
  <c r="AQ195" i="1"/>
  <c r="AS195" i="1"/>
  <c r="BE194" i="1"/>
  <c r="AL194" i="1"/>
  <c r="AM194" i="1"/>
  <c r="AT194" i="1"/>
  <c r="AU194" i="1"/>
  <c r="AF194" i="1"/>
  <c r="AR194" i="1"/>
  <c r="AQ194" i="1"/>
  <c r="AS194" i="1"/>
  <c r="BE193" i="1"/>
  <c r="AL193" i="1"/>
  <c r="AM193" i="1"/>
  <c r="AT193" i="1"/>
  <c r="AU193" i="1"/>
  <c r="AF193" i="1"/>
  <c r="AR193" i="1"/>
  <c r="AQ193" i="1"/>
  <c r="AS193" i="1"/>
  <c r="BE192" i="1"/>
  <c r="AL192" i="1"/>
  <c r="AM192" i="1"/>
  <c r="AT192" i="1"/>
  <c r="AU192" i="1"/>
  <c r="AF192" i="1"/>
  <c r="AR192" i="1"/>
  <c r="AQ192" i="1"/>
  <c r="AS192" i="1"/>
  <c r="BE191" i="1"/>
  <c r="AL191" i="1"/>
  <c r="AM191" i="1"/>
  <c r="AT191" i="1"/>
  <c r="AU191" i="1"/>
  <c r="AF191" i="1"/>
  <c r="AR191" i="1"/>
  <c r="AQ191" i="1"/>
  <c r="AS191" i="1"/>
  <c r="BE190" i="1"/>
  <c r="AL190" i="1"/>
  <c r="AM190" i="1"/>
  <c r="AT190" i="1"/>
  <c r="AU190" i="1"/>
  <c r="AF190" i="1"/>
  <c r="AR190" i="1"/>
  <c r="AQ190" i="1"/>
  <c r="AS190" i="1"/>
  <c r="AL5" i="1"/>
  <c r="AM5" i="1"/>
  <c r="AL6" i="1"/>
  <c r="AM6" i="1"/>
  <c r="AL7" i="1"/>
  <c r="AM7" i="1"/>
  <c r="AL8" i="1"/>
  <c r="AM8" i="1"/>
  <c r="AL9" i="1"/>
  <c r="AM9" i="1"/>
  <c r="AL10" i="1"/>
  <c r="AM10" i="1"/>
  <c r="AL11" i="1"/>
  <c r="AM11" i="1"/>
  <c r="AL12" i="1"/>
  <c r="AM12" i="1"/>
  <c r="AL13" i="1"/>
  <c r="AM13" i="1"/>
  <c r="AL14" i="1"/>
  <c r="AM14" i="1"/>
  <c r="AL15" i="1"/>
  <c r="AM15" i="1"/>
  <c r="AL16" i="1"/>
  <c r="AM16" i="1"/>
  <c r="AL17" i="1"/>
  <c r="AM17" i="1"/>
  <c r="AL18" i="1"/>
  <c r="AM18" i="1"/>
  <c r="AL19" i="1"/>
  <c r="AM19" i="1"/>
  <c r="AL20" i="1"/>
  <c r="AM20" i="1"/>
  <c r="AL21" i="1"/>
  <c r="AM21" i="1"/>
  <c r="AL22" i="1"/>
  <c r="AM22" i="1"/>
  <c r="AL23" i="1"/>
  <c r="AM23" i="1"/>
  <c r="AL24" i="1"/>
  <c r="AM24" i="1"/>
  <c r="AL25" i="1"/>
  <c r="AM25" i="1"/>
  <c r="AL26" i="1"/>
  <c r="AM26" i="1"/>
  <c r="AL27" i="1"/>
  <c r="AM27" i="1"/>
  <c r="AL28" i="1"/>
  <c r="AM28" i="1"/>
  <c r="AL29" i="1"/>
  <c r="AM29" i="1"/>
  <c r="AL30" i="1"/>
  <c r="AM30" i="1"/>
  <c r="AL31" i="1"/>
  <c r="AM31" i="1"/>
  <c r="AL32" i="1"/>
  <c r="AM32" i="1"/>
  <c r="AL33" i="1"/>
  <c r="AM33" i="1"/>
  <c r="AL34" i="1"/>
  <c r="AM34" i="1"/>
  <c r="AL35" i="1"/>
  <c r="AM35" i="1"/>
  <c r="AL36" i="1"/>
  <c r="AM36" i="1"/>
  <c r="AL37" i="1"/>
  <c r="AM37" i="1"/>
  <c r="AL38" i="1"/>
  <c r="AM38" i="1"/>
  <c r="AL39" i="1"/>
  <c r="AM39" i="1"/>
  <c r="AL40" i="1"/>
  <c r="AM40" i="1"/>
  <c r="AL41" i="1"/>
  <c r="AM41" i="1"/>
  <c r="AL42" i="1"/>
  <c r="AM42" i="1"/>
  <c r="AL43" i="1"/>
  <c r="AM43" i="1"/>
  <c r="AL44" i="1"/>
  <c r="AM44" i="1"/>
  <c r="AL45" i="1"/>
  <c r="AM45" i="1"/>
  <c r="AL46" i="1"/>
  <c r="AM46" i="1"/>
  <c r="AL47" i="1"/>
  <c r="AM47" i="1"/>
  <c r="AL48" i="1"/>
  <c r="AM48" i="1"/>
  <c r="AL49" i="1"/>
  <c r="AM49" i="1"/>
  <c r="AL50" i="1"/>
  <c r="AM50" i="1"/>
  <c r="AL51" i="1"/>
  <c r="AM51" i="1"/>
  <c r="AL52" i="1"/>
  <c r="AM52" i="1"/>
  <c r="AL53" i="1"/>
  <c r="AM53" i="1"/>
  <c r="AL54" i="1"/>
  <c r="AM54" i="1"/>
  <c r="AL55" i="1"/>
  <c r="AM55" i="1"/>
  <c r="AL56" i="1"/>
  <c r="AM56" i="1"/>
  <c r="AL57" i="1"/>
  <c r="AM57" i="1"/>
  <c r="AL58" i="1"/>
  <c r="AM58" i="1"/>
  <c r="AL59" i="1"/>
  <c r="AM59" i="1"/>
  <c r="AL60" i="1"/>
  <c r="AM60" i="1"/>
  <c r="AL61" i="1"/>
  <c r="AM61" i="1"/>
  <c r="AL62" i="1"/>
  <c r="AM62" i="1"/>
  <c r="AL63" i="1"/>
  <c r="AM63" i="1"/>
  <c r="AL64" i="1"/>
  <c r="AM64" i="1"/>
  <c r="AL65" i="1"/>
  <c r="AM65" i="1"/>
  <c r="AL66" i="1"/>
  <c r="AM66" i="1"/>
  <c r="AL67" i="1"/>
  <c r="AM67" i="1"/>
  <c r="AL68" i="1"/>
  <c r="AM68" i="1"/>
  <c r="AL69" i="1"/>
  <c r="AM69" i="1"/>
  <c r="AL70" i="1"/>
  <c r="AM70" i="1"/>
  <c r="AL71" i="1"/>
  <c r="AM71" i="1"/>
  <c r="AL72" i="1"/>
  <c r="AM72" i="1"/>
  <c r="AL73" i="1"/>
  <c r="AM73" i="1"/>
  <c r="AL74" i="1"/>
  <c r="AM74" i="1"/>
  <c r="AL75" i="1"/>
  <c r="AM75" i="1"/>
  <c r="AL76" i="1"/>
  <c r="AM76" i="1"/>
  <c r="AL77" i="1"/>
  <c r="AM77" i="1"/>
  <c r="AL78" i="1"/>
  <c r="AM78" i="1"/>
  <c r="AL79" i="1"/>
  <c r="AM79" i="1"/>
  <c r="AL80" i="1"/>
  <c r="AM80" i="1"/>
  <c r="AL81" i="1"/>
  <c r="AM81" i="1"/>
  <c r="AL82" i="1"/>
  <c r="AM82" i="1"/>
  <c r="AL83" i="1"/>
  <c r="AM83" i="1"/>
  <c r="AL84" i="1"/>
  <c r="AM84" i="1"/>
  <c r="AL85" i="1"/>
  <c r="AM85" i="1"/>
  <c r="AL86" i="1"/>
  <c r="AM86" i="1"/>
  <c r="AL87" i="1"/>
  <c r="AM87" i="1"/>
  <c r="AL88" i="1"/>
  <c r="AM88" i="1"/>
  <c r="AL89" i="1"/>
  <c r="AM89" i="1"/>
  <c r="AL90" i="1"/>
  <c r="AM90" i="1"/>
  <c r="AL91" i="1"/>
  <c r="AM91" i="1"/>
  <c r="AL92" i="1"/>
  <c r="AM92" i="1"/>
  <c r="AL93" i="1"/>
  <c r="AM93" i="1"/>
  <c r="AL94" i="1"/>
  <c r="AM94" i="1"/>
  <c r="AL95" i="1"/>
  <c r="AM95" i="1"/>
  <c r="AL96" i="1"/>
  <c r="AM96" i="1"/>
  <c r="AL97" i="1"/>
  <c r="AM97" i="1"/>
  <c r="AL98" i="1"/>
  <c r="AM98" i="1"/>
  <c r="AL99" i="1"/>
  <c r="AM99" i="1"/>
  <c r="AL100" i="1"/>
  <c r="AM100" i="1"/>
  <c r="AL101" i="1"/>
  <c r="AM101" i="1"/>
  <c r="AL102" i="1"/>
  <c r="AM102" i="1"/>
  <c r="AL103" i="1"/>
  <c r="AM103" i="1"/>
  <c r="AL104" i="1"/>
  <c r="AM104" i="1"/>
  <c r="AL105" i="1"/>
  <c r="AM105" i="1"/>
  <c r="AL106" i="1"/>
  <c r="AM106" i="1"/>
  <c r="AL107" i="1"/>
  <c r="AM107" i="1"/>
  <c r="AL108" i="1"/>
  <c r="AM108" i="1"/>
  <c r="AL109" i="1"/>
  <c r="AM109" i="1"/>
  <c r="AL110" i="1"/>
  <c r="AM110" i="1"/>
  <c r="AL111" i="1"/>
  <c r="AM111" i="1"/>
  <c r="AL112" i="1"/>
  <c r="AM112" i="1"/>
  <c r="AL113" i="1"/>
  <c r="AM113" i="1"/>
  <c r="AL114" i="1"/>
  <c r="AM114" i="1"/>
  <c r="AL115" i="1"/>
  <c r="AM115" i="1"/>
  <c r="AL116" i="1"/>
  <c r="AM116" i="1"/>
  <c r="AL117" i="1"/>
  <c r="AM117" i="1"/>
  <c r="AL118" i="1"/>
  <c r="AM118" i="1"/>
  <c r="AL119" i="1"/>
  <c r="AM119" i="1"/>
  <c r="AL120" i="1"/>
  <c r="AM120" i="1"/>
  <c r="AL121" i="1"/>
  <c r="AM121" i="1"/>
  <c r="AL122" i="1"/>
  <c r="AM122" i="1"/>
  <c r="AL123" i="1"/>
  <c r="AM123" i="1"/>
  <c r="AL124" i="1"/>
  <c r="AM124" i="1"/>
  <c r="AL125" i="1"/>
  <c r="AM125" i="1"/>
  <c r="AL126" i="1"/>
  <c r="AM126" i="1"/>
  <c r="AL127" i="1"/>
  <c r="AM127" i="1"/>
  <c r="AL128" i="1"/>
  <c r="AM128" i="1"/>
  <c r="AL129" i="1"/>
  <c r="AM129" i="1"/>
  <c r="AL130" i="1"/>
  <c r="AM130" i="1"/>
  <c r="AL131" i="1"/>
  <c r="AM131" i="1"/>
  <c r="AL132" i="1"/>
  <c r="AM132" i="1"/>
  <c r="AL133" i="1"/>
  <c r="AM133" i="1"/>
  <c r="AL134" i="1"/>
  <c r="AM134" i="1"/>
  <c r="AL135" i="1"/>
  <c r="AM135" i="1"/>
  <c r="AL136" i="1"/>
  <c r="AM136" i="1"/>
  <c r="AL137" i="1"/>
  <c r="AM137" i="1"/>
  <c r="AL138" i="1"/>
  <c r="AM138" i="1"/>
  <c r="AL139" i="1"/>
  <c r="AM139" i="1"/>
  <c r="AL140" i="1"/>
  <c r="AM140" i="1"/>
  <c r="AL141" i="1"/>
  <c r="AM141" i="1"/>
  <c r="AL142" i="1"/>
  <c r="AM142" i="1"/>
  <c r="AL143" i="1"/>
  <c r="AM143" i="1"/>
  <c r="AL144" i="1"/>
  <c r="AM144" i="1"/>
  <c r="AL145" i="1"/>
  <c r="AM145" i="1"/>
  <c r="AL146" i="1"/>
  <c r="AM146" i="1"/>
  <c r="AL147" i="1"/>
  <c r="AM147" i="1"/>
  <c r="AL148" i="1"/>
  <c r="AM148" i="1"/>
  <c r="AL149" i="1"/>
  <c r="AM149" i="1"/>
  <c r="AL150" i="1"/>
  <c r="AM150" i="1"/>
  <c r="AL151" i="1"/>
  <c r="AM151" i="1"/>
  <c r="AL152" i="1"/>
  <c r="AM152" i="1"/>
  <c r="AL153" i="1"/>
  <c r="AM153" i="1"/>
  <c r="AL154" i="1"/>
  <c r="AM154" i="1"/>
  <c r="AL155" i="1"/>
  <c r="AM155" i="1"/>
  <c r="AL156" i="1"/>
  <c r="AM156" i="1"/>
  <c r="AL157" i="1"/>
  <c r="AM157" i="1"/>
  <c r="AL158" i="1"/>
  <c r="AM158" i="1"/>
  <c r="AL159" i="1"/>
  <c r="AM159" i="1"/>
  <c r="AL160" i="1"/>
  <c r="AM160" i="1"/>
  <c r="AL161" i="1"/>
  <c r="AM161" i="1"/>
  <c r="AL162" i="1"/>
  <c r="AM162" i="1"/>
  <c r="AL163" i="1"/>
  <c r="AM163" i="1"/>
  <c r="AL164" i="1"/>
  <c r="AM164" i="1"/>
  <c r="AL165" i="1"/>
  <c r="AM165" i="1"/>
  <c r="AL166" i="1"/>
  <c r="AM166" i="1"/>
  <c r="AL167" i="1"/>
  <c r="AM167" i="1"/>
  <c r="AL168" i="1"/>
  <c r="AM168" i="1"/>
  <c r="AL169" i="1"/>
  <c r="AM169" i="1"/>
  <c r="AL170" i="1"/>
  <c r="AM170" i="1"/>
  <c r="AL171" i="1"/>
  <c r="AM171" i="1"/>
  <c r="AL172" i="1"/>
  <c r="AM172" i="1"/>
  <c r="AL173" i="1"/>
  <c r="AM173" i="1"/>
  <c r="AL174" i="1"/>
  <c r="AM174" i="1"/>
  <c r="AL175" i="1"/>
  <c r="AM175" i="1"/>
  <c r="AL176" i="1"/>
  <c r="AM176" i="1"/>
  <c r="AL177" i="1"/>
  <c r="AM177" i="1"/>
  <c r="AL178" i="1"/>
  <c r="AM178" i="1"/>
  <c r="AL179" i="1"/>
  <c r="AM179" i="1"/>
  <c r="AL180" i="1"/>
  <c r="AM180" i="1"/>
  <c r="AL181" i="1"/>
  <c r="AM181" i="1"/>
  <c r="AL182" i="1"/>
  <c r="AM182" i="1"/>
  <c r="AL183" i="1"/>
  <c r="AM183" i="1"/>
  <c r="AL184" i="1"/>
  <c r="AM184" i="1"/>
  <c r="AL185" i="1"/>
  <c r="AM185" i="1"/>
  <c r="AL186" i="1"/>
  <c r="AM186" i="1"/>
  <c r="AL187" i="1"/>
  <c r="AM187" i="1"/>
  <c r="AL188" i="1"/>
  <c r="AM188" i="1"/>
  <c r="AL189" i="1"/>
  <c r="AM189" i="1"/>
  <c r="AL204" i="1"/>
  <c r="AM204" i="1"/>
  <c r="AC205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204" i="1"/>
  <c r="AE208" i="1"/>
  <c r="AT5" i="1"/>
  <c r="AU5" i="1"/>
  <c r="AF5" i="1"/>
  <c r="AR5" i="1"/>
  <c r="AT6" i="1"/>
  <c r="AU6" i="1"/>
  <c r="AF6" i="1"/>
  <c r="AR6" i="1"/>
  <c r="AT7" i="1"/>
  <c r="AU7" i="1"/>
  <c r="AF7" i="1"/>
  <c r="AR7" i="1"/>
  <c r="AT8" i="1"/>
  <c r="AU8" i="1"/>
  <c r="AF8" i="1"/>
  <c r="AR8" i="1"/>
  <c r="AT9" i="1"/>
  <c r="AU9" i="1"/>
  <c r="AF9" i="1"/>
  <c r="AR9" i="1"/>
  <c r="AT10" i="1"/>
  <c r="AU10" i="1"/>
  <c r="AF10" i="1"/>
  <c r="AR10" i="1"/>
  <c r="AT11" i="1"/>
  <c r="AU11" i="1"/>
  <c r="AF11" i="1"/>
  <c r="AR11" i="1"/>
  <c r="AT12" i="1"/>
  <c r="AU12" i="1"/>
  <c r="AF12" i="1"/>
  <c r="AR12" i="1"/>
  <c r="AT13" i="1"/>
  <c r="AU13" i="1"/>
  <c r="AF13" i="1"/>
  <c r="AR13" i="1"/>
  <c r="AT14" i="1"/>
  <c r="AU14" i="1"/>
  <c r="AF14" i="1"/>
  <c r="AR14" i="1"/>
  <c r="AT15" i="1"/>
  <c r="AU15" i="1"/>
  <c r="AF15" i="1"/>
  <c r="AR15" i="1"/>
  <c r="AT16" i="1"/>
  <c r="AU16" i="1"/>
  <c r="AF16" i="1"/>
  <c r="AR16" i="1"/>
  <c r="AT17" i="1"/>
  <c r="AU17" i="1"/>
  <c r="AF17" i="1"/>
  <c r="AR17" i="1"/>
  <c r="AT18" i="1"/>
  <c r="AU18" i="1"/>
  <c r="AF18" i="1"/>
  <c r="AR18" i="1"/>
  <c r="AT19" i="1"/>
  <c r="AU19" i="1"/>
  <c r="AF19" i="1"/>
  <c r="AR19" i="1"/>
  <c r="AT20" i="1"/>
  <c r="AU20" i="1"/>
  <c r="AF20" i="1"/>
  <c r="AR20" i="1"/>
  <c r="AT21" i="1"/>
  <c r="AU21" i="1"/>
  <c r="AF21" i="1"/>
  <c r="AR21" i="1"/>
  <c r="AT22" i="1"/>
  <c r="AU22" i="1"/>
  <c r="AF22" i="1"/>
  <c r="AR22" i="1"/>
  <c r="AT23" i="1"/>
  <c r="AU23" i="1"/>
  <c r="AF23" i="1"/>
  <c r="AR23" i="1"/>
  <c r="AT24" i="1"/>
  <c r="AU24" i="1"/>
  <c r="AF24" i="1"/>
  <c r="AR24" i="1"/>
  <c r="AT25" i="1"/>
  <c r="AU25" i="1"/>
  <c r="AF25" i="1"/>
  <c r="AR25" i="1"/>
  <c r="AT26" i="1"/>
  <c r="AU26" i="1"/>
  <c r="AF26" i="1"/>
  <c r="AR26" i="1"/>
  <c r="AT27" i="1"/>
  <c r="AU27" i="1"/>
  <c r="AF27" i="1"/>
  <c r="AR27" i="1"/>
  <c r="AT28" i="1"/>
  <c r="AU28" i="1"/>
  <c r="AF28" i="1"/>
  <c r="AR28" i="1"/>
  <c r="AT29" i="1"/>
  <c r="AU29" i="1"/>
  <c r="AF29" i="1"/>
  <c r="AR29" i="1"/>
  <c r="AT30" i="1"/>
  <c r="AU30" i="1"/>
  <c r="AF30" i="1"/>
  <c r="AR30" i="1"/>
  <c r="AT31" i="1"/>
  <c r="AU31" i="1"/>
  <c r="AF31" i="1"/>
  <c r="AR31" i="1"/>
  <c r="AT32" i="1"/>
  <c r="AU32" i="1"/>
  <c r="AF32" i="1"/>
  <c r="AR32" i="1"/>
  <c r="AT33" i="1"/>
  <c r="AU33" i="1"/>
  <c r="AF33" i="1"/>
  <c r="AR33" i="1"/>
  <c r="AT34" i="1"/>
  <c r="AU34" i="1"/>
  <c r="AF34" i="1"/>
  <c r="AR34" i="1"/>
  <c r="AT35" i="1"/>
  <c r="AU35" i="1"/>
  <c r="AF35" i="1"/>
  <c r="AR35" i="1"/>
  <c r="AT36" i="1"/>
  <c r="AU36" i="1"/>
  <c r="AF36" i="1"/>
  <c r="AR36" i="1"/>
  <c r="AT37" i="1"/>
  <c r="AU37" i="1"/>
  <c r="AF37" i="1"/>
  <c r="AR37" i="1"/>
  <c r="AT38" i="1"/>
  <c r="AU38" i="1"/>
  <c r="AF38" i="1"/>
  <c r="AR38" i="1"/>
  <c r="AT39" i="1"/>
  <c r="AU39" i="1"/>
  <c r="AF39" i="1"/>
  <c r="AR39" i="1"/>
  <c r="AT40" i="1"/>
  <c r="AU40" i="1"/>
  <c r="AF40" i="1"/>
  <c r="AR40" i="1"/>
  <c r="AT41" i="1"/>
  <c r="AU41" i="1"/>
  <c r="AF41" i="1"/>
  <c r="AR41" i="1"/>
  <c r="AT42" i="1"/>
  <c r="AU42" i="1"/>
  <c r="AF42" i="1"/>
  <c r="AR42" i="1"/>
  <c r="AT43" i="1"/>
  <c r="AU43" i="1"/>
  <c r="AF43" i="1"/>
  <c r="AR43" i="1"/>
  <c r="AT44" i="1"/>
  <c r="AU44" i="1"/>
  <c r="AF44" i="1"/>
  <c r="AR44" i="1"/>
  <c r="AT45" i="1"/>
  <c r="AU45" i="1"/>
  <c r="AF45" i="1"/>
  <c r="AR45" i="1"/>
  <c r="AT46" i="1"/>
  <c r="AU46" i="1"/>
  <c r="AF46" i="1"/>
  <c r="AR46" i="1"/>
  <c r="AT47" i="1"/>
  <c r="AU47" i="1"/>
  <c r="AF47" i="1"/>
  <c r="AR47" i="1"/>
  <c r="AT48" i="1"/>
  <c r="AU48" i="1"/>
  <c r="AF48" i="1"/>
  <c r="AR48" i="1"/>
  <c r="AT49" i="1"/>
  <c r="AU49" i="1"/>
  <c r="AF49" i="1"/>
  <c r="AR49" i="1"/>
  <c r="AT50" i="1"/>
  <c r="AU50" i="1"/>
  <c r="AF50" i="1"/>
  <c r="AR50" i="1"/>
  <c r="AT51" i="1"/>
  <c r="AU51" i="1"/>
  <c r="AF51" i="1"/>
  <c r="AR51" i="1"/>
  <c r="AT52" i="1"/>
  <c r="AU52" i="1"/>
  <c r="AF52" i="1"/>
  <c r="AR52" i="1"/>
  <c r="AT53" i="1"/>
  <c r="AU53" i="1"/>
  <c r="AF53" i="1"/>
  <c r="AR53" i="1"/>
  <c r="AT54" i="1"/>
  <c r="AU54" i="1"/>
  <c r="AF54" i="1"/>
  <c r="AR54" i="1"/>
  <c r="AT55" i="1"/>
  <c r="AU55" i="1"/>
  <c r="AF55" i="1"/>
  <c r="AR55" i="1"/>
  <c r="AT56" i="1"/>
  <c r="AU56" i="1"/>
  <c r="AF56" i="1"/>
  <c r="AR56" i="1"/>
  <c r="AT57" i="1"/>
  <c r="AU57" i="1"/>
  <c r="AF57" i="1"/>
  <c r="AR57" i="1"/>
  <c r="AT58" i="1"/>
  <c r="AU58" i="1"/>
  <c r="AF58" i="1"/>
  <c r="AR58" i="1"/>
  <c r="AT59" i="1"/>
  <c r="AU59" i="1"/>
  <c r="AF59" i="1"/>
  <c r="AR59" i="1"/>
  <c r="AT60" i="1"/>
  <c r="AU60" i="1"/>
  <c r="AF60" i="1"/>
  <c r="AR60" i="1"/>
  <c r="AT61" i="1"/>
  <c r="AU61" i="1"/>
  <c r="AF61" i="1"/>
  <c r="AR61" i="1"/>
  <c r="AT62" i="1"/>
  <c r="AU62" i="1"/>
  <c r="AF62" i="1"/>
  <c r="AR62" i="1"/>
  <c r="AT63" i="1"/>
  <c r="AU63" i="1"/>
  <c r="AF63" i="1"/>
  <c r="AR63" i="1"/>
  <c r="AT64" i="1"/>
  <c r="AU64" i="1"/>
  <c r="AF64" i="1"/>
  <c r="AR64" i="1"/>
  <c r="AT65" i="1"/>
  <c r="AU65" i="1"/>
  <c r="AF65" i="1"/>
  <c r="AR65" i="1"/>
  <c r="AT66" i="1"/>
  <c r="AU66" i="1"/>
  <c r="AF66" i="1"/>
  <c r="AR66" i="1"/>
  <c r="AT67" i="1"/>
  <c r="AU67" i="1"/>
  <c r="AF67" i="1"/>
  <c r="AR67" i="1"/>
  <c r="AT68" i="1"/>
  <c r="AU68" i="1"/>
  <c r="AF68" i="1"/>
  <c r="AR68" i="1"/>
  <c r="AT69" i="1"/>
  <c r="AU69" i="1"/>
  <c r="AF69" i="1"/>
  <c r="AR69" i="1"/>
  <c r="AT70" i="1"/>
  <c r="AU70" i="1"/>
  <c r="AF70" i="1"/>
  <c r="AR70" i="1"/>
  <c r="AT71" i="1"/>
  <c r="AU71" i="1"/>
  <c r="AF71" i="1"/>
  <c r="AR71" i="1"/>
  <c r="AT72" i="1"/>
  <c r="AU72" i="1"/>
  <c r="AF72" i="1"/>
  <c r="AR72" i="1"/>
  <c r="AT73" i="1"/>
  <c r="AU73" i="1"/>
  <c r="AF73" i="1"/>
  <c r="AR73" i="1"/>
  <c r="AT74" i="1"/>
  <c r="AU74" i="1"/>
  <c r="AF74" i="1"/>
  <c r="AR74" i="1"/>
  <c r="AT75" i="1"/>
  <c r="AU75" i="1"/>
  <c r="AF75" i="1"/>
  <c r="AR75" i="1"/>
  <c r="AT76" i="1"/>
  <c r="AU76" i="1"/>
  <c r="AF76" i="1"/>
  <c r="AR76" i="1"/>
  <c r="AT77" i="1"/>
  <c r="AU77" i="1"/>
  <c r="AF77" i="1"/>
  <c r="AR77" i="1"/>
  <c r="AT78" i="1"/>
  <c r="AU78" i="1"/>
  <c r="AF78" i="1"/>
  <c r="AR78" i="1"/>
  <c r="AT79" i="1"/>
  <c r="AU79" i="1"/>
  <c r="AF79" i="1"/>
  <c r="AR79" i="1"/>
  <c r="AT80" i="1"/>
  <c r="AU80" i="1"/>
  <c r="AF80" i="1"/>
  <c r="AR80" i="1"/>
  <c r="AT81" i="1"/>
  <c r="AU81" i="1"/>
  <c r="AF81" i="1"/>
  <c r="AR81" i="1"/>
  <c r="AT82" i="1"/>
  <c r="AU82" i="1"/>
  <c r="AF82" i="1"/>
  <c r="AR82" i="1"/>
  <c r="AT83" i="1"/>
  <c r="AU83" i="1"/>
  <c r="AF83" i="1"/>
  <c r="AR83" i="1"/>
  <c r="AT84" i="1"/>
  <c r="AU84" i="1"/>
  <c r="AF84" i="1"/>
  <c r="AR84" i="1"/>
  <c r="AT85" i="1"/>
  <c r="AU85" i="1"/>
  <c r="AF85" i="1"/>
  <c r="AR85" i="1"/>
  <c r="AT86" i="1"/>
  <c r="AU86" i="1"/>
  <c r="AF86" i="1"/>
  <c r="AR86" i="1"/>
  <c r="AT87" i="1"/>
  <c r="AU87" i="1"/>
  <c r="AF87" i="1"/>
  <c r="AR87" i="1"/>
  <c r="AT88" i="1"/>
  <c r="AU88" i="1"/>
  <c r="AF88" i="1"/>
  <c r="AR88" i="1"/>
  <c r="AT89" i="1"/>
  <c r="AU89" i="1"/>
  <c r="AF89" i="1"/>
  <c r="AR89" i="1"/>
  <c r="AT90" i="1"/>
  <c r="AU90" i="1"/>
  <c r="AF90" i="1"/>
  <c r="AR90" i="1"/>
  <c r="AT91" i="1"/>
  <c r="AU91" i="1"/>
  <c r="AF91" i="1"/>
  <c r="AR91" i="1"/>
  <c r="AT92" i="1"/>
  <c r="AU92" i="1"/>
  <c r="AF92" i="1"/>
  <c r="AR92" i="1"/>
  <c r="AT93" i="1"/>
  <c r="AU93" i="1"/>
  <c r="AF93" i="1"/>
  <c r="AR93" i="1"/>
  <c r="AT94" i="1"/>
  <c r="AU94" i="1"/>
  <c r="AF94" i="1"/>
  <c r="AR94" i="1"/>
  <c r="AT95" i="1"/>
  <c r="AU95" i="1"/>
  <c r="AF95" i="1"/>
  <c r="AR95" i="1"/>
  <c r="AT96" i="1"/>
  <c r="AU96" i="1"/>
  <c r="AF96" i="1"/>
  <c r="AR96" i="1"/>
  <c r="AT97" i="1"/>
  <c r="AU97" i="1"/>
  <c r="AF97" i="1"/>
  <c r="AR97" i="1"/>
  <c r="AT98" i="1"/>
  <c r="AU98" i="1"/>
  <c r="AF98" i="1"/>
  <c r="AR98" i="1"/>
  <c r="AT99" i="1"/>
  <c r="AU99" i="1"/>
  <c r="AF99" i="1"/>
  <c r="AR99" i="1"/>
  <c r="AT100" i="1"/>
  <c r="AU100" i="1"/>
  <c r="AF100" i="1"/>
  <c r="AR100" i="1"/>
  <c r="AT101" i="1"/>
  <c r="AU101" i="1"/>
  <c r="AF101" i="1"/>
  <c r="AR101" i="1"/>
  <c r="AT102" i="1"/>
  <c r="AU102" i="1"/>
  <c r="AF102" i="1"/>
  <c r="AR102" i="1"/>
  <c r="AT103" i="1"/>
  <c r="AU103" i="1"/>
  <c r="AF103" i="1"/>
  <c r="AR103" i="1"/>
  <c r="AT104" i="1"/>
  <c r="AU104" i="1"/>
  <c r="AF104" i="1"/>
  <c r="AR104" i="1"/>
  <c r="AT105" i="1"/>
  <c r="AU105" i="1"/>
  <c r="AF105" i="1"/>
  <c r="AR105" i="1"/>
  <c r="AT106" i="1"/>
  <c r="AU106" i="1"/>
  <c r="AF106" i="1"/>
  <c r="AR106" i="1"/>
  <c r="AT107" i="1"/>
  <c r="AU107" i="1"/>
  <c r="AF107" i="1"/>
  <c r="AR107" i="1"/>
  <c r="AT108" i="1"/>
  <c r="AU108" i="1"/>
  <c r="AF108" i="1"/>
  <c r="AR108" i="1"/>
  <c r="AT109" i="1"/>
  <c r="AU109" i="1"/>
  <c r="AF109" i="1"/>
  <c r="AR109" i="1"/>
  <c r="AT110" i="1"/>
  <c r="AU110" i="1"/>
  <c r="AF110" i="1"/>
  <c r="AR110" i="1"/>
  <c r="AT111" i="1"/>
  <c r="AU111" i="1"/>
  <c r="AF111" i="1"/>
  <c r="AR111" i="1"/>
  <c r="AT112" i="1"/>
  <c r="AU112" i="1"/>
  <c r="AF112" i="1"/>
  <c r="AR112" i="1"/>
  <c r="AT113" i="1"/>
  <c r="AU113" i="1"/>
  <c r="AF113" i="1"/>
  <c r="AR113" i="1"/>
  <c r="AT114" i="1"/>
  <c r="AU114" i="1"/>
  <c r="AF114" i="1"/>
  <c r="AR114" i="1"/>
  <c r="AT115" i="1"/>
  <c r="AU115" i="1"/>
  <c r="AF115" i="1"/>
  <c r="AR115" i="1"/>
  <c r="AT116" i="1"/>
  <c r="AU116" i="1"/>
  <c r="AF116" i="1"/>
  <c r="AR116" i="1"/>
  <c r="AT117" i="1"/>
  <c r="AU117" i="1"/>
  <c r="AF117" i="1"/>
  <c r="AR117" i="1"/>
  <c r="AT118" i="1"/>
  <c r="AU118" i="1"/>
  <c r="AF118" i="1"/>
  <c r="AR118" i="1"/>
  <c r="AT119" i="1"/>
  <c r="AU119" i="1"/>
  <c r="AF119" i="1"/>
  <c r="AR119" i="1"/>
  <c r="AT120" i="1"/>
  <c r="AU120" i="1"/>
  <c r="AF120" i="1"/>
  <c r="AR120" i="1"/>
  <c r="AT121" i="1"/>
  <c r="AU121" i="1"/>
  <c r="AF121" i="1"/>
  <c r="AR121" i="1"/>
  <c r="AT122" i="1"/>
  <c r="AU122" i="1"/>
  <c r="AF122" i="1"/>
  <c r="AR122" i="1"/>
  <c r="AT123" i="1"/>
  <c r="AU123" i="1"/>
  <c r="AF123" i="1"/>
  <c r="AR123" i="1"/>
  <c r="AT124" i="1"/>
  <c r="AU124" i="1"/>
  <c r="AF124" i="1"/>
  <c r="AR124" i="1"/>
  <c r="AT125" i="1"/>
  <c r="AU125" i="1"/>
  <c r="AF125" i="1"/>
  <c r="AR125" i="1"/>
  <c r="AT126" i="1"/>
  <c r="AU126" i="1"/>
  <c r="AF126" i="1"/>
  <c r="AR126" i="1"/>
  <c r="AT127" i="1"/>
  <c r="AU127" i="1"/>
  <c r="AF127" i="1"/>
  <c r="AR127" i="1"/>
  <c r="AT128" i="1"/>
  <c r="AU128" i="1"/>
  <c r="AF128" i="1"/>
  <c r="AR128" i="1"/>
  <c r="AT129" i="1"/>
  <c r="AU129" i="1"/>
  <c r="AF129" i="1"/>
  <c r="AR129" i="1"/>
  <c r="AT130" i="1"/>
  <c r="AU130" i="1"/>
  <c r="AF130" i="1"/>
  <c r="AR130" i="1"/>
  <c r="AT131" i="1"/>
  <c r="AU131" i="1"/>
  <c r="AF131" i="1"/>
  <c r="AR131" i="1"/>
  <c r="AT132" i="1"/>
  <c r="AU132" i="1"/>
  <c r="AF132" i="1"/>
  <c r="AR132" i="1"/>
  <c r="AT133" i="1"/>
  <c r="AU133" i="1"/>
  <c r="AF133" i="1"/>
  <c r="AR133" i="1"/>
  <c r="AT134" i="1"/>
  <c r="AU134" i="1"/>
  <c r="AF134" i="1"/>
  <c r="AR134" i="1"/>
  <c r="AT135" i="1"/>
  <c r="AU135" i="1"/>
  <c r="AF135" i="1"/>
  <c r="AR135" i="1"/>
  <c r="AT136" i="1"/>
  <c r="AU136" i="1"/>
  <c r="AF136" i="1"/>
  <c r="AR136" i="1"/>
  <c r="AT137" i="1"/>
  <c r="AU137" i="1"/>
  <c r="AF137" i="1"/>
  <c r="AR137" i="1"/>
  <c r="AT138" i="1"/>
  <c r="AU138" i="1"/>
  <c r="AF138" i="1"/>
  <c r="AR138" i="1"/>
  <c r="AT139" i="1"/>
  <c r="AU139" i="1"/>
  <c r="AF139" i="1"/>
  <c r="AR139" i="1"/>
  <c r="AT140" i="1"/>
  <c r="AU140" i="1"/>
  <c r="AF140" i="1"/>
  <c r="AR140" i="1"/>
  <c r="AT141" i="1"/>
  <c r="AU141" i="1"/>
  <c r="AF141" i="1"/>
  <c r="AR141" i="1"/>
  <c r="AT142" i="1"/>
  <c r="AU142" i="1"/>
  <c r="AF142" i="1"/>
  <c r="AR142" i="1"/>
  <c r="AT143" i="1"/>
  <c r="AU143" i="1"/>
  <c r="AF143" i="1"/>
  <c r="AR143" i="1"/>
  <c r="AT144" i="1"/>
  <c r="AU144" i="1"/>
  <c r="AF144" i="1"/>
  <c r="AR144" i="1"/>
  <c r="AT145" i="1"/>
  <c r="AU145" i="1"/>
  <c r="AF145" i="1"/>
  <c r="AR145" i="1"/>
  <c r="AT146" i="1"/>
  <c r="AU146" i="1"/>
  <c r="AF146" i="1"/>
  <c r="AR146" i="1"/>
  <c r="AT147" i="1"/>
  <c r="AU147" i="1"/>
  <c r="AF147" i="1"/>
  <c r="AR147" i="1"/>
  <c r="AT148" i="1"/>
  <c r="AU148" i="1"/>
  <c r="AF148" i="1"/>
  <c r="AR148" i="1"/>
  <c r="AT149" i="1"/>
  <c r="AU149" i="1"/>
  <c r="AF149" i="1"/>
  <c r="AR149" i="1"/>
  <c r="AT150" i="1"/>
  <c r="AU150" i="1"/>
  <c r="AF150" i="1"/>
  <c r="AR150" i="1"/>
  <c r="AT151" i="1"/>
  <c r="AU151" i="1"/>
  <c r="AF151" i="1"/>
  <c r="AR151" i="1"/>
  <c r="AT152" i="1"/>
  <c r="AU152" i="1"/>
  <c r="AF152" i="1"/>
  <c r="AR152" i="1"/>
  <c r="AT153" i="1"/>
  <c r="AU153" i="1"/>
  <c r="AF153" i="1"/>
  <c r="AR153" i="1"/>
  <c r="AT154" i="1"/>
  <c r="AU154" i="1"/>
  <c r="AF154" i="1"/>
  <c r="AR154" i="1"/>
  <c r="AT155" i="1"/>
  <c r="AU155" i="1"/>
  <c r="AF155" i="1"/>
  <c r="AR155" i="1"/>
  <c r="AT156" i="1"/>
  <c r="AU156" i="1"/>
  <c r="AF156" i="1"/>
  <c r="AR156" i="1"/>
  <c r="AT157" i="1"/>
  <c r="AU157" i="1"/>
  <c r="AF157" i="1"/>
  <c r="AR157" i="1"/>
  <c r="AT158" i="1"/>
  <c r="AU158" i="1"/>
  <c r="AF158" i="1"/>
  <c r="AR158" i="1"/>
  <c r="AT159" i="1"/>
  <c r="AU159" i="1"/>
  <c r="AF159" i="1"/>
  <c r="AR159" i="1"/>
  <c r="AT160" i="1"/>
  <c r="AU160" i="1"/>
  <c r="AF160" i="1"/>
  <c r="AR160" i="1"/>
  <c r="AT161" i="1"/>
  <c r="AU161" i="1"/>
  <c r="AF161" i="1"/>
  <c r="AR161" i="1"/>
  <c r="AT162" i="1"/>
  <c r="AU162" i="1"/>
  <c r="AF162" i="1"/>
  <c r="AR162" i="1"/>
  <c r="AT163" i="1"/>
  <c r="AU163" i="1"/>
  <c r="AF163" i="1"/>
  <c r="AR163" i="1"/>
  <c r="AT164" i="1"/>
  <c r="AU164" i="1"/>
  <c r="AF164" i="1"/>
  <c r="AR164" i="1"/>
  <c r="AT165" i="1"/>
  <c r="AU165" i="1"/>
  <c r="AF165" i="1"/>
  <c r="AR165" i="1"/>
  <c r="AT166" i="1"/>
  <c r="AU166" i="1"/>
  <c r="AF166" i="1"/>
  <c r="AR166" i="1"/>
  <c r="AT167" i="1"/>
  <c r="AU167" i="1"/>
  <c r="AF167" i="1"/>
  <c r="AR167" i="1"/>
  <c r="AT168" i="1"/>
  <c r="AU168" i="1"/>
  <c r="AF168" i="1"/>
  <c r="AR168" i="1"/>
  <c r="AT169" i="1"/>
  <c r="AU169" i="1"/>
  <c r="AF169" i="1"/>
  <c r="AR169" i="1"/>
  <c r="AT170" i="1"/>
  <c r="AU170" i="1"/>
  <c r="AF170" i="1"/>
  <c r="AR170" i="1"/>
  <c r="AT171" i="1"/>
  <c r="AU171" i="1"/>
  <c r="AF171" i="1"/>
  <c r="AR171" i="1"/>
  <c r="AT172" i="1"/>
  <c r="AU172" i="1"/>
  <c r="AF172" i="1"/>
  <c r="AR172" i="1"/>
  <c r="AT173" i="1"/>
  <c r="AU173" i="1"/>
  <c r="AF173" i="1"/>
  <c r="AR173" i="1"/>
  <c r="AT174" i="1"/>
  <c r="AU174" i="1"/>
  <c r="AF174" i="1"/>
  <c r="AR174" i="1"/>
  <c r="AT175" i="1"/>
  <c r="AU175" i="1"/>
  <c r="AF175" i="1"/>
  <c r="AR175" i="1"/>
  <c r="AT176" i="1"/>
  <c r="AU176" i="1"/>
  <c r="AF176" i="1"/>
  <c r="AR176" i="1"/>
  <c r="AT177" i="1"/>
  <c r="AU177" i="1"/>
  <c r="AF177" i="1"/>
  <c r="AR177" i="1"/>
  <c r="AT178" i="1"/>
  <c r="AU178" i="1"/>
  <c r="AF178" i="1"/>
  <c r="AR178" i="1"/>
  <c r="AT179" i="1"/>
  <c r="AU179" i="1"/>
  <c r="AF179" i="1"/>
  <c r="AR179" i="1"/>
  <c r="AT180" i="1"/>
  <c r="AU180" i="1"/>
  <c r="AF180" i="1"/>
  <c r="AR180" i="1"/>
  <c r="AT181" i="1"/>
  <c r="AU181" i="1"/>
  <c r="AF181" i="1"/>
  <c r="AR181" i="1"/>
  <c r="AT182" i="1"/>
  <c r="AU182" i="1"/>
  <c r="AF182" i="1"/>
  <c r="AR182" i="1"/>
  <c r="AT183" i="1"/>
  <c r="AU183" i="1"/>
  <c r="AF183" i="1"/>
  <c r="AR183" i="1"/>
  <c r="AT184" i="1"/>
  <c r="AU184" i="1"/>
  <c r="AF184" i="1"/>
  <c r="AR184" i="1"/>
  <c r="AT185" i="1"/>
  <c r="AU185" i="1"/>
  <c r="AF185" i="1"/>
  <c r="AR185" i="1"/>
  <c r="AT186" i="1"/>
  <c r="AU186" i="1"/>
  <c r="AF186" i="1"/>
  <c r="AR186" i="1"/>
  <c r="AT187" i="1"/>
  <c r="AU187" i="1"/>
  <c r="AF187" i="1"/>
  <c r="AR187" i="1"/>
  <c r="AT188" i="1"/>
  <c r="AU188" i="1"/>
  <c r="AF188" i="1"/>
  <c r="AR188" i="1"/>
  <c r="AT189" i="1"/>
  <c r="AU189" i="1"/>
  <c r="AF189" i="1"/>
  <c r="AR189" i="1"/>
  <c r="AT204" i="1"/>
  <c r="AU204" i="1"/>
  <c r="AF204" i="1"/>
  <c r="AR204" i="1"/>
  <c r="AE210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204" i="1"/>
  <c r="AE212" i="1"/>
  <c r="T207" i="1"/>
  <c r="W208" i="1"/>
  <c r="W209" i="1"/>
  <c r="U209" i="1"/>
  <c r="T213" i="1"/>
  <c r="BK6" i="1"/>
  <c r="W216" i="1"/>
  <c r="W214" i="1"/>
  <c r="BJ9" i="1"/>
  <c r="BJ10" i="1"/>
  <c r="AE215" i="1"/>
  <c r="BE189" i="1"/>
  <c r="BE188" i="1"/>
  <c r="BE187" i="1"/>
  <c r="BE186" i="1"/>
  <c r="BE185" i="1"/>
  <c r="BE184" i="1"/>
  <c r="BE183" i="1"/>
  <c r="BE182" i="1"/>
  <c r="BE181" i="1"/>
  <c r="BE180" i="1"/>
  <c r="BE179" i="1"/>
  <c r="BE178" i="1"/>
  <c r="BE177" i="1"/>
  <c r="BE176" i="1"/>
  <c r="BE175" i="1"/>
  <c r="BE174" i="1"/>
  <c r="BE173" i="1"/>
  <c r="BE172" i="1"/>
  <c r="BE171" i="1"/>
  <c r="BE170" i="1"/>
  <c r="BE169" i="1"/>
  <c r="BE168" i="1"/>
  <c r="BE167" i="1"/>
  <c r="BE166" i="1"/>
  <c r="BE165" i="1"/>
  <c r="BE164" i="1"/>
  <c r="BE163" i="1"/>
  <c r="BE162" i="1"/>
  <c r="BE161" i="1"/>
  <c r="BE160" i="1"/>
  <c r="BE159" i="1"/>
  <c r="BE158" i="1"/>
  <c r="BE157" i="1"/>
  <c r="BE156" i="1"/>
  <c r="BE155" i="1"/>
  <c r="BE154" i="1"/>
  <c r="BE153" i="1"/>
  <c r="BE152" i="1"/>
  <c r="BE151" i="1"/>
  <c r="BE150" i="1"/>
  <c r="BE149" i="1"/>
  <c r="BE148" i="1"/>
  <c r="BE147" i="1"/>
  <c r="BE146" i="1"/>
  <c r="BE145" i="1"/>
  <c r="BE144" i="1"/>
  <c r="BE143" i="1"/>
  <c r="BE142" i="1"/>
  <c r="BE141" i="1"/>
  <c r="BE140" i="1"/>
  <c r="BE139" i="1"/>
  <c r="BE138" i="1"/>
  <c r="BE137" i="1"/>
  <c r="BE136" i="1"/>
  <c r="BE135" i="1"/>
  <c r="BE134" i="1"/>
  <c r="BE133" i="1"/>
  <c r="BE132" i="1"/>
  <c r="BE131" i="1"/>
  <c r="BE130" i="1"/>
  <c r="BE129" i="1"/>
  <c r="BE128" i="1"/>
  <c r="BE127" i="1"/>
  <c r="BE126" i="1"/>
  <c r="BE125" i="1"/>
  <c r="BE124" i="1"/>
  <c r="BE123" i="1"/>
  <c r="BE122" i="1"/>
  <c r="BE121" i="1"/>
  <c r="BE120" i="1"/>
  <c r="BE119" i="1"/>
  <c r="BE118" i="1"/>
  <c r="BE117" i="1"/>
  <c r="BE116" i="1"/>
  <c r="BE115" i="1"/>
  <c r="BE114" i="1"/>
  <c r="BE113" i="1"/>
  <c r="BE112" i="1"/>
  <c r="BE111" i="1"/>
  <c r="BE110" i="1"/>
  <c r="BE109" i="1"/>
  <c r="BE108" i="1"/>
  <c r="BE107" i="1"/>
  <c r="BE106" i="1"/>
  <c r="BE105" i="1"/>
  <c r="BE104" i="1"/>
  <c r="BE103" i="1"/>
  <c r="BE102" i="1"/>
  <c r="BE101" i="1"/>
  <c r="BE100" i="1"/>
  <c r="BE99" i="1"/>
  <c r="BE98" i="1"/>
  <c r="BE97" i="1"/>
  <c r="BE96" i="1"/>
  <c r="BE95" i="1"/>
  <c r="BE94" i="1"/>
  <c r="BE93" i="1"/>
  <c r="BE92" i="1"/>
  <c r="BE91" i="1"/>
  <c r="BE90" i="1"/>
  <c r="BE89" i="1"/>
  <c r="BE88" i="1"/>
  <c r="BE87" i="1"/>
  <c r="BE86" i="1"/>
  <c r="BE85" i="1"/>
  <c r="BE84" i="1"/>
  <c r="BE83" i="1"/>
  <c r="BE82" i="1"/>
  <c r="BE81" i="1"/>
  <c r="BE80" i="1"/>
  <c r="BE79" i="1"/>
  <c r="BE78" i="1"/>
  <c r="BE77" i="1"/>
  <c r="BE76" i="1"/>
  <c r="BE75" i="1"/>
  <c r="BE74" i="1"/>
  <c r="BE73" i="1"/>
  <c r="BE72" i="1"/>
  <c r="BE71" i="1"/>
  <c r="BE70" i="1"/>
  <c r="BE69" i="1"/>
  <c r="BE68" i="1"/>
  <c r="BE67" i="1"/>
  <c r="BE66" i="1"/>
  <c r="BE65" i="1"/>
  <c r="BE64" i="1"/>
  <c r="BE63" i="1"/>
  <c r="BE62" i="1"/>
  <c r="BE61" i="1"/>
  <c r="BE60" i="1"/>
  <c r="BE59" i="1"/>
  <c r="BE58" i="1"/>
  <c r="BE57" i="1"/>
  <c r="BE56" i="1"/>
  <c r="BE55" i="1"/>
  <c r="BE5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204" i="1"/>
  <c r="O3" i="1"/>
  <c r="G3" i="1"/>
  <c r="U213" i="1"/>
  <c r="W215" i="1"/>
  <c r="U215" i="1"/>
  <c r="AE205" i="1" a="1"/>
  <c r="AE205" i="1"/>
  <c r="AE206" i="1"/>
  <c r="AE214" i="1"/>
  <c r="AC217" i="1"/>
  <c r="BJ11" i="1"/>
  <c r="AE216" i="1"/>
  <c r="AC212" i="1"/>
  <c r="AC208" i="1"/>
  <c r="AC20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Kyle Dasher</author>
  </authors>
  <commentList>
    <comment ref="M4" authorId="0" shapeId="0" xr:uid="{1AC2193B-9CBE-E147-ACE8-A54596D01446}">
      <text>
        <r>
          <rPr>
            <b/>
            <sz val="10"/>
            <color rgb="FF000000"/>
            <rFont val="Tahoma"/>
            <family val="2"/>
          </rPr>
          <t>Adds 20% for waste unless columns M-P are entered.</t>
        </r>
      </text>
    </comment>
    <comment ref="AA4" authorId="0" shapeId="0" xr:uid="{850C4D56-E17C-7540-96ED-B5FB46E5DB48}">
      <text>
        <r>
          <rPr>
            <b/>
            <sz val="10"/>
            <color rgb="FF000000"/>
            <rFont val="Tahoma"/>
            <family val="2"/>
          </rPr>
          <t>Includes Tax/Shipping</t>
        </r>
      </text>
    </comment>
    <comment ref="BF4" authorId="0" shapeId="0" xr:uid="{7C722170-E758-F040-9DD4-19C90889149E}">
      <text>
        <r>
          <rPr>
            <b/>
            <sz val="10"/>
            <color rgb="FF000000"/>
            <rFont val="Tahoma"/>
            <family val="2"/>
          </rPr>
          <t>Kyle Dasher: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Commerical job - 500 ft2 per day, per remover, divided by 8 hours, equals 62.5 ft2 per hour.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Line item ft2 divided by 62.5 ft2, equals amount of hours needed.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Same for residential job except - 300 ft2 per day.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<sst xmlns="http://schemas.openxmlformats.org/spreadsheetml/2006/main" count="443" uniqueCount="204">
  <si>
    <t>w</t>
  </si>
  <si>
    <t>PROFIT</t>
  </si>
  <si>
    <t>Markup %</t>
  </si>
  <si>
    <t>MATERIALS</t>
  </si>
  <si>
    <t>Total Labor $:</t>
  </si>
  <si>
    <t>Total Material $:</t>
  </si>
  <si>
    <t>Total ft2:</t>
  </si>
  <si>
    <t>Man Day(s):</t>
  </si>
  <si>
    <t>Special Services #2</t>
  </si>
  <si>
    <t>Special Services #1</t>
  </si>
  <si>
    <t>Markup $</t>
  </si>
  <si>
    <t>DJC</t>
  </si>
  <si>
    <t>removal time (hours)</t>
  </si>
  <si>
    <t>removal ft2</t>
  </si>
  <si>
    <t>install time (hours)</t>
  </si>
  <si>
    <t>install ft2</t>
  </si>
  <si>
    <t>profit  $</t>
  </si>
  <si>
    <t>notes</t>
  </si>
  <si>
    <t>h</t>
  </si>
  <si>
    <t>Type</t>
  </si>
  <si>
    <t>Area</t>
  </si>
  <si>
    <t>Location</t>
  </si>
  <si>
    <t>Motivation:</t>
  </si>
  <si>
    <t>Contact:</t>
  </si>
  <si>
    <t>Job Name:</t>
  </si>
  <si>
    <t>base material $</t>
  </si>
  <si>
    <t>Max Height:</t>
  </si>
  <si>
    <t>Labor Hrs:</t>
  </si>
  <si>
    <t>Line 
Total</t>
  </si>
  <si>
    <t>Survey Date:</t>
  </si>
  <si>
    <t>Reason</t>
  </si>
  <si>
    <t>Max Height</t>
  </si>
  <si>
    <t>7'</t>
  </si>
  <si>
    <t>8'</t>
  </si>
  <si>
    <t>9'</t>
  </si>
  <si>
    <t>10'</t>
  </si>
  <si>
    <t>11'</t>
  </si>
  <si>
    <t>12'</t>
  </si>
  <si>
    <t>13'</t>
  </si>
  <si>
    <t>14'</t>
  </si>
  <si>
    <t>15'</t>
  </si>
  <si>
    <t>16'</t>
  </si>
  <si>
    <t>17'</t>
  </si>
  <si>
    <t>18'</t>
  </si>
  <si>
    <t>19'</t>
  </si>
  <si>
    <t>20'</t>
  </si>
  <si>
    <t>21'</t>
  </si>
  <si>
    <t>22'</t>
  </si>
  <si>
    <t>23'</t>
  </si>
  <si>
    <t>24'</t>
  </si>
  <si>
    <t>25'</t>
  </si>
  <si>
    <t>26'</t>
  </si>
  <si>
    <t>27'</t>
  </si>
  <si>
    <t>28'</t>
  </si>
  <si>
    <t>29'</t>
  </si>
  <si>
    <t>30'</t>
  </si>
  <si>
    <t>Site Type</t>
  </si>
  <si>
    <t>Site Type:</t>
  </si>
  <si>
    <t xml:space="preserve">Office </t>
  </si>
  <si>
    <t>Construction Site</t>
  </si>
  <si>
    <t>Status</t>
  </si>
  <si>
    <t>Unoccupied</t>
  </si>
  <si>
    <t>Occupied</t>
  </si>
  <si>
    <t>Lab</t>
  </si>
  <si>
    <t>Residence</t>
  </si>
  <si>
    <t>Warehouse</t>
  </si>
  <si>
    <t>SPECIAL SERVICE #1:</t>
  </si>
  <si>
    <t>SPECIAL SERVICE #2:</t>
  </si>
  <si>
    <t>Source/Reason</t>
  </si>
  <si>
    <t>Condition:</t>
  </si>
  <si>
    <t>Furnished</t>
  </si>
  <si>
    <t>Rep:</t>
  </si>
  <si>
    <t xml:space="preserve">Total DJC $: </t>
  </si>
  <si>
    <t xml:space="preserve">Profit $: </t>
  </si>
  <si>
    <t xml:space="preserve">SUB-TOTAL: </t>
  </si>
  <si>
    <t xml:space="preserve">TOTAL: </t>
  </si>
  <si>
    <t xml:space="preserve">Total DJC %: </t>
  </si>
  <si>
    <t xml:space="preserve">Ops Overhead $: </t>
  </si>
  <si>
    <t xml:space="preserve">Sales Overhead $: </t>
  </si>
  <si>
    <t xml:space="preserve">Ops Overhead %: </t>
  </si>
  <si>
    <t xml:space="preserve">Sales Overhead %: </t>
  </si>
  <si>
    <t xml:space="preserve">Company Profit %: </t>
  </si>
  <si>
    <t>ops oh $</t>
  </si>
  <si>
    <t>sales oh $</t>
  </si>
  <si>
    <t>OTHER</t>
  </si>
  <si>
    <t xml:space="preserve">PROPOSED TOTAL: </t>
  </si>
  <si>
    <t xml:space="preserve">ADD SERVICES: </t>
  </si>
  <si>
    <t xml:space="preserve">DJC: </t>
  </si>
  <si>
    <t>Total $</t>
  </si>
  <si>
    <t>Main Sheet Sub-Total</t>
  </si>
  <si>
    <t>SALES OH</t>
  </si>
  <si>
    <t>OPS OH</t>
  </si>
  <si>
    <t>Public Area</t>
  </si>
  <si>
    <t>Qty</t>
  </si>
  <si>
    <t>mount</t>
  </si>
  <si>
    <t>control</t>
  </si>
  <si>
    <t>fabric type</t>
  </si>
  <si>
    <t>fabric color</t>
  </si>
  <si>
    <t>roll</t>
  </si>
  <si>
    <t>hembar</t>
  </si>
  <si>
    <t>chain</t>
  </si>
  <si>
    <t>fascia</t>
  </si>
  <si>
    <t>fascia color</t>
  </si>
  <si>
    <t>side chanels</t>
  </si>
  <si>
    <t>clutch color</t>
  </si>
  <si>
    <t>demo</t>
  </si>
  <si>
    <t>total material $</t>
  </si>
  <si>
    <t xml:space="preserve">Total $ p/unit: </t>
  </si>
  <si>
    <t>Total Units's:</t>
  </si>
  <si>
    <t>Total Rem Unit's:</t>
  </si>
  <si>
    <t>Mount</t>
  </si>
  <si>
    <t>Control</t>
  </si>
  <si>
    <t>Roll</t>
  </si>
  <si>
    <t>Hembar</t>
  </si>
  <si>
    <t>Chain</t>
  </si>
  <si>
    <t>Fascia</t>
  </si>
  <si>
    <t>Fascia Color</t>
  </si>
  <si>
    <t>Side Channels</t>
  </si>
  <si>
    <t>Clutch Color</t>
  </si>
  <si>
    <t>Demo</t>
  </si>
  <si>
    <t>Inside - Ceiling</t>
  </si>
  <si>
    <t>Outside - Ceiling</t>
  </si>
  <si>
    <t>Inside - Wall</t>
  </si>
  <si>
    <t>Outside - Wall</t>
  </si>
  <si>
    <t xml:space="preserve">Left </t>
  </si>
  <si>
    <t>Right</t>
  </si>
  <si>
    <t>TBD</t>
  </si>
  <si>
    <t>Regular</t>
  </si>
  <si>
    <t>Reverse</t>
  </si>
  <si>
    <t>Wraped</t>
  </si>
  <si>
    <t>Double Wrap</t>
  </si>
  <si>
    <t>External</t>
  </si>
  <si>
    <t>SS</t>
  </si>
  <si>
    <t>Black SS</t>
  </si>
  <si>
    <t>White SS</t>
  </si>
  <si>
    <t>Plastic</t>
  </si>
  <si>
    <t>Front 4" - Square</t>
  </si>
  <si>
    <t>Front 4" - Curve</t>
  </si>
  <si>
    <t>Back 4" - Flat</t>
  </si>
  <si>
    <t>Front 3" - Square</t>
  </si>
  <si>
    <t>Front 3" - Curve</t>
  </si>
  <si>
    <t>Front 3" - Flat</t>
  </si>
  <si>
    <t>Black</t>
  </si>
  <si>
    <t>White</t>
  </si>
  <si>
    <t xml:space="preserve">Bronze </t>
  </si>
  <si>
    <t>Anodized</t>
  </si>
  <si>
    <t>Custom</t>
  </si>
  <si>
    <t>Alabaster</t>
  </si>
  <si>
    <t>Mill</t>
  </si>
  <si>
    <t>Tan</t>
  </si>
  <si>
    <t>Yes</t>
  </si>
  <si>
    <t>No</t>
  </si>
  <si>
    <t>N/A</t>
  </si>
  <si>
    <t>avg labor $ p/hour</t>
  </si>
  <si>
    <t>avg overhead $ p/hour</t>
  </si>
  <si>
    <t>install units</t>
  </si>
  <si>
    <t>rem units</t>
  </si>
  <si>
    <t>Supplier Quote Equal Add $</t>
  </si>
  <si>
    <t>Time Add (Minutes)</t>
  </si>
  <si>
    <t>Additional Minutes</t>
  </si>
  <si>
    <t>Vertical Blinds</t>
  </si>
  <si>
    <t>Mini Blinds</t>
  </si>
  <si>
    <t>PGW E16/24</t>
  </si>
  <si>
    <t>PGW C16/24</t>
  </si>
  <si>
    <t>PGW Pro5</t>
  </si>
  <si>
    <t>HD RB500</t>
  </si>
  <si>
    <t>HD FR Manual</t>
  </si>
  <si>
    <t>HD Ace Fixed Panel</t>
  </si>
  <si>
    <t>Mecho M5 Manual</t>
  </si>
  <si>
    <t>supplier quote equal add $</t>
  </si>
  <si>
    <t>final measure add $</t>
  </si>
  <si>
    <t>Eq Time Add (Hours)</t>
  </si>
  <si>
    <t>Additonal Hours</t>
  </si>
  <si>
    <t>equal time add $</t>
  </si>
  <si>
    <t>line time add $</t>
  </si>
  <si>
    <t>install base labor $</t>
  </si>
  <si>
    <t>removal base labor $</t>
  </si>
  <si>
    <t>After Hours Install:</t>
  </si>
  <si>
    <t>after hours install $</t>
  </si>
  <si>
    <t>after hours removal $</t>
  </si>
  <si>
    <t>Install min p/unit</t>
  </si>
  <si>
    <t>Demo min p/unit</t>
  </si>
  <si>
    <t>Blind #</t>
  </si>
  <si>
    <t>Fascia Linear Feet:</t>
  </si>
  <si>
    <t>fascia linear feet</t>
  </si>
  <si>
    <t>LABOR TIME</t>
  </si>
  <si>
    <t>Add Trip for Final Measuring (2 hours):</t>
  </si>
  <si>
    <t>PW Labor</t>
  </si>
  <si>
    <t>San Diego</t>
  </si>
  <si>
    <t>Riverside</t>
  </si>
  <si>
    <t>pw labor $ p/hour</t>
  </si>
  <si>
    <t>PW Labor:</t>
  </si>
  <si>
    <t>PW Office $:</t>
  </si>
  <si>
    <t>PGW Motorized - 120v</t>
  </si>
  <si>
    <t>PGW Motorized - Battery</t>
  </si>
  <si>
    <t>Type2</t>
  </si>
  <si>
    <t>Clutch</t>
  </si>
  <si>
    <t>Single Roller Shade</t>
  </si>
  <si>
    <t>Dual Roller Shade</t>
  </si>
  <si>
    <t>Coupled Roller Shade</t>
  </si>
  <si>
    <t>HD Motorized - 120v</t>
  </si>
  <si>
    <t>HD Motorized - Battery</t>
  </si>
  <si>
    <t>Mecho Motorized - 120v</t>
  </si>
  <si>
    <t>Mecho Motorized - Battery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</si>
</sst>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.00"/>
    <numFmt numFmtId="165" formatCode="0.0%"/>
    <numFmt numFmtId="166" formatCode="0.0"/>
    <numFmt numFmtId="167" formatCode="#,##0.0"/>
    <numFmt numFmtId="168" formatCode="&quot;$&quot;#,##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b/>
      <sz val="8.5"/>
      <color rgb="FFFF0000"/>
      <name val="Calibri"/>
      <family val="2"/>
      <scheme val="minor"/>
    </font>
    <font>
      <b/>
      <sz val="8.5"/>
      <color theme="1"/>
      <name val="Calibri"/>
      <family val="2"/>
      <scheme val="minor"/>
    </font>
    <font>
      <b/>
      <sz val="8.5"/>
      <name val="Calibri"/>
      <family val="2"/>
      <scheme val="minor"/>
    </font>
    <font>
      <b/>
      <sz val="8.5"/>
      <color rgb="FF000000"/>
      <name val="Calibri"/>
      <family val="2"/>
      <scheme val="minor"/>
    </font>
    <font>
      <sz val="8.5"/>
      <name val="Calibri"/>
      <family val="2"/>
      <scheme val="minor"/>
    </font>
    <font>
      <sz val="8.5"/>
      <color rgb="FF333333"/>
      <name val="Calibri"/>
      <family val="2"/>
      <scheme val="minor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8.5"/>
      <color rgb="FF000000"/>
      <name val="Calibri"/>
      <family val="2"/>
    </font>
    <font>
      <sz val="8.5"/>
      <color theme="1"/>
      <name val="Calibri"/>
      <family val="2"/>
    </font>
    <font>
      <sz val="8.5"/>
      <color rgb="FFFF0000"/>
      <name val="Calibri"/>
      <family val="2"/>
      <scheme val="minor"/>
    </font>
    <font>
      <b/>
      <sz val="8.5"/>
      <color theme="0"/>
      <name val="Calibri"/>
      <family val="2"/>
      <scheme val="minor"/>
    </font>
    <font>
      <sz val="8.5"/>
      <color rgb="FF00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99FF32"/>
        <bgColor indexed="64"/>
      </patternFill>
    </fill>
    <fill>
      <patternFill patternType="solid">
        <fgColor rgb="FFFF65FF"/>
        <bgColor indexed="64"/>
      </patternFill>
    </fill>
    <fill>
      <patternFill patternType="solid">
        <fgColor rgb="FF7688A0"/>
        <bgColor indexed="64"/>
      </patternFill>
    </fill>
    <fill>
      <patternFill patternType="solid">
        <fgColor rgb="FFFDE5D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5D5"/>
        <bgColor indexed="64"/>
      </patternFill>
    </fill>
    <fill>
      <patternFill patternType="solid">
        <fgColor rgb="FF98FB3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B33"/>
        <bgColor rgb="FF000000"/>
      </patternFill>
    </fill>
    <fill>
      <patternFill patternType="solid">
        <fgColor rgb="FFBFBFBF"/>
        <bgColor indexed="64"/>
      </patternFill>
    </fill>
    <fill>
      <patternFill patternType="solid">
        <fgColor rgb="FF7688A0"/>
        <bgColor rgb="FF000000"/>
      </patternFill>
    </fill>
    <fill>
      <patternFill patternType="solid">
        <fgColor rgb="FFDAE2F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EEBF8"/>
        <bgColor indexed="64"/>
      </patternFill>
    </fill>
    <fill>
      <patternFill patternType="solid">
        <fgColor rgb="FFFCE5D5"/>
        <bgColor rgb="FF000000"/>
      </patternFill>
    </fill>
    <fill>
      <patternFill patternType="solid">
        <fgColor rgb="FFDEEBF8"/>
        <bgColor rgb="FF000000"/>
      </patternFill>
    </fill>
    <fill>
      <patternFill patternType="solid">
        <fgColor rgb="FF7688A1"/>
        <bgColor indexed="64"/>
      </patternFill>
    </fill>
  </fills>
  <borders count="44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/>
      <bottom/>
      <diagonal/>
    </border>
    <border>
      <left style="thin">
        <color theme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theme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theme="1"/>
      </right>
      <top style="thin">
        <color auto="1"/>
      </top>
      <bottom/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275">
    <xf numFmtId="0" fontId="0" fillId="0" borderId="0" xfId="0"/>
    <xf numFmtId="0" fontId="2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164" fontId="2" fillId="0" borderId="0" xfId="0" applyNumberFormat="1" applyFont="1" applyAlignment="1" applyProtection="1">
      <alignment horizontal="center" vertical="center"/>
      <protection locked="0"/>
    </xf>
    <xf numFmtId="6" fontId="2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right" vertical="center"/>
      <protection locked="0"/>
    </xf>
    <xf numFmtId="0" fontId="4" fillId="0" borderId="0" xfId="0" applyFont="1" applyAlignment="1" applyProtection="1">
      <alignment vertical="center"/>
      <protection locked="0"/>
    </xf>
    <xf numFmtId="2" fontId="4" fillId="0" borderId="0" xfId="0" applyNumberFormat="1" applyFont="1" applyAlignment="1" applyProtection="1">
      <alignment vertical="center"/>
      <protection locked="0"/>
    </xf>
    <xf numFmtId="165" fontId="2" fillId="0" borderId="0" xfId="0" applyNumberFormat="1" applyFont="1" applyAlignment="1" applyProtection="1">
      <alignment horizontal="center" vertical="center"/>
      <protection locked="0"/>
    </xf>
    <xf numFmtId="164" fontId="2" fillId="0" borderId="7" xfId="0" applyNumberFormat="1" applyFont="1" applyBorder="1" applyAlignment="1" applyProtection="1">
      <alignment horizontal="center" vertical="center"/>
      <protection locked="0"/>
    </xf>
    <xf numFmtId="164" fontId="2" fillId="13" borderId="4" xfId="0" applyNumberFormat="1" applyFont="1" applyFill="1" applyBorder="1" applyAlignment="1" applyProtection="1">
      <alignment horizontal="center" vertical="center"/>
      <protection locked="0"/>
    </xf>
    <xf numFmtId="164" fontId="8" fillId="13" borderId="4" xfId="0" applyNumberFormat="1" applyFont="1" applyFill="1" applyBorder="1" applyAlignment="1" applyProtection="1">
      <alignment horizontal="center" vertical="center"/>
      <protection locked="0"/>
    </xf>
    <xf numFmtId="1" fontId="2" fillId="0" borderId="4" xfId="0" applyNumberFormat="1" applyFont="1" applyBorder="1" applyAlignment="1" applyProtection="1">
      <alignment horizontal="center" vertical="center"/>
      <protection locked="0"/>
    </xf>
    <xf numFmtId="0" fontId="7" fillId="0" borderId="4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2" fillId="3" borderId="4" xfId="0" applyFont="1" applyFill="1" applyBorder="1" applyAlignment="1" applyProtection="1">
      <alignment horizontal="right" vertical="center"/>
      <protection locked="0"/>
    </xf>
    <xf numFmtId="164" fontId="4" fillId="0" borderId="0" xfId="0" applyNumberFormat="1" applyFont="1" applyAlignment="1">
      <alignment horizontal="center" vertical="center" readingOrder="1"/>
    </xf>
    <xf numFmtId="164" fontId="4" fillId="0" borderId="0" xfId="0" applyNumberFormat="1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4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Alignment="1">
      <alignment horizontal="center" vertical="center"/>
    </xf>
    <xf numFmtId="10" fontId="4" fillId="8" borderId="8" xfId="0" applyNumberFormat="1" applyFont="1" applyFill="1" applyBorder="1" applyAlignment="1" applyProtection="1">
      <alignment horizontal="center" vertical="center"/>
      <protection locked="0"/>
    </xf>
    <xf numFmtId="164" fontId="2" fillId="13" borderId="9" xfId="0" applyNumberFormat="1" applyFont="1" applyFill="1" applyBorder="1" applyAlignment="1" applyProtection="1">
      <alignment horizontal="center" vertical="center"/>
      <protection locked="0"/>
    </xf>
    <xf numFmtId="0" fontId="4" fillId="18" borderId="4" xfId="0" applyFont="1" applyFill="1" applyBorder="1" applyAlignment="1" applyProtection="1">
      <alignment horizontal="center" vertical="center"/>
      <protection locked="0"/>
    </xf>
    <xf numFmtId="0" fontId="4" fillId="18" borderId="2" xfId="0" applyFont="1" applyFill="1" applyBorder="1" applyAlignment="1" applyProtection="1">
      <alignment horizontal="center" vertical="center"/>
      <protection locked="0"/>
    </xf>
    <xf numFmtId="164" fontId="2" fillId="18" borderId="4" xfId="0" applyNumberFormat="1" applyFont="1" applyFill="1" applyBorder="1" applyAlignment="1" applyProtection="1">
      <alignment horizontal="center" vertical="center"/>
      <protection locked="0"/>
    </xf>
    <xf numFmtId="164" fontId="2" fillId="18" borderId="2" xfId="0" applyNumberFormat="1" applyFont="1" applyFill="1" applyBorder="1" applyAlignment="1" applyProtection="1">
      <alignment horizontal="center" vertical="center"/>
      <protection locked="0"/>
    </xf>
    <xf numFmtId="0" fontId="6" fillId="5" borderId="15" xfId="0" applyFont="1" applyFill="1" applyBorder="1" applyAlignment="1" applyProtection="1">
      <alignment horizontal="left" vertical="center"/>
      <protection locked="0"/>
    </xf>
    <xf numFmtId="14" fontId="2" fillId="3" borderId="4" xfId="0" applyNumberFormat="1" applyFont="1" applyFill="1" applyBorder="1" applyAlignment="1" applyProtection="1">
      <alignment horizontal="right" vertical="center"/>
      <protection locked="0"/>
    </xf>
    <xf numFmtId="14" fontId="2" fillId="2" borderId="4" xfId="0" applyNumberFormat="1" applyFont="1" applyFill="1" applyBorder="1" applyAlignment="1" applyProtection="1">
      <alignment horizontal="center" vertical="center"/>
      <protection locked="0"/>
    </xf>
    <xf numFmtId="164" fontId="6" fillId="7" borderId="17" xfId="0" applyNumberFormat="1" applyFont="1" applyFill="1" applyBorder="1" applyAlignment="1" applyProtection="1">
      <alignment horizontal="center" vertical="center"/>
      <protection locked="0"/>
    </xf>
    <xf numFmtId="165" fontId="4" fillId="16" borderId="2" xfId="0" applyNumberFormat="1" applyFont="1" applyFill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11" borderId="19" xfId="0" applyFont="1" applyFill="1" applyBorder="1" applyAlignment="1" applyProtection="1">
      <alignment horizontal="right" vertical="center"/>
      <protection locked="0"/>
    </xf>
    <xf numFmtId="0" fontId="4" fillId="3" borderId="4" xfId="0" applyFont="1" applyFill="1" applyBorder="1" applyAlignment="1" applyProtection="1">
      <alignment horizontal="right" vertical="center"/>
      <protection locked="0"/>
    </xf>
    <xf numFmtId="0" fontId="6" fillId="5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vertical="center"/>
      <protection locked="0"/>
    </xf>
    <xf numFmtId="165" fontId="4" fillId="0" borderId="0" xfId="0" applyNumberFormat="1" applyFont="1" applyAlignment="1">
      <alignment horizontal="center" vertical="center"/>
    </xf>
    <xf numFmtId="0" fontId="6" fillId="5" borderId="1" xfId="0" applyFont="1" applyFill="1" applyBorder="1" applyAlignment="1" applyProtection="1">
      <alignment horizontal="center" vertical="center"/>
      <protection locked="0"/>
    </xf>
    <xf numFmtId="0" fontId="6" fillId="5" borderId="4" xfId="0" applyFont="1" applyFill="1" applyBorder="1" applyAlignment="1" applyProtection="1">
      <alignment vertical="center"/>
      <protection locked="0"/>
    </xf>
    <xf numFmtId="0" fontId="6" fillId="5" borderId="4" xfId="0" applyFont="1" applyFill="1" applyBorder="1" applyAlignment="1" applyProtection="1">
      <alignment horizontal="center" vertical="center"/>
      <protection locked="0"/>
    </xf>
    <xf numFmtId="164" fontId="6" fillId="19" borderId="4" xfId="0" applyNumberFormat="1" applyFont="1" applyFill="1" applyBorder="1" applyAlignment="1" applyProtection="1">
      <alignment horizontal="center" vertical="center"/>
      <protection locked="0"/>
    </xf>
    <xf numFmtId="165" fontId="4" fillId="8" borderId="4" xfId="0" applyNumberFormat="1" applyFont="1" applyFill="1" applyBorder="1" applyAlignment="1" applyProtection="1">
      <alignment horizontal="center" vertical="center"/>
      <protection locked="0"/>
    </xf>
    <xf numFmtId="165" fontId="4" fillId="16" borderId="4" xfId="0" applyNumberFormat="1" applyFont="1" applyFill="1" applyBorder="1" applyAlignment="1" applyProtection="1">
      <alignment horizontal="center" vertical="center"/>
      <protection locked="0"/>
    </xf>
    <xf numFmtId="10" fontId="4" fillId="8" borderId="4" xfId="0" applyNumberFormat="1" applyFont="1" applyFill="1" applyBorder="1" applyAlignment="1" applyProtection="1">
      <alignment horizontal="center" vertical="center"/>
      <protection locked="0"/>
    </xf>
    <xf numFmtId="0" fontId="6" fillId="5" borderId="4" xfId="0" applyFont="1" applyFill="1" applyBorder="1" applyAlignment="1" applyProtection="1">
      <alignment horizontal="right" vertical="center"/>
      <protection locked="0"/>
    </xf>
    <xf numFmtId="164" fontId="6" fillId="19" borderId="1" xfId="0" applyNumberFormat="1" applyFont="1" applyFill="1" applyBorder="1" applyAlignment="1" applyProtection="1">
      <alignment horizontal="center" vertical="center"/>
      <protection locked="0"/>
    </xf>
    <xf numFmtId="165" fontId="2" fillId="0" borderId="4" xfId="0" applyNumberFormat="1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164" fontId="2" fillId="0" borderId="4" xfId="0" applyNumberFormat="1" applyFont="1" applyBorder="1" applyAlignment="1" applyProtection="1">
      <alignment horizontal="center" vertical="center"/>
      <protection locked="0"/>
    </xf>
    <xf numFmtId="164" fontId="6" fillId="7" borderId="4" xfId="0" applyNumberFormat="1" applyFont="1" applyFill="1" applyBorder="1" applyAlignment="1" applyProtection="1">
      <alignment horizontal="center" vertic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1" fontId="2" fillId="2" borderId="4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164" fontId="3" fillId="0" borderId="4" xfId="0" applyNumberFormat="1" applyFont="1" applyBorder="1" applyAlignment="1" applyProtection="1">
      <alignment horizontal="center" vertical="center"/>
      <protection locked="0"/>
    </xf>
    <xf numFmtId="164" fontId="4" fillId="9" borderId="4" xfId="3" applyNumberFormat="1" applyFont="1" applyFill="1" applyBorder="1" applyAlignment="1" applyProtection="1">
      <alignment horizontal="center" vertical="center"/>
      <protection locked="0"/>
    </xf>
    <xf numFmtId="164" fontId="6" fillId="19" borderId="17" xfId="0" applyNumberFormat="1" applyFont="1" applyFill="1" applyBorder="1" applyAlignment="1" applyProtection="1">
      <alignment horizontal="center" vertical="center"/>
      <protection locked="0"/>
    </xf>
    <xf numFmtId="164" fontId="3" fillId="0" borderId="14" xfId="0" applyNumberFormat="1" applyFont="1" applyBorder="1" applyAlignment="1" applyProtection="1">
      <alignment horizontal="center" vertical="center"/>
      <protection locked="0"/>
    </xf>
    <xf numFmtId="164" fontId="4" fillId="9" borderId="17" xfId="3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4" fillId="22" borderId="0" xfId="0" applyFont="1" applyFill="1" applyAlignment="1" applyProtection="1">
      <alignment horizontal="center" vertical="center"/>
      <protection locked="0"/>
    </xf>
    <xf numFmtId="0" fontId="14" fillId="22" borderId="27" xfId="0" applyFont="1" applyFill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4" fillId="14" borderId="2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right" vertical="center"/>
      <protection locked="0"/>
    </xf>
    <xf numFmtId="0" fontId="4" fillId="13" borderId="16" xfId="0" applyFont="1" applyFill="1" applyBorder="1" applyAlignment="1" applyProtection="1">
      <alignment horizontal="center" vertical="center" wrapText="1"/>
      <protection locked="0"/>
    </xf>
    <xf numFmtId="0" fontId="2" fillId="10" borderId="0" xfId="0" applyFont="1" applyFill="1" applyAlignment="1" applyProtection="1">
      <alignment horizontal="center" vertical="center"/>
      <protection locked="0"/>
    </xf>
    <xf numFmtId="0" fontId="4" fillId="0" borderId="29" xfId="0" applyFont="1" applyBorder="1" applyAlignment="1" applyProtection="1">
      <alignment horizontal="center" vertical="center"/>
      <protection locked="0"/>
    </xf>
    <xf numFmtId="6" fontId="4" fillId="0" borderId="30" xfId="0" applyNumberFormat="1" applyFont="1" applyBorder="1" applyAlignment="1" applyProtection="1">
      <alignment horizontal="center" vertical="center"/>
      <protection locked="0"/>
    </xf>
    <xf numFmtId="0" fontId="2" fillId="25" borderId="4" xfId="0" applyFont="1" applyFill="1" applyBorder="1" applyAlignment="1" applyProtection="1">
      <alignment horizontal="left" vertical="center"/>
      <protection locked="0"/>
    </xf>
    <xf numFmtId="1" fontId="18" fillId="27" borderId="11" xfId="0" applyNumberFormat="1" applyFont="1" applyFill="1" applyBorder="1" applyAlignment="1" applyProtection="1">
      <alignment horizontal="center" vertical="center"/>
      <protection locked="0"/>
    </xf>
    <xf numFmtId="0" fontId="17" fillId="23" borderId="31" xfId="0" applyFont="1" applyFill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3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6" fillId="21" borderId="0" xfId="0" applyFont="1" applyFill="1" applyAlignment="1" applyProtection="1">
      <alignment vertical="center"/>
      <protection locked="0"/>
    </xf>
    <xf numFmtId="0" fontId="2" fillId="10" borderId="0" xfId="3" applyFont="1" applyFill="1" applyAlignment="1" applyProtection="1">
      <alignment vertical="center" readingOrder="1"/>
      <protection locked="0"/>
    </xf>
    <xf numFmtId="0" fontId="2" fillId="10" borderId="15" xfId="0" applyFont="1" applyFill="1" applyBorder="1" applyAlignment="1" applyProtection="1">
      <alignment vertical="center"/>
      <protection locked="0"/>
    </xf>
    <xf numFmtId="0" fontId="2" fillId="10" borderId="0" xfId="0" applyFont="1" applyFill="1" applyAlignment="1" applyProtection="1">
      <alignment vertical="center"/>
      <protection locked="0"/>
    </xf>
    <xf numFmtId="0" fontId="4" fillId="3" borderId="34" xfId="0" applyFont="1" applyFill="1" applyBorder="1" applyAlignment="1" applyProtection="1">
      <alignment horizontal="right" vertical="center" wrapText="1"/>
      <protection locked="0"/>
    </xf>
    <xf numFmtId="0" fontId="2" fillId="0" borderId="31" xfId="0" applyFont="1" applyBorder="1" applyAlignment="1" applyProtection="1">
      <alignment horizontal="center" vertical="center"/>
      <protection locked="0"/>
    </xf>
    <xf numFmtId="1" fontId="2" fillId="2" borderId="11" xfId="0" applyNumberFormat="1" applyFont="1" applyFill="1" applyBorder="1" applyAlignment="1" applyProtection="1">
      <alignment horizontal="center" vertical="center"/>
      <protection locked="0"/>
    </xf>
    <xf numFmtId="1" fontId="2" fillId="7" borderId="11" xfId="0" applyNumberFormat="1" applyFont="1" applyFill="1" applyBorder="1" applyAlignment="1" applyProtection="1">
      <alignment horizontal="center" vertical="center"/>
      <protection locked="0"/>
    </xf>
    <xf numFmtId="164" fontId="2" fillId="0" borderId="4" xfId="1" applyNumberFormat="1" applyFont="1" applyFill="1" applyBorder="1" applyAlignment="1" applyProtection="1">
      <alignment horizontal="center" vertical="center"/>
      <protection locked="0"/>
    </xf>
    <xf numFmtId="0" fontId="2" fillId="10" borderId="6" xfId="0" applyFont="1" applyFill="1" applyBorder="1" applyAlignment="1" applyProtection="1">
      <alignment vertical="center"/>
      <protection locked="0"/>
    </xf>
    <xf numFmtId="0" fontId="2" fillId="24" borderId="32" xfId="0" applyFont="1" applyFill="1" applyBorder="1" applyAlignment="1">
      <alignment horizontal="center" vertical="center"/>
    </xf>
    <xf numFmtId="0" fontId="4" fillId="3" borderId="5" xfId="0" applyFont="1" applyFill="1" applyBorder="1" applyAlignment="1" applyProtection="1">
      <alignment horizontal="center" vertical="center"/>
      <protection locked="0"/>
    </xf>
    <xf numFmtId="164" fontId="2" fillId="11" borderId="39" xfId="0" applyNumberFormat="1" applyFont="1" applyFill="1" applyBorder="1" applyAlignment="1" applyProtection="1">
      <alignment horizontal="center" vertical="center"/>
      <protection locked="0"/>
    </xf>
    <xf numFmtId="166" fontId="2" fillId="0" borderId="4" xfId="0" applyNumberFormat="1" applyFont="1" applyBorder="1" applyAlignment="1" applyProtection="1">
      <alignment horizontal="center" vertical="center"/>
      <protection locked="0"/>
    </xf>
    <xf numFmtId="0" fontId="2" fillId="10" borderId="8" xfId="0" applyFont="1" applyFill="1" applyBorder="1" applyAlignment="1" applyProtection="1">
      <alignment vertical="center"/>
      <protection locked="0"/>
    </xf>
    <xf numFmtId="0" fontId="2" fillId="10" borderId="12" xfId="0" applyFont="1" applyFill="1" applyBorder="1" applyAlignment="1" applyProtection="1">
      <alignment vertical="center"/>
      <protection locked="0"/>
    </xf>
    <xf numFmtId="0" fontId="2" fillId="28" borderId="0" xfId="3" applyFont="1" applyFill="1" applyAlignment="1" applyProtection="1">
      <alignment vertical="center" readingOrder="1"/>
      <protection locked="0"/>
    </xf>
    <xf numFmtId="0" fontId="2" fillId="28" borderId="0" xfId="0" applyFont="1" applyFill="1" applyAlignment="1" applyProtection="1">
      <alignment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4" fillId="12" borderId="2" xfId="0" applyFont="1" applyFill="1" applyBorder="1" applyAlignment="1" applyProtection="1">
      <alignment horizontal="right" vertical="center"/>
      <protection locked="0"/>
    </xf>
    <xf numFmtId="0" fontId="2" fillId="3" borderId="8" xfId="0" applyFont="1" applyFill="1" applyBorder="1" applyAlignment="1" applyProtection="1">
      <alignment horizontal="right" vertical="center"/>
      <protection locked="0"/>
    </xf>
    <xf numFmtId="0" fontId="7" fillId="2" borderId="8" xfId="0" applyFont="1" applyFill="1" applyBorder="1" applyAlignment="1" applyProtection="1">
      <alignment horizontal="center" vertical="center"/>
      <protection locked="0"/>
    </xf>
    <xf numFmtId="0" fontId="4" fillId="3" borderId="11" xfId="0" applyFont="1" applyFill="1" applyBorder="1" applyAlignment="1" applyProtection="1">
      <alignment horizontal="center" vertical="center"/>
      <protection locked="0"/>
    </xf>
    <xf numFmtId="0" fontId="4" fillId="13" borderId="5" xfId="0" applyFont="1" applyFill="1" applyBorder="1" applyAlignment="1" applyProtection="1">
      <alignment horizontal="center" vertical="center"/>
      <protection locked="0"/>
    </xf>
    <xf numFmtId="0" fontId="4" fillId="15" borderId="11" xfId="0" applyFont="1" applyFill="1" applyBorder="1" applyAlignment="1" applyProtection="1">
      <alignment horizontal="center" vertical="center"/>
      <protection locked="0"/>
    </xf>
    <xf numFmtId="0" fontId="4" fillId="15" borderId="5" xfId="0" applyFont="1" applyFill="1" applyBorder="1" applyAlignment="1" applyProtection="1">
      <alignment horizontal="center" vertical="center"/>
      <protection locked="0"/>
    </xf>
    <xf numFmtId="0" fontId="6" fillId="26" borderId="11" xfId="0" applyFont="1" applyFill="1" applyBorder="1" applyAlignment="1" applyProtection="1">
      <alignment horizontal="center" vertical="center"/>
      <protection locked="0"/>
    </xf>
    <xf numFmtId="0" fontId="2" fillId="10" borderId="14" xfId="0" applyFont="1" applyFill="1" applyBorder="1" applyAlignment="1" applyProtection="1">
      <alignment vertical="center"/>
      <protection locked="0"/>
    </xf>
    <xf numFmtId="0" fontId="2" fillId="28" borderId="6" xfId="0" applyFont="1" applyFill="1" applyBorder="1" applyAlignment="1" applyProtection="1">
      <alignment vertical="center"/>
      <protection locked="0"/>
    </xf>
    <xf numFmtId="0" fontId="6" fillId="21" borderId="14" xfId="0" applyFont="1" applyFill="1" applyBorder="1" applyAlignment="1" applyProtection="1">
      <alignment vertical="center"/>
      <protection locked="0"/>
    </xf>
    <xf numFmtId="0" fontId="2" fillId="28" borderId="6" xfId="3" applyFont="1" applyFill="1" applyBorder="1" applyAlignment="1" applyProtection="1">
      <alignment vertical="center" readingOrder="1"/>
      <protection locked="0"/>
    </xf>
    <xf numFmtId="0" fontId="2" fillId="10" borderId="14" xfId="3" applyFont="1" applyFill="1" applyBorder="1" applyAlignment="1" applyProtection="1">
      <alignment vertical="center" readingOrder="1"/>
      <protection locked="0"/>
    </xf>
    <xf numFmtId="0" fontId="2" fillId="28" borderId="11" xfId="0" applyFont="1" applyFill="1" applyBorder="1" applyAlignment="1" applyProtection="1">
      <alignment vertical="center"/>
      <protection locked="0"/>
    </xf>
    <xf numFmtId="0" fontId="2" fillId="28" borderId="10" xfId="0" applyFont="1" applyFill="1" applyBorder="1" applyAlignment="1" applyProtection="1">
      <alignment vertical="center"/>
      <protection locked="0"/>
    </xf>
    <xf numFmtId="0" fontId="6" fillId="21" borderId="10" xfId="0" applyFont="1" applyFill="1" applyBorder="1" applyAlignment="1" applyProtection="1">
      <alignment vertical="center"/>
      <protection locked="0"/>
    </xf>
    <xf numFmtId="0" fontId="6" fillId="21" borderId="13" xfId="0" applyFont="1" applyFill="1" applyBorder="1" applyAlignment="1" applyProtection="1">
      <alignment vertical="center"/>
      <protection locked="0"/>
    </xf>
    <xf numFmtId="0" fontId="4" fillId="12" borderId="2" xfId="0" applyFont="1" applyFill="1" applyBorder="1" applyAlignment="1" applyProtection="1">
      <alignment horizontal="center" vertical="center" readingOrder="1"/>
      <protection locked="0"/>
    </xf>
    <xf numFmtId="1" fontId="4" fillId="12" borderId="3" xfId="0" applyNumberFormat="1" applyFont="1" applyFill="1" applyBorder="1" applyAlignment="1">
      <alignment horizontal="center" vertical="center"/>
    </xf>
    <xf numFmtId="0" fontId="4" fillId="12" borderId="3" xfId="0" applyFont="1" applyFill="1" applyBorder="1" applyAlignment="1">
      <alignment horizontal="center" vertical="center"/>
    </xf>
    <xf numFmtId="4" fontId="4" fillId="12" borderId="2" xfId="0" applyNumberFormat="1" applyFont="1" applyFill="1" applyBorder="1" applyAlignment="1" applyProtection="1">
      <alignment horizontal="right" vertical="center"/>
      <protection locked="0"/>
    </xf>
    <xf numFmtId="167" fontId="4" fillId="12" borderId="1" xfId="0" applyNumberFormat="1" applyFont="1" applyFill="1" applyBorder="1" applyAlignment="1">
      <alignment horizontal="center" vertical="center"/>
    </xf>
    <xf numFmtId="166" fontId="4" fillId="12" borderId="3" xfId="0" applyNumberFormat="1" applyFont="1" applyFill="1" applyBorder="1" applyAlignment="1" applyProtection="1">
      <alignment horizontal="center" vertical="center"/>
      <protection locked="0"/>
    </xf>
    <xf numFmtId="6" fontId="4" fillId="0" borderId="0" xfId="0" applyNumberFormat="1" applyFont="1" applyAlignment="1" applyProtection="1">
      <alignment horizontal="center" vertical="center"/>
      <protection locked="0"/>
    </xf>
    <xf numFmtId="166" fontId="4" fillId="0" borderId="0" xfId="0" applyNumberFormat="1" applyFont="1" applyAlignment="1" applyProtection="1">
      <alignment vertical="center"/>
      <protection locked="0"/>
    </xf>
    <xf numFmtId="166" fontId="0" fillId="0" borderId="0" xfId="0" applyNumberFormat="1"/>
    <xf numFmtId="166" fontId="4" fillId="0" borderId="4" xfId="0" applyNumberFormat="1" applyFont="1" applyBorder="1" applyAlignment="1" applyProtection="1">
      <alignment horizontal="center" vertical="center"/>
      <protection locked="0"/>
    </xf>
    <xf numFmtId="166" fontId="2" fillId="0" borderId="0" xfId="0" applyNumberFormat="1" applyFont="1" applyAlignment="1" applyProtection="1">
      <alignment vertical="center"/>
      <protection locked="0"/>
    </xf>
    <xf numFmtId="166" fontId="2" fillId="0" borderId="0" xfId="0" applyNumberFormat="1" applyFont="1" applyAlignment="1" applyProtection="1">
      <alignment horizontal="right" vertical="center"/>
      <protection locked="0"/>
    </xf>
    <xf numFmtId="166" fontId="6" fillId="7" borderId="4" xfId="0" applyNumberFormat="1" applyFont="1" applyFill="1" applyBorder="1" applyAlignment="1" applyProtection="1">
      <alignment horizontal="center" vertical="center"/>
      <protection locked="0"/>
    </xf>
    <xf numFmtId="0" fontId="4" fillId="0" borderId="43" xfId="0" applyFont="1" applyBorder="1" applyAlignment="1" applyProtection="1">
      <alignment horizontal="center" vertical="center"/>
      <protection locked="0"/>
    </xf>
    <xf numFmtId="164" fontId="2" fillId="0" borderId="43" xfId="0" applyNumberFormat="1" applyFont="1" applyBorder="1" applyAlignment="1" applyProtection="1">
      <alignment horizontal="center" vertical="center"/>
      <protection locked="0"/>
    </xf>
    <xf numFmtId="166" fontId="4" fillId="12" borderId="3" xfId="0" applyNumberFormat="1" applyFont="1" applyFill="1" applyBorder="1" applyAlignment="1">
      <alignment horizontal="center" vertical="center" readingOrder="1"/>
    </xf>
    <xf numFmtId="0" fontId="6" fillId="0" borderId="29" xfId="0" applyFont="1" applyBorder="1" applyAlignment="1" applyProtection="1">
      <alignment horizontal="center" vertical="center"/>
      <protection locked="0"/>
    </xf>
    <xf numFmtId="6" fontId="6" fillId="0" borderId="30" xfId="0" applyNumberFormat="1" applyFont="1" applyBorder="1" applyAlignment="1" applyProtection="1">
      <alignment horizontal="center" vertical="center"/>
      <protection locked="0"/>
    </xf>
    <xf numFmtId="166" fontId="2" fillId="0" borderId="4" xfId="0" applyNumberFormat="1" applyFont="1" applyBorder="1" applyAlignment="1">
      <alignment horizontal="right" vertical="center" readingOrder="1"/>
    </xf>
    <xf numFmtId="0" fontId="4" fillId="2" borderId="4" xfId="0" applyFont="1" applyFill="1" applyBorder="1" applyAlignment="1" applyProtection="1">
      <alignment horizontal="center" vertical="center"/>
      <protection locked="0"/>
    </xf>
    <xf numFmtId="168" fontId="4" fillId="2" borderId="4" xfId="1" applyNumberFormat="1" applyFont="1" applyFill="1" applyBorder="1" applyAlignment="1" applyProtection="1">
      <alignment horizontal="center" vertical="center"/>
      <protection locked="0"/>
    </xf>
    <xf numFmtId="0" fontId="2" fillId="0" borderId="32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vertical="center"/>
      <protection locked="0"/>
    </xf>
    <xf numFmtId="0" fontId="4" fillId="12" borderId="1" xfId="0" applyFont="1" applyFill="1" applyBorder="1" applyAlignment="1">
      <alignment horizontal="center" vertical="center"/>
    </xf>
    <xf numFmtId="0" fontId="4" fillId="12" borderId="3" xfId="0" applyFont="1" applyFill="1" applyBorder="1" applyAlignment="1">
      <alignment horizontal="center" vertical="center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4" fillId="14" borderId="2" xfId="0" applyFont="1" applyFill="1" applyBorder="1" applyAlignment="1" applyProtection="1">
      <alignment horizontal="center" vertical="center"/>
      <protection locked="0"/>
    </xf>
    <xf numFmtId="0" fontId="4" fillId="14" borderId="3" xfId="0" applyFont="1" applyFill="1" applyBorder="1" applyAlignment="1" applyProtection="1">
      <alignment horizontal="center" vertical="center"/>
      <protection locked="0"/>
    </xf>
    <xf numFmtId="0" fontId="2" fillId="3" borderId="2" xfId="0" applyFont="1" applyFill="1" applyBorder="1" applyAlignment="1" applyProtection="1">
      <alignment horizontal="right" vertical="center"/>
      <protection locked="0"/>
    </xf>
    <xf numFmtId="0" fontId="2" fillId="3" borderId="3" xfId="0" applyFont="1" applyFill="1" applyBorder="1" applyAlignment="1" applyProtection="1">
      <alignment horizontal="right" vertical="center"/>
      <protection locked="0"/>
    </xf>
    <xf numFmtId="0" fontId="4" fillId="3" borderId="11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13" xfId="0" applyFont="1" applyFill="1" applyBorder="1" applyAlignment="1" applyProtection="1">
      <alignment horizontal="center" vertical="center"/>
      <protection locked="0"/>
    </xf>
    <xf numFmtId="0" fontId="4" fillId="3" borderId="2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3" xfId="0" applyFont="1" applyFill="1" applyBorder="1" applyAlignment="1" applyProtection="1">
      <alignment horizontal="center" vertical="center"/>
      <protection locked="0"/>
    </xf>
    <xf numFmtId="164" fontId="20" fillId="2" borderId="8" xfId="1" applyNumberFormat="1" applyFont="1" applyFill="1" applyBorder="1" applyAlignment="1" applyProtection="1">
      <alignment horizontal="center" vertical="center"/>
      <protection locked="0"/>
    </xf>
    <xf numFmtId="164" fontId="20" fillId="2" borderId="11" xfId="1" applyNumberFormat="1" applyFont="1" applyFill="1" applyBorder="1" applyAlignment="1" applyProtection="1">
      <alignment horizontal="center" vertical="center"/>
      <protection locked="0"/>
    </xf>
    <xf numFmtId="164" fontId="20" fillId="2" borderId="15" xfId="1" applyNumberFormat="1" applyFont="1" applyFill="1" applyBorder="1" applyAlignment="1" applyProtection="1">
      <alignment horizontal="center" vertical="center"/>
      <protection locked="0"/>
    </xf>
    <xf numFmtId="164" fontId="20" fillId="2" borderId="10" xfId="1" applyNumberFormat="1" applyFont="1" applyFill="1" applyBorder="1" applyAlignment="1" applyProtection="1">
      <alignment horizontal="center" vertical="center"/>
      <protection locked="0"/>
    </xf>
    <xf numFmtId="0" fontId="2" fillId="3" borderId="8" xfId="0" applyFont="1" applyFill="1" applyBorder="1" applyAlignment="1" applyProtection="1">
      <alignment horizontal="right" vertical="center"/>
      <protection locked="0"/>
    </xf>
    <xf numFmtId="0" fontId="2" fillId="3" borderId="15" xfId="0" applyFont="1" applyFill="1" applyBorder="1" applyAlignment="1" applyProtection="1">
      <alignment horizontal="right" vertical="center"/>
      <protection locked="0"/>
    </xf>
    <xf numFmtId="0" fontId="4" fillId="12" borderId="2" xfId="0" applyFont="1" applyFill="1" applyBorder="1" applyAlignment="1" applyProtection="1">
      <alignment horizontal="right" vertical="center"/>
      <protection locked="0"/>
    </xf>
    <xf numFmtId="0" fontId="4" fillId="12" borderId="1" xfId="0" applyFont="1" applyFill="1" applyBorder="1" applyAlignment="1" applyProtection="1">
      <alignment horizontal="right" vertical="center"/>
      <protection locked="0"/>
    </xf>
    <xf numFmtId="166" fontId="2" fillId="0" borderId="15" xfId="0" applyNumberFormat="1" applyFont="1" applyBorder="1" applyAlignment="1">
      <alignment horizontal="right" vertical="center" readingOrder="1"/>
    </xf>
    <xf numFmtId="166" fontId="2" fillId="0" borderId="12" xfId="0" applyNumberFormat="1" applyFont="1" applyBorder="1" applyAlignment="1">
      <alignment horizontal="right" vertical="center" readingOrder="1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right" vertical="center"/>
      <protection locked="0"/>
    </xf>
    <xf numFmtId="0" fontId="2" fillId="4" borderId="2" xfId="0" applyFont="1" applyFill="1" applyBorder="1" applyAlignment="1" applyProtection="1">
      <alignment horizontal="center" vertical="center"/>
      <protection locked="0"/>
    </xf>
    <xf numFmtId="0" fontId="2" fillId="4" borderId="1" xfId="0" applyFont="1" applyFill="1" applyBorder="1" applyAlignment="1" applyProtection="1">
      <alignment horizontal="center" vertical="center"/>
      <protection locked="0"/>
    </xf>
    <xf numFmtId="0" fontId="2" fillId="4" borderId="3" xfId="0" applyFont="1" applyFill="1" applyBorder="1" applyAlignment="1" applyProtection="1">
      <alignment horizontal="center" vertical="center"/>
      <protection locked="0"/>
    </xf>
    <xf numFmtId="2" fontId="2" fillId="2" borderId="2" xfId="0" applyNumberFormat="1" applyFont="1" applyFill="1" applyBorder="1" applyAlignment="1" applyProtection="1">
      <alignment horizontal="center" vertical="center"/>
      <protection locked="0"/>
    </xf>
    <xf numFmtId="2" fontId="2" fillId="2" borderId="1" xfId="0" applyNumberFormat="1" applyFont="1" applyFill="1" applyBorder="1" applyAlignment="1" applyProtection="1">
      <alignment horizontal="center" vertical="center"/>
      <protection locked="0"/>
    </xf>
    <xf numFmtId="2" fontId="2" fillId="2" borderId="3" xfId="0" applyNumberFormat="1" applyFont="1" applyFill="1" applyBorder="1" applyAlignment="1" applyProtection="1">
      <alignment horizontal="center" vertical="center"/>
      <protection locked="0"/>
    </xf>
    <xf numFmtId="166" fontId="2" fillId="0" borderId="2" xfId="0" applyNumberFormat="1" applyFont="1" applyBorder="1" applyAlignment="1">
      <alignment horizontal="right" vertical="center" readingOrder="1"/>
    </xf>
    <xf numFmtId="166" fontId="2" fillId="0" borderId="3" xfId="0" applyNumberFormat="1" applyFont="1" applyBorder="1" applyAlignment="1">
      <alignment horizontal="right" vertical="center" readingOrder="1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7" fillId="2" borderId="3" xfId="0" applyFont="1" applyFill="1" applyBorder="1" applyAlignment="1" applyProtection="1">
      <alignment horizontal="center" vertical="center"/>
      <protection locked="0"/>
    </xf>
    <xf numFmtId="164" fontId="4" fillId="9" borderId="37" xfId="0" applyNumberFormat="1" applyFont="1" applyFill="1" applyBorder="1" applyAlignment="1">
      <alignment horizontal="center" vertical="center"/>
    </xf>
    <xf numFmtId="164" fontId="4" fillId="9" borderId="38" xfId="0" applyNumberFormat="1" applyFont="1" applyFill="1" applyBorder="1" applyAlignment="1">
      <alignment horizontal="center" vertical="center"/>
    </xf>
    <xf numFmtId="166" fontId="20" fillId="2" borderId="8" xfId="1" applyNumberFormat="1" applyFont="1" applyFill="1" applyBorder="1" applyAlignment="1" applyProtection="1">
      <alignment horizontal="center" vertical="center"/>
      <protection locked="0"/>
    </xf>
    <xf numFmtId="166" fontId="20" fillId="2" borderId="11" xfId="1" applyNumberFormat="1" applyFont="1" applyFill="1" applyBorder="1" applyAlignment="1" applyProtection="1">
      <alignment horizontal="center" vertical="center"/>
      <protection locked="0"/>
    </xf>
    <xf numFmtId="0" fontId="20" fillId="2" borderId="15" xfId="0" applyFont="1" applyFill="1" applyBorder="1" applyAlignment="1" applyProtection="1">
      <alignment horizontal="center" vertical="center"/>
      <protection locked="0"/>
    </xf>
    <xf numFmtId="0" fontId="20" fillId="2" borderId="12" xfId="0" applyFont="1" applyFill="1" applyBorder="1" applyAlignment="1" applyProtection="1">
      <alignment horizontal="center" vertical="center"/>
      <protection locked="0"/>
    </xf>
    <xf numFmtId="0" fontId="20" fillId="2" borderId="10" xfId="0" applyFont="1" applyFill="1" applyBorder="1" applyAlignment="1" applyProtection="1">
      <alignment horizontal="center" vertical="center"/>
      <protection locked="0"/>
    </xf>
    <xf numFmtId="0" fontId="20" fillId="2" borderId="13" xfId="0" applyFont="1" applyFill="1" applyBorder="1" applyAlignment="1" applyProtection="1">
      <alignment horizontal="center" vertical="center"/>
      <protection locked="0"/>
    </xf>
    <xf numFmtId="164" fontId="12" fillId="3" borderId="9" xfId="0" applyNumberFormat="1" applyFont="1" applyFill="1" applyBorder="1" applyAlignment="1" applyProtection="1">
      <alignment horizontal="center" vertical="center"/>
      <protection locked="0"/>
    </xf>
    <xf numFmtId="164" fontId="12" fillId="3" borderId="35" xfId="0" applyNumberFormat="1" applyFont="1" applyFill="1" applyBorder="1" applyAlignment="1" applyProtection="1">
      <alignment horizontal="center" vertical="center"/>
      <protection locked="0"/>
    </xf>
    <xf numFmtId="165" fontId="11" fillId="2" borderId="9" xfId="2" applyNumberFormat="1" applyFont="1" applyFill="1" applyBorder="1" applyAlignment="1" applyProtection="1">
      <alignment horizontal="center" vertical="center"/>
      <protection locked="0"/>
    </xf>
    <xf numFmtId="165" fontId="11" fillId="2" borderId="24" xfId="2" applyNumberFormat="1" applyFont="1" applyFill="1" applyBorder="1" applyAlignment="1" applyProtection="1">
      <alignment horizontal="center" vertical="center"/>
      <protection locked="0"/>
    </xf>
    <xf numFmtId="165" fontId="11" fillId="2" borderId="5" xfId="2" applyNumberFormat="1" applyFont="1" applyFill="1" applyBorder="1" applyAlignment="1" applyProtection="1">
      <alignment horizontal="center" vertical="center"/>
      <protection locked="0"/>
    </xf>
    <xf numFmtId="165" fontId="4" fillId="8" borderId="9" xfId="0" applyNumberFormat="1" applyFont="1" applyFill="1" applyBorder="1" applyAlignment="1">
      <alignment horizontal="center" vertical="center"/>
    </xf>
    <xf numFmtId="165" fontId="4" fillId="8" borderId="5" xfId="0" applyNumberFormat="1" applyFont="1" applyFill="1" applyBorder="1" applyAlignment="1">
      <alignment horizontal="center" vertical="center"/>
    </xf>
    <xf numFmtId="165" fontId="4" fillId="16" borderId="9" xfId="0" applyNumberFormat="1" applyFont="1" applyFill="1" applyBorder="1" applyAlignment="1">
      <alignment horizontal="center" vertical="center"/>
    </xf>
    <xf numFmtId="165" fontId="4" fillId="16" borderId="5" xfId="0" applyNumberFormat="1" applyFont="1" applyFill="1" applyBorder="1" applyAlignment="1">
      <alignment horizontal="center" vertical="center"/>
    </xf>
    <xf numFmtId="165" fontId="5" fillId="8" borderId="9" xfId="0" applyNumberFormat="1" applyFont="1" applyFill="1" applyBorder="1" applyAlignment="1">
      <alignment horizontal="center" vertical="center"/>
    </xf>
    <xf numFmtId="165" fontId="5" fillId="8" borderId="5" xfId="0" applyNumberFormat="1" applyFont="1" applyFill="1" applyBorder="1" applyAlignment="1">
      <alignment horizontal="center" vertical="center"/>
    </xf>
    <xf numFmtId="0" fontId="4" fillId="17" borderId="15" xfId="0" applyFont="1" applyFill="1" applyBorder="1" applyAlignment="1" applyProtection="1">
      <alignment horizontal="right" vertical="center"/>
      <protection locked="0"/>
    </xf>
    <xf numFmtId="0" fontId="4" fillId="17" borderId="12" xfId="0" applyFont="1" applyFill="1" applyBorder="1" applyAlignment="1" applyProtection="1">
      <alignment horizontal="right" vertical="center"/>
      <protection locked="0"/>
    </xf>
    <xf numFmtId="0" fontId="4" fillId="17" borderId="10" xfId="0" applyFont="1" applyFill="1" applyBorder="1" applyAlignment="1" applyProtection="1">
      <alignment horizontal="right" vertical="center"/>
      <protection locked="0"/>
    </xf>
    <xf numFmtId="0" fontId="4" fillId="17" borderId="13" xfId="0" applyFont="1" applyFill="1" applyBorder="1" applyAlignment="1" applyProtection="1">
      <alignment horizontal="right" vertical="center"/>
      <protection locked="0"/>
    </xf>
    <xf numFmtId="0" fontId="4" fillId="3" borderId="15" xfId="0" applyFont="1" applyFill="1" applyBorder="1" applyAlignment="1" applyProtection="1">
      <alignment horizontal="right" vertical="center"/>
      <protection locked="0"/>
    </xf>
    <xf numFmtId="0" fontId="4" fillId="3" borderId="12" xfId="0" applyFont="1" applyFill="1" applyBorder="1" applyAlignment="1" applyProtection="1">
      <alignment horizontal="right" vertical="center"/>
      <protection locked="0"/>
    </xf>
    <xf numFmtId="0" fontId="4" fillId="3" borderId="10" xfId="0" applyFont="1" applyFill="1" applyBorder="1" applyAlignment="1" applyProtection="1">
      <alignment horizontal="right" vertical="center"/>
      <protection locked="0"/>
    </xf>
    <xf numFmtId="0" fontId="4" fillId="3" borderId="13" xfId="0" applyFont="1" applyFill="1" applyBorder="1" applyAlignment="1" applyProtection="1">
      <alignment horizontal="right" vertical="center"/>
      <protection locked="0"/>
    </xf>
    <xf numFmtId="0" fontId="4" fillId="3" borderId="0" xfId="0" applyFont="1" applyFill="1" applyAlignment="1" applyProtection="1">
      <alignment horizontal="right" vertical="center"/>
      <protection locked="0"/>
    </xf>
    <xf numFmtId="0" fontId="4" fillId="3" borderId="14" xfId="0" applyFont="1" applyFill="1" applyBorder="1" applyAlignment="1" applyProtection="1">
      <alignment horizontal="right" vertical="center"/>
      <protection locked="0"/>
    </xf>
    <xf numFmtId="0" fontId="5" fillId="3" borderId="15" xfId="0" applyFont="1" applyFill="1" applyBorder="1" applyAlignment="1" applyProtection="1">
      <alignment horizontal="right" vertical="center"/>
      <protection locked="0"/>
    </xf>
    <xf numFmtId="0" fontId="5" fillId="3" borderId="12" xfId="0" applyFont="1" applyFill="1" applyBorder="1" applyAlignment="1" applyProtection="1">
      <alignment horizontal="right" vertical="center"/>
      <protection locked="0"/>
    </xf>
    <xf numFmtId="0" fontId="5" fillId="3" borderId="28" xfId="0" applyFont="1" applyFill="1" applyBorder="1" applyAlignment="1" applyProtection="1">
      <alignment horizontal="right" vertical="center"/>
      <protection locked="0"/>
    </xf>
    <xf numFmtId="0" fontId="5" fillId="3" borderId="25" xfId="0" applyFont="1" applyFill="1" applyBorder="1" applyAlignment="1" applyProtection="1">
      <alignment horizontal="right" vertical="center"/>
      <protection locked="0"/>
    </xf>
    <xf numFmtId="164" fontId="4" fillId="8" borderId="8" xfId="0" applyNumberFormat="1" applyFont="1" applyFill="1" applyBorder="1" applyAlignment="1">
      <alignment horizontal="center" vertical="center"/>
    </xf>
    <xf numFmtId="164" fontId="4" fillId="8" borderId="20" xfId="0" applyNumberFormat="1" applyFont="1" applyFill="1" applyBorder="1" applyAlignment="1">
      <alignment horizontal="center" vertical="center"/>
    </xf>
    <xf numFmtId="164" fontId="4" fillId="8" borderId="11" xfId="0" applyNumberFormat="1" applyFont="1" applyFill="1" applyBorder="1" applyAlignment="1">
      <alignment horizontal="center" vertical="center"/>
    </xf>
    <xf numFmtId="164" fontId="4" fillId="8" borderId="21" xfId="0" applyNumberFormat="1" applyFont="1" applyFill="1" applyBorder="1" applyAlignment="1">
      <alignment horizontal="center" vertical="center"/>
    </xf>
    <xf numFmtId="164" fontId="6" fillId="8" borderId="2" xfId="0" applyNumberFormat="1" applyFont="1" applyFill="1" applyBorder="1" applyAlignment="1">
      <alignment horizontal="center" vertical="center"/>
    </xf>
    <xf numFmtId="164" fontId="6" fillId="8" borderId="36" xfId="0" applyNumberFormat="1" applyFont="1" applyFill="1" applyBorder="1" applyAlignment="1">
      <alignment horizontal="center" vertical="center"/>
    </xf>
    <xf numFmtId="164" fontId="4" fillId="16" borderId="2" xfId="0" applyNumberFormat="1" applyFont="1" applyFill="1" applyBorder="1" applyAlignment="1" applyProtection="1">
      <alignment horizontal="center" vertical="center"/>
      <protection locked="0"/>
    </xf>
    <xf numFmtId="164" fontId="4" fillId="16" borderId="36" xfId="0" applyNumberFormat="1" applyFont="1" applyFill="1" applyBorder="1" applyAlignment="1" applyProtection="1">
      <alignment horizontal="center" vertical="center"/>
      <protection locked="0"/>
    </xf>
    <xf numFmtId="164" fontId="3" fillId="0" borderId="8" xfId="0" applyNumberFormat="1" applyFont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11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0" fontId="19" fillId="3" borderId="9" xfId="0" applyFont="1" applyFill="1" applyBorder="1" applyAlignment="1" applyProtection="1">
      <alignment horizontal="right" vertical="center"/>
      <protection locked="0"/>
    </xf>
    <xf numFmtId="0" fontId="19" fillId="3" borderId="5" xfId="0" applyFont="1" applyFill="1" applyBorder="1" applyAlignment="1" applyProtection="1">
      <alignment horizontal="right" vertical="center"/>
      <protection locked="0"/>
    </xf>
    <xf numFmtId="0" fontId="4" fillId="17" borderId="9" xfId="0" applyFont="1" applyFill="1" applyBorder="1" applyAlignment="1" applyProtection="1">
      <alignment horizontal="right" vertical="center"/>
      <protection locked="0"/>
    </xf>
    <xf numFmtId="0" fontId="4" fillId="17" borderId="5" xfId="0" applyFont="1" applyFill="1" applyBorder="1" applyAlignment="1" applyProtection="1">
      <alignment horizontal="right" vertical="center"/>
      <protection locked="0"/>
    </xf>
    <xf numFmtId="0" fontId="4" fillId="3" borderId="9" xfId="0" applyFont="1" applyFill="1" applyBorder="1" applyAlignment="1" applyProtection="1">
      <alignment horizontal="right" vertical="center"/>
      <protection locked="0"/>
    </xf>
    <xf numFmtId="0" fontId="4" fillId="3" borderId="5" xfId="0" applyFont="1" applyFill="1" applyBorder="1" applyAlignment="1" applyProtection="1">
      <alignment horizontal="right" vertical="center"/>
      <protection locked="0"/>
    </xf>
    <xf numFmtId="164" fontId="4" fillId="16" borderId="8" xfId="0" applyNumberFormat="1" applyFont="1" applyFill="1" applyBorder="1" applyAlignment="1">
      <alignment horizontal="center" vertical="center" readingOrder="1"/>
    </xf>
    <xf numFmtId="164" fontId="4" fillId="16" borderId="20" xfId="0" applyNumberFormat="1" applyFont="1" applyFill="1" applyBorder="1" applyAlignment="1">
      <alignment horizontal="center" vertical="center" readingOrder="1"/>
    </xf>
    <xf numFmtId="164" fontId="4" fillId="16" borderId="11" xfId="0" applyNumberFormat="1" applyFont="1" applyFill="1" applyBorder="1" applyAlignment="1">
      <alignment horizontal="center" vertical="center" readingOrder="1"/>
    </xf>
    <xf numFmtId="164" fontId="4" fillId="16" borderId="21" xfId="0" applyNumberFormat="1" applyFont="1" applyFill="1" applyBorder="1" applyAlignment="1">
      <alignment horizontal="center" vertical="center" readingOrder="1"/>
    </xf>
    <xf numFmtId="164" fontId="2" fillId="11" borderId="18" xfId="0" applyNumberFormat="1" applyFont="1" applyFill="1" applyBorder="1" applyAlignment="1" applyProtection="1">
      <alignment horizontal="center" vertical="center"/>
      <protection locked="0"/>
    </xf>
    <xf numFmtId="164" fontId="2" fillId="11" borderId="22" xfId="0" applyNumberFormat="1" applyFont="1" applyFill="1" applyBorder="1" applyAlignment="1" applyProtection="1">
      <alignment horizontal="center" vertical="center"/>
      <protection locked="0"/>
    </xf>
    <xf numFmtId="0" fontId="2" fillId="11" borderId="26" xfId="0" applyFont="1" applyFill="1" applyBorder="1" applyAlignment="1" applyProtection="1">
      <alignment horizontal="right" vertical="center"/>
      <protection locked="0"/>
    </xf>
    <xf numFmtId="0" fontId="2" fillId="11" borderId="19" xfId="0" applyFont="1" applyFill="1" applyBorder="1" applyAlignment="1" applyProtection="1">
      <alignment horizontal="right" vertical="center"/>
      <protection locked="0"/>
    </xf>
    <xf numFmtId="0" fontId="2" fillId="6" borderId="6" xfId="0" applyFont="1" applyFill="1" applyBorder="1" applyAlignment="1" applyProtection="1">
      <alignment horizontal="center" vertical="center"/>
      <protection locked="0"/>
    </xf>
    <xf numFmtId="0" fontId="2" fillId="6" borderId="0" xfId="0" applyFont="1" applyFill="1" applyAlignment="1" applyProtection="1">
      <alignment horizontal="center" vertical="center"/>
      <protection locked="0"/>
    </xf>
    <xf numFmtId="0" fontId="2" fillId="6" borderId="14" xfId="0" applyFont="1" applyFill="1" applyBorder="1" applyAlignment="1" applyProtection="1">
      <alignment horizontal="center" vertical="center"/>
      <protection locked="0"/>
    </xf>
    <xf numFmtId="0" fontId="2" fillId="6" borderId="11" xfId="0" applyFont="1" applyFill="1" applyBorder="1" applyAlignment="1" applyProtection="1">
      <alignment horizontal="center" vertical="center"/>
      <protection locked="0"/>
    </xf>
    <xf numFmtId="0" fontId="2" fillId="6" borderId="10" xfId="0" applyFont="1" applyFill="1" applyBorder="1" applyAlignment="1" applyProtection="1">
      <alignment horizontal="center" vertical="center"/>
      <protection locked="0"/>
    </xf>
    <xf numFmtId="0" fontId="2" fillId="6" borderId="13" xfId="0" applyFont="1" applyFill="1" applyBorder="1" applyAlignment="1" applyProtection="1">
      <alignment horizontal="center" vertical="center"/>
      <protection locked="0"/>
    </xf>
    <xf numFmtId="0" fontId="2" fillId="6" borderId="8" xfId="0" applyFont="1" applyFill="1" applyBorder="1" applyAlignment="1" applyProtection="1">
      <alignment horizontal="center" vertical="center"/>
      <protection locked="0"/>
    </xf>
    <xf numFmtId="0" fontId="2" fillId="6" borderId="15" xfId="0" applyFont="1" applyFill="1" applyBorder="1" applyAlignment="1" applyProtection="1">
      <alignment horizontal="center" vertical="center"/>
      <protection locked="0"/>
    </xf>
    <xf numFmtId="0" fontId="2" fillId="6" borderId="12" xfId="0" applyFont="1" applyFill="1" applyBorder="1" applyAlignment="1" applyProtection="1">
      <alignment horizontal="center" vertical="center"/>
      <protection locked="0"/>
    </xf>
    <xf numFmtId="0" fontId="2" fillId="6" borderId="8" xfId="3" applyFont="1" applyFill="1" applyBorder="1" applyAlignment="1" applyProtection="1">
      <alignment horizontal="center" vertical="center" readingOrder="1"/>
      <protection locked="0"/>
    </xf>
    <xf numFmtId="0" fontId="2" fillId="6" borderId="15" xfId="3" applyFont="1" applyFill="1" applyBorder="1" applyAlignment="1" applyProtection="1">
      <alignment horizontal="center" vertical="center" readingOrder="1"/>
      <protection locked="0"/>
    </xf>
    <xf numFmtId="0" fontId="2" fillId="6" borderId="12" xfId="3" applyFont="1" applyFill="1" applyBorder="1" applyAlignment="1" applyProtection="1">
      <alignment horizontal="center" vertical="center" readingOrder="1"/>
      <protection locked="0"/>
    </xf>
    <xf numFmtId="0" fontId="2" fillId="6" borderId="6" xfId="3" applyFont="1" applyFill="1" applyBorder="1" applyAlignment="1" applyProtection="1">
      <alignment horizontal="center" vertical="center" readingOrder="1"/>
      <protection locked="0"/>
    </xf>
    <xf numFmtId="0" fontId="2" fillId="6" borderId="0" xfId="3" applyFont="1" applyFill="1" applyAlignment="1" applyProtection="1">
      <alignment horizontal="center" vertical="center" readingOrder="1"/>
      <protection locked="0"/>
    </xf>
    <xf numFmtId="0" fontId="2" fillId="6" borderId="14" xfId="3" applyFont="1" applyFill="1" applyBorder="1" applyAlignment="1" applyProtection="1">
      <alignment horizontal="center" vertical="center" readingOrder="1"/>
      <protection locked="0"/>
    </xf>
    <xf numFmtId="0" fontId="2" fillId="6" borderId="11" xfId="3" applyFont="1" applyFill="1" applyBorder="1" applyAlignment="1" applyProtection="1">
      <alignment horizontal="center" vertical="center" readingOrder="1"/>
      <protection locked="0"/>
    </xf>
    <xf numFmtId="0" fontId="2" fillId="6" borderId="10" xfId="3" applyFont="1" applyFill="1" applyBorder="1" applyAlignment="1" applyProtection="1">
      <alignment horizontal="center" vertical="center" readingOrder="1"/>
      <protection locked="0"/>
    </xf>
    <xf numFmtId="0" fontId="2" fillId="6" borderId="13" xfId="3" applyFont="1" applyFill="1" applyBorder="1" applyAlignment="1" applyProtection="1">
      <alignment horizontal="center" vertical="center" readingOrder="1"/>
      <protection locked="0"/>
    </xf>
    <xf numFmtId="0" fontId="2" fillId="6" borderId="42" xfId="0" applyFont="1" applyFill="1" applyBorder="1" applyAlignment="1" applyProtection="1">
      <alignment horizontal="center" vertical="center"/>
      <protection locked="0"/>
    </xf>
    <xf numFmtId="0" fontId="4" fillId="20" borderId="9" xfId="0" applyFont="1" applyFill="1" applyBorder="1" applyAlignment="1" applyProtection="1">
      <alignment horizontal="center" vertical="center"/>
      <protection locked="0"/>
    </xf>
    <xf numFmtId="0" fontId="4" fillId="20" borderId="5" xfId="0" applyFont="1" applyFill="1" applyBorder="1" applyAlignment="1" applyProtection="1">
      <alignment horizontal="center" vertical="center"/>
      <protection locked="0"/>
    </xf>
    <xf numFmtId="0" fontId="6" fillId="5" borderId="8" xfId="0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/>
      <protection locked="0"/>
    </xf>
    <xf numFmtId="0" fontId="6" fillId="5" borderId="13" xfId="0" applyFont="1" applyFill="1" applyBorder="1" applyAlignment="1" applyProtection="1">
      <alignment horizontal="center" vertical="center"/>
      <protection locked="0"/>
    </xf>
    <xf numFmtId="165" fontId="4" fillId="7" borderId="9" xfId="0" applyNumberFormat="1" applyFont="1" applyFill="1" applyBorder="1" applyAlignment="1" applyProtection="1">
      <alignment horizontal="center" vertical="center"/>
      <protection locked="0"/>
    </xf>
    <xf numFmtId="165" fontId="4" fillId="7" borderId="5" xfId="0" applyNumberFormat="1" applyFont="1" applyFill="1" applyBorder="1" applyAlignment="1" applyProtection="1">
      <alignment horizontal="center" vertical="center"/>
      <protection locked="0"/>
    </xf>
    <xf numFmtId="0" fontId="6" fillId="5" borderId="2" xfId="0" applyFont="1" applyFill="1" applyBorder="1" applyAlignment="1" applyProtection="1">
      <alignment horizontal="right" vertical="center"/>
      <protection locked="0"/>
    </xf>
    <xf numFmtId="0" fontId="6" fillId="5" borderId="1" xfId="0" applyFont="1" applyFill="1" applyBorder="1" applyAlignment="1" applyProtection="1">
      <alignment horizontal="right" vertical="center"/>
      <protection locked="0"/>
    </xf>
    <xf numFmtId="0" fontId="6" fillId="5" borderId="23" xfId="0" applyFont="1" applyFill="1" applyBorder="1" applyAlignment="1" applyProtection="1">
      <alignment horizontal="right" vertical="center"/>
      <protection locked="0"/>
    </xf>
    <xf numFmtId="0" fontId="2" fillId="6" borderId="40" xfId="0" applyFont="1" applyFill="1" applyBorder="1" applyAlignment="1" applyProtection="1">
      <alignment horizontal="center" vertical="center"/>
      <protection locked="0"/>
    </xf>
    <xf numFmtId="0" fontId="2" fillId="6" borderId="41" xfId="0" applyFont="1" applyFill="1" applyBorder="1" applyAlignment="1" applyProtection="1">
      <alignment horizontal="center" vertical="center"/>
      <protection locked="0"/>
    </xf>
    <xf numFmtId="0" fontId="6" fillId="5" borderId="3" xfId="0" applyFont="1" applyFill="1" applyBorder="1" applyAlignment="1" applyProtection="1">
      <alignment horizontal="right" vertical="center"/>
      <protection locked="0"/>
    </xf>
    <xf numFmtId="0" fontId="4" fillId="6" borderId="9" xfId="0" applyFont="1" applyFill="1" applyBorder="1" applyAlignment="1" applyProtection="1">
      <alignment horizontal="center" vertical="center"/>
      <protection locked="0"/>
    </xf>
    <xf numFmtId="0" fontId="4" fillId="6" borderId="5" xfId="0" applyFont="1" applyFill="1" applyBorder="1" applyAlignment="1" applyProtection="1">
      <alignment horizontal="center" vertical="center"/>
      <protection locked="0"/>
    </xf>
  </cellXfs>
  <cellStyles count="4">
    <cellStyle name="Currency" xfId="1" builtinId="4"/>
    <cellStyle name="Normal" xfId="0" builtinId="0"/>
    <cellStyle name="Normal 3 2" xfId="3" xr:uid="{74D28D8B-FB2F-F14F-8AFA-76BBC7062A92}"/>
    <cellStyle name="Percent" xfId="2" builtinId="5"/>
  </cellStyles>
  <dxfs count="6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fill>
        <patternFill patternType="solid">
          <fgColor indexed="64"/>
          <bgColor rgb="FFDAE2F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/>
        <vertical/>
        <horizontal/>
      </border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fill>
        <patternFill patternType="solid">
          <fgColor indexed="64"/>
          <bgColor rgb="FFDAE2F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C000"/>
      <color rgb="FF7688A1"/>
      <color rgb="FF7688A0"/>
      <color rgb="FFDAE2F2"/>
      <color rgb="FFF2F2F2"/>
      <color rgb="FFBFBFBF"/>
      <color rgb="FFFF65FF"/>
      <color rgb="FF98FB33"/>
      <color rgb="FFFFE5D5"/>
      <color rgb="FFBDD7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C41E7D-0931-A348-B3D6-364552D8F81A}" name="Table363" displayName="Table363" ref="BX4:BX11" totalsRowShown="0" headerRowDxfId="65" dataDxfId="64">
  <autoFilter ref="BX4:BX11" xr:uid="{BDFE04D6-F5E5-6746-833B-0BE849951A2E}"/>
  <tableColumns count="1">
    <tableColumn id="1" xr3:uid="{8A5A81C9-C466-634F-9A39-C737B74C95C8}" name="Fascia" dataDxfId="6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160231-D389-2747-8E7B-E65279F5E5A6}" name="Table178" displayName="Table178" ref="BV4:BV7" totalsRowShown="0" headerRowDxfId="62" dataDxfId="61">
  <autoFilter ref="BV4:BV7" xr:uid="{C84E50B6-8B2C-CD4B-AAFB-05489C17C139}"/>
  <tableColumns count="1">
    <tableColumn id="1" xr3:uid="{44266AAD-C47C-7048-B88D-6E013C1F67F3}" name="Hembar" dataDxfId="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1FA976-A22F-2248-9871-DF541956E6A3}" name="Table13526" displayName="Table13526" ref="BT4:BT6" totalsRowShown="0" headerRowDxfId="59" dataDxfId="58" tableBorderDxfId="57">
  <autoFilter ref="BT4:BT6" xr:uid="{E91FA976-A22F-2248-9871-DF541956E6A3}"/>
  <tableColumns count="1">
    <tableColumn id="1" xr3:uid="{6EB8817D-9846-E441-B337-EF8A5EAB0412}" name="Roll" dataDxfId="5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E8D3AE-54BE-614F-B5BC-1DFC6E47D726}" name="Table135267" displayName="Table135267" ref="BU4:BU28" totalsRowShown="0" headerRowDxfId="55" dataDxfId="54" tableBorderDxfId="53">
  <autoFilter ref="BU4:BU28" xr:uid="{19E8D3AE-54BE-614F-B5BC-1DFC6E47D726}"/>
  <tableColumns count="1">
    <tableColumn id="1" xr3:uid="{7956D5E5-0D2D-974D-A065-124DF4E717EC}" name="Max Height" dataDxfId="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C67584E-E635-C84B-903D-9124750F2BFC}" name="Table135268" displayName="Table135268" ref="BR4:BR8" totalsRowShown="0" headerRowDxfId="51" dataDxfId="50" tableBorderDxfId="49">
  <autoFilter ref="BR4:BR8" xr:uid="{6C67584E-E635-C84B-903D-9124750F2BFC}"/>
  <tableColumns count="1">
    <tableColumn id="1" xr3:uid="{AC28300E-214F-7C47-947D-4B79F9FC0AB5}" name="Mount" dataDxfId="4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03CE024-15E6-C142-A37D-8077BEC66389}" name="Table135269" displayName="Table135269" ref="BS4:BS7" totalsRowShown="0" headerRowDxfId="47" dataDxfId="46" tableBorderDxfId="45">
  <autoFilter ref="BS4:BS7" xr:uid="{703CE024-15E6-C142-A37D-8077BEC66389}"/>
  <tableColumns count="1">
    <tableColumn id="1" xr3:uid="{D717D843-8316-BD4C-BBF1-5FCF383C0352}" name="Control" dataDxfId="4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C8550CA-1A96-A749-8F0D-3C82F179F7F0}" name="Table1352610" displayName="Table1352610" ref="BN4:BN10" totalsRowShown="0" headerRowDxfId="43" dataDxfId="42" tableBorderDxfId="41">
  <autoFilter ref="BN4:BN10" xr:uid="{4C8550CA-1A96-A749-8F0D-3C82F179F7F0}"/>
  <tableColumns count="1">
    <tableColumn id="1" xr3:uid="{2213F090-390E-D840-BE5A-E44A28C9D288}" name="Site Type" dataDxfId="4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A38758E-811B-1345-80C4-A2C5BCEE6C8E}" name="Table13526911" displayName="Table13526911" ref="BO4:BQ17" totalsRowShown="0" headerRowDxfId="39" dataDxfId="38" tableBorderDxfId="37">
  <autoFilter ref="BO4:BQ17" xr:uid="{AA38758E-811B-1345-80C4-A2C5BCEE6C8E}"/>
  <tableColumns count="3">
    <tableColumn id="1" xr3:uid="{FA5D5354-D09F-1D45-9EE0-5AD78E2E70C7}" name="Status" dataDxfId="36"/>
    <tableColumn id="4" xr3:uid="{F1FFF9CB-4D29-1643-886A-9DF89223A7B3}" name="Type" dataDxfId="35"/>
    <tableColumn id="2" xr3:uid="{3921F4D4-8838-F646-B6A3-BA021037FB74}" name="Type2" dataDxfId="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3088F6-DB52-5741-9CE4-5B2E8C7ADD1A}" name="Table1785" displayName="Table1785" ref="BW4:BW9" totalsRowShown="0" headerRowDxfId="33" dataDxfId="32">
  <autoFilter ref="BW4:BW9" xr:uid="{8E3088F6-DB52-5741-9CE4-5B2E8C7ADD1A}"/>
  <tableColumns count="1">
    <tableColumn id="1" xr3:uid="{FBF20C65-EABF-5A4C-9357-72A50AD8177B}" name="Chain" dataDxfId="3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953A5E4-8CBC-134C-801D-5D9A9235E356}" name="Table13" displayName="Table13" ref="BY4:BY12" totalsRowShown="0" headerRowDxfId="30" dataDxfId="29">
  <autoFilter ref="BY4:BY12" xr:uid="{2953A5E4-8CBC-134C-801D-5D9A9235E356}"/>
  <tableColumns count="1">
    <tableColumn id="1" xr3:uid="{206B909D-542F-6148-845F-05697003FBB6}" name="Fascia Color" dataDxfId="28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2DFBDC4-1BE8-3641-96AD-FD6D31CDB88A}" name="Table14" displayName="Table14" ref="BZ4:BZ12" totalsRowShown="0" headerRowDxfId="27" dataDxfId="26" tableBorderDxfId="25">
  <autoFilter ref="BZ4:BZ12" xr:uid="{52DFBDC4-1BE8-3641-96AD-FD6D31CDB88A}"/>
  <tableColumns count="1">
    <tableColumn id="1" xr3:uid="{451D9EC5-78CE-5E4C-816C-1725EFC8B2C7}" name="Side Channels" dataDxfId="24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3E0921B-67AB-CC40-AD71-0BCABAF5EE9C}" name="Table15" displayName="Table15" ref="CA4:CA7" totalsRowShown="0" headerRowDxfId="23" dataDxfId="22">
  <autoFilter ref="CA4:CA7" xr:uid="{83E0921B-67AB-CC40-AD71-0BCABAF5EE9C}"/>
  <tableColumns count="1">
    <tableColumn id="1" xr3:uid="{00148869-3A7E-DF45-B0C8-87FAC77E8BAB}" name="Clutch Color" dataDxfId="21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84A8237-E062-B34C-A194-A4718A868BD8}" name="Table16" displayName="Table16" ref="CB4:CB7" totalsRowShown="0" headerRowDxfId="20" dataDxfId="19">
  <autoFilter ref="CB4:CB7" xr:uid="{884A8237-E062-B34C-A194-A4718A868BD8}"/>
  <tableColumns count="1">
    <tableColumn id="1" xr3:uid="{9CFF5248-5FA4-C742-84E2-FB3C9D52A17F}" name="Demo" dataDxfId="18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7CA4817-268A-224E-8C89-DB2A32A7535B}" name="Table1612" displayName="Table1612" ref="CF4:CF12" totalsRowShown="0" headerRowDxfId="17" dataDxfId="15" headerRowBorderDxfId="16" tableBorderDxfId="14">
  <autoFilter ref="CF4:CF12" xr:uid="{57CA4817-268A-224E-8C89-DB2A32A7535B}"/>
  <tableColumns count="1">
    <tableColumn id="1" xr3:uid="{31C10551-604A-0147-A63F-FFD1B82ED2FA}" name="Additional Minutes" dataDxfId="13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A5A330C-A84A-DE46-A6A6-FB7D712ECD9F}" name="Table11" displayName="Table11" ref="CE4:CE22" totalsRowShown="0" headerRowDxfId="12" dataDxfId="10" headerRowBorderDxfId="11" tableBorderDxfId="9" totalsRowBorderDxfId="8">
  <autoFilter ref="CE4:CE22" xr:uid="{5A5A330C-A84A-DE46-A6A6-FB7D712ECD9F}"/>
  <tableColumns count="1">
    <tableColumn id="1" xr3:uid="{EE946F41-D159-FE4C-A6D1-689BBD592963}" name="Additonal Hours" dataDxfId="7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F769457-4F21-6141-AAE5-E93FD9854186}" name="Table17" displayName="Table17" ref="CC4:CC7" totalsRowShown="0" headerRowDxfId="6">
  <autoFilter ref="CC4:CC7" xr:uid="{EF769457-4F21-6141-AAE5-E93FD9854186}"/>
  <tableColumns count="1">
    <tableColumn id="1" xr3:uid="{9128C86F-48B5-064A-82EA-B9F03D10513F}" name="PW Labor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18" Type="http://schemas.openxmlformats.org/officeDocument/2006/relationships/table" Target="../tables/table1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4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19" Type="http://schemas.openxmlformats.org/officeDocument/2006/relationships/comments" Target="../comments1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DC84D-9F48-734A-ABD2-AFF230E0DE67}">
  <sheetPr codeName="Sheet8"/>
  <dimension ref="A1:CF232"/>
  <sheetViews>
    <sheetView tabSelected="1" zoomScale="150" zoomScaleNormal="113" workbookViewId="0">
      <selection activeCell="CG11" sqref="CG11"/>
    </sheetView>
  </sheetViews>
  <sheetFormatPr defaultColWidth="11.44140625" defaultRowHeight="10.95" customHeight="1" x14ac:dyDescent="0.3"/>
  <cols>
    <col min="1" max="1" width="8" style="1" customWidth="1"/>
    <col min="2" max="2" width="12.44140625" style="1" customWidth="1"/>
    <col min="3" max="3" width="10.6640625" style="1" customWidth="1"/>
    <col min="4" max="4" width="7.109375" style="1" customWidth="1"/>
    <col min="5" max="5" width="15.44140625" style="140" customWidth="1"/>
    <col min="6" max="6" width="11.6640625" style="1" bestFit="1" customWidth="1"/>
    <col min="7" max="8" width="6.6640625" style="1" customWidth="1"/>
    <col min="9" max="10" width="5.44140625" style="1" customWidth="1"/>
    <col min="11" max="11" width="10" style="1" customWidth="1"/>
    <col min="12" max="12" width="7.44140625" style="1" bestFit="1" customWidth="1"/>
    <col min="13" max="13" width="15.33203125" style="1" customWidth="1"/>
    <col min="14" max="14" width="9.44140625" style="1" customWidth="1"/>
    <col min="15" max="15" width="10.33203125" style="1" customWidth="1"/>
    <col min="16" max="16" width="8.33203125" style="1" customWidth="1"/>
    <col min="17" max="18" width="8.6640625" style="1" customWidth="1"/>
    <col min="19" max="19" width="12.33203125" style="1" customWidth="1"/>
    <col min="20" max="23" width="8.6640625" style="1" customWidth="1"/>
    <col min="24" max="24" width="9.109375" style="1" customWidth="1"/>
    <col min="25" max="25" width="8.77734375" style="1" bestFit="1" customWidth="1"/>
    <col min="26" max="26" width="7.44140625" style="1" customWidth="1"/>
    <col min="27" max="27" width="18.109375" style="1" customWidth="1"/>
    <col min="28" max="29" width="11.6640625" style="1" customWidth="1"/>
    <col min="30" max="30" width="14" style="1" bestFit="1" customWidth="1"/>
    <col min="31" max="31" width="13" style="1" customWidth="1"/>
    <col min="32" max="32" width="9.77734375" style="1" customWidth="1"/>
    <col min="33" max="33" width="8.77734375" style="1" customWidth="1"/>
    <col min="34" max="34" width="15.44140625" style="1" hidden="1" customWidth="1"/>
    <col min="35" max="35" width="8.109375" style="1" hidden="1" customWidth="1"/>
    <col min="36" max="36" width="11.44140625" style="128" hidden="1" customWidth="1"/>
    <col min="37" max="37" width="8.77734375" style="1" hidden="1" customWidth="1"/>
    <col min="38" max="38" width="18.33203125" style="1" hidden="1" customWidth="1"/>
    <col min="39" max="39" width="11.109375" style="1" hidden="1" customWidth="1"/>
    <col min="40" max="40" width="10.44140625" style="1" hidden="1" customWidth="1"/>
    <col min="41" max="41" width="11" style="1" hidden="1" customWidth="1"/>
    <col min="42" max="42" width="13.44140625" style="1" hidden="1" customWidth="1"/>
    <col min="43" max="48" width="10.44140625" style="1" hidden="1" customWidth="1"/>
    <col min="49" max="50" width="12.77734375" style="1" hidden="1" customWidth="1"/>
    <col min="51" max="51" width="10.77734375" style="1" hidden="1" customWidth="1"/>
    <col min="52" max="52" width="14.33203125" style="2" hidden="1" customWidth="1"/>
    <col min="53" max="53" width="10.77734375" style="1" hidden="1" customWidth="1"/>
    <col min="54" max="54" width="11.33203125" style="1" hidden="1" customWidth="1"/>
    <col min="55" max="56" width="14.109375" style="1" hidden="1" customWidth="1"/>
    <col min="57" max="57" width="11.44140625" style="1" hidden="1" customWidth="1"/>
    <col min="58" max="58" width="14.33203125" style="1" hidden="1" customWidth="1"/>
    <col min="59" max="60" width="11.44140625" style="1" hidden="1" customWidth="1"/>
    <col min="61" max="61" width="14" style="1" hidden="1" customWidth="1"/>
    <col min="62" max="62" width="12.77734375" style="1" hidden="1" customWidth="1"/>
    <col min="63" max="65" width="11.44140625" style="1" hidden="1" customWidth="1"/>
    <col min="66" max="68" width="14.33203125" style="2" hidden="1" customWidth="1"/>
    <col min="69" max="69" width="28.33203125" style="2" hidden="1" customWidth="1"/>
    <col min="70" max="81" width="11.44140625" style="2" hidden="1" customWidth="1"/>
    <col min="82" max="84" width="11.44140625" style="1" hidden="1" customWidth="1"/>
    <col min="85" max="107" width="11.44140625" style="1" customWidth="1"/>
    <col min="108" max="16384" width="11.44140625" style="1"/>
  </cols>
  <sheetData>
    <row r="1" spans="1:84" ht="16.95" customHeight="1" x14ac:dyDescent="0.3">
      <c r="A1" s="32" t="s">
        <v>29</v>
      </c>
      <c r="B1" s="33"/>
      <c r="C1" s="19" t="s">
        <v>71</v>
      </c>
      <c r="D1" s="145"/>
      <c r="E1" s="146"/>
      <c r="F1" s="150" t="s">
        <v>24</v>
      </c>
      <c r="G1" s="151"/>
      <c r="H1" s="168"/>
      <c r="I1" s="168"/>
      <c r="J1" s="168"/>
      <c r="K1" s="168"/>
      <c r="L1" s="168"/>
      <c r="M1" s="168"/>
      <c r="N1" s="168"/>
      <c r="O1" s="168"/>
      <c r="P1" s="150" t="s">
        <v>23</v>
      </c>
      <c r="Q1" s="170"/>
      <c r="R1" s="151"/>
      <c r="S1" s="171"/>
      <c r="T1" s="172"/>
      <c r="U1" s="172"/>
      <c r="V1" s="172"/>
      <c r="W1" s="172"/>
      <c r="X1" s="172"/>
      <c r="Y1" s="172"/>
      <c r="Z1" s="173"/>
      <c r="AA1" s="69" t="s">
        <v>157</v>
      </c>
      <c r="AB1" s="148" t="s">
        <v>68</v>
      </c>
      <c r="AC1" s="149"/>
      <c r="AD1" s="69" t="s">
        <v>171</v>
      </c>
      <c r="AE1" s="148" t="s">
        <v>68</v>
      </c>
      <c r="AF1" s="149"/>
      <c r="AG1" s="7"/>
      <c r="AH1" s="7"/>
      <c r="AI1" s="7"/>
      <c r="AJ1" s="125"/>
      <c r="AK1" s="7"/>
      <c r="AL1" s="7"/>
      <c r="AM1" s="7"/>
      <c r="AN1" s="7"/>
      <c r="AO1" s="7"/>
      <c r="AP1" s="7"/>
      <c r="AQ1" s="7"/>
      <c r="AR1" s="7"/>
      <c r="AW1" s="7"/>
      <c r="AX1" s="7"/>
      <c r="AZ1" s="1"/>
      <c r="BB1" s="2"/>
      <c r="BC1" s="7"/>
      <c r="BD1" s="7"/>
    </row>
    <row r="2" spans="1:84" ht="16.95" customHeight="1" x14ac:dyDescent="0.3">
      <c r="A2" s="102" t="s">
        <v>57</v>
      </c>
      <c r="B2" s="103"/>
      <c r="C2" s="102" t="s">
        <v>69</v>
      </c>
      <c r="D2" s="179"/>
      <c r="E2" s="180"/>
      <c r="F2" s="162" t="s">
        <v>22</v>
      </c>
      <c r="G2" s="163"/>
      <c r="H2" s="169"/>
      <c r="I2" s="169"/>
      <c r="J2" s="169"/>
      <c r="K2" s="169"/>
      <c r="L2" s="169"/>
      <c r="M2" s="169"/>
      <c r="N2" s="169"/>
      <c r="O2" s="169"/>
      <c r="P2" s="150" t="s">
        <v>26</v>
      </c>
      <c r="Q2" s="170"/>
      <c r="R2" s="151"/>
      <c r="S2" s="174"/>
      <c r="T2" s="175"/>
      <c r="U2" s="175"/>
      <c r="V2" s="175"/>
      <c r="W2" s="175"/>
      <c r="X2" s="175"/>
      <c r="Y2" s="175"/>
      <c r="Z2" s="176"/>
      <c r="AA2" s="158"/>
      <c r="AB2" s="160"/>
      <c r="AC2" s="160"/>
      <c r="AD2" s="183"/>
      <c r="AE2" s="185"/>
      <c r="AF2" s="186"/>
      <c r="AG2" s="7"/>
      <c r="AH2" s="7"/>
      <c r="AI2" s="7"/>
      <c r="AJ2" s="125"/>
      <c r="AK2" s="7"/>
      <c r="AL2" s="7"/>
      <c r="AM2" s="7"/>
      <c r="AN2" s="7"/>
      <c r="AO2" s="7"/>
      <c r="AP2" s="7"/>
      <c r="AQ2" s="7"/>
      <c r="AR2" s="7"/>
      <c r="AW2" s="7"/>
      <c r="AX2" s="7"/>
      <c r="AY2" s="2"/>
      <c r="AZ2" s="1"/>
      <c r="BC2" s="7"/>
      <c r="BD2" s="7"/>
    </row>
    <row r="3" spans="1:84" customFormat="1" ht="16.95" customHeight="1" thickBot="1" x14ac:dyDescent="0.35">
      <c r="A3" s="101" t="s">
        <v>6</v>
      </c>
      <c r="B3" s="119">
        <f>SUM(AY5:AY204)</f>
        <v>0</v>
      </c>
      <c r="C3" s="101" t="s">
        <v>108</v>
      </c>
      <c r="D3" s="141">
        <f>SUM(BA5:BA204)</f>
        <v>0</v>
      </c>
      <c r="E3" s="142"/>
      <c r="F3" s="101" t="s">
        <v>109</v>
      </c>
      <c r="G3" s="120">
        <f>SUM(BG5:BG204)</f>
        <v>0</v>
      </c>
      <c r="H3" s="164" t="s">
        <v>183</v>
      </c>
      <c r="I3" s="165"/>
      <c r="J3" s="165"/>
      <c r="K3" s="123">
        <f>SUM(AJ5:AJ204)</f>
        <v>0</v>
      </c>
      <c r="L3" s="121" t="s">
        <v>27</v>
      </c>
      <c r="M3" s="122" cm="1">
        <f t="array" ref="M3">SUM(AZ5:AZ204+BF5:BF204)</f>
        <v>0</v>
      </c>
      <c r="N3" s="118" t="s">
        <v>7</v>
      </c>
      <c r="O3" s="133">
        <f>M3/10</f>
        <v>0</v>
      </c>
      <c r="P3" s="166" t="s">
        <v>186</v>
      </c>
      <c r="Q3" s="166"/>
      <c r="R3" s="167"/>
      <c r="S3" s="100"/>
      <c r="T3" s="177" t="s">
        <v>177</v>
      </c>
      <c r="U3" s="178"/>
      <c r="V3" s="100"/>
      <c r="W3" s="136" t="s">
        <v>191</v>
      </c>
      <c r="X3" s="137" t="s">
        <v>151</v>
      </c>
      <c r="Y3" s="136" t="s">
        <v>192</v>
      </c>
      <c r="Z3" s="138">
        <f>IF($X$3="No",(0),"$300")</f>
        <v>0</v>
      </c>
      <c r="AA3" s="159"/>
      <c r="AB3" s="161"/>
      <c r="AC3" s="161"/>
      <c r="AD3" s="184"/>
      <c r="AE3" s="187"/>
      <c r="AF3" s="188"/>
      <c r="AJ3" s="126"/>
    </row>
    <row r="4" spans="1:84" ht="12" customHeight="1" x14ac:dyDescent="0.3">
      <c r="A4" s="104" t="s">
        <v>182</v>
      </c>
      <c r="B4" s="104" t="s">
        <v>21</v>
      </c>
      <c r="C4" s="152" t="s">
        <v>20</v>
      </c>
      <c r="D4" s="153"/>
      <c r="E4" s="104" t="s">
        <v>19</v>
      </c>
      <c r="F4" s="152" t="s">
        <v>196</v>
      </c>
      <c r="G4" s="154"/>
      <c r="H4" s="93" t="s">
        <v>93</v>
      </c>
      <c r="I4" s="93" t="s">
        <v>0</v>
      </c>
      <c r="J4" s="93" t="s">
        <v>18</v>
      </c>
      <c r="K4" s="93" t="s">
        <v>94</v>
      </c>
      <c r="L4" s="93" t="s">
        <v>95</v>
      </c>
      <c r="M4" s="93" t="s">
        <v>96</v>
      </c>
      <c r="N4" s="152" t="s">
        <v>97</v>
      </c>
      <c r="O4" s="154"/>
      <c r="P4" s="55" t="s">
        <v>98</v>
      </c>
      <c r="Q4" s="55" t="s">
        <v>99</v>
      </c>
      <c r="R4" s="55" t="s">
        <v>100</v>
      </c>
      <c r="S4" s="55" t="s">
        <v>101</v>
      </c>
      <c r="T4" s="55" t="s">
        <v>102</v>
      </c>
      <c r="U4" s="55" t="s">
        <v>103</v>
      </c>
      <c r="V4" s="55" t="s">
        <v>104</v>
      </c>
      <c r="W4" s="55" t="s">
        <v>105</v>
      </c>
      <c r="X4" s="155" t="s">
        <v>17</v>
      </c>
      <c r="Y4" s="156"/>
      <c r="Z4" s="157"/>
      <c r="AA4" s="105" t="s">
        <v>25</v>
      </c>
      <c r="AB4" s="106" t="s">
        <v>180</v>
      </c>
      <c r="AC4" s="107" t="s">
        <v>181</v>
      </c>
      <c r="AD4" s="108" t="s">
        <v>158</v>
      </c>
      <c r="AE4" s="107" t="s">
        <v>30</v>
      </c>
      <c r="AF4" s="71" t="s">
        <v>28</v>
      </c>
      <c r="AH4" s="73" t="s">
        <v>153</v>
      </c>
      <c r="AI4" s="18"/>
      <c r="AJ4" s="127" t="s">
        <v>184</v>
      </c>
      <c r="AL4" s="52" t="s">
        <v>169</v>
      </c>
      <c r="AM4" s="81" t="s">
        <v>106</v>
      </c>
      <c r="AN4" s="81" t="s">
        <v>174</v>
      </c>
      <c r="AO4" s="52" t="s">
        <v>173</v>
      </c>
      <c r="AP4" s="52" t="s">
        <v>170</v>
      </c>
      <c r="AQ4" s="27" t="s">
        <v>82</v>
      </c>
      <c r="AR4" s="28" t="s">
        <v>83</v>
      </c>
      <c r="AS4" s="27" t="s">
        <v>16</v>
      </c>
      <c r="AT4" s="16" t="s">
        <v>11</v>
      </c>
      <c r="AU4" s="16" t="s">
        <v>10</v>
      </c>
      <c r="AV4" s="18"/>
      <c r="AW4" s="52" t="s">
        <v>175</v>
      </c>
      <c r="AX4" s="52" t="s">
        <v>178</v>
      </c>
      <c r="AY4" s="52" t="s">
        <v>15</v>
      </c>
      <c r="AZ4" s="52" t="s">
        <v>14</v>
      </c>
      <c r="BA4" s="52" t="s">
        <v>155</v>
      </c>
      <c r="BB4" s="18"/>
      <c r="BC4" s="52" t="s">
        <v>176</v>
      </c>
      <c r="BD4" s="52" t="s">
        <v>179</v>
      </c>
      <c r="BE4" s="52" t="s">
        <v>13</v>
      </c>
      <c r="BF4" s="52" t="s">
        <v>12</v>
      </c>
      <c r="BG4" s="52" t="s">
        <v>156</v>
      </c>
      <c r="BI4" s="17"/>
      <c r="BJ4" s="16" t="s">
        <v>11</v>
      </c>
      <c r="BK4" s="131" t="s">
        <v>10</v>
      </c>
      <c r="BL4" s="27" t="s">
        <v>82</v>
      </c>
      <c r="BN4" s="2" t="s">
        <v>56</v>
      </c>
      <c r="BO4" s="2" t="s">
        <v>60</v>
      </c>
      <c r="BP4" s="2" t="s">
        <v>19</v>
      </c>
      <c r="BQ4" s="2" t="s">
        <v>195</v>
      </c>
      <c r="BR4" s="2" t="s">
        <v>110</v>
      </c>
      <c r="BS4" s="2" t="s">
        <v>111</v>
      </c>
      <c r="BT4" s="2" t="s">
        <v>112</v>
      </c>
      <c r="BU4" s="2" t="s">
        <v>31</v>
      </c>
      <c r="BV4" s="2" t="s">
        <v>113</v>
      </c>
      <c r="BW4" s="2" t="s">
        <v>114</v>
      </c>
      <c r="BX4" s="2" t="s">
        <v>115</v>
      </c>
      <c r="BY4" s="2" t="s">
        <v>116</v>
      </c>
      <c r="BZ4" s="2" t="s">
        <v>117</v>
      </c>
      <c r="CA4" s="2" t="s">
        <v>118</v>
      </c>
      <c r="CB4" s="2" t="s">
        <v>119</v>
      </c>
      <c r="CC4" s="2" t="s">
        <v>187</v>
      </c>
      <c r="CE4" s="77" t="s">
        <v>172</v>
      </c>
      <c r="CF4" s="77" t="s">
        <v>159</v>
      </c>
    </row>
    <row r="5" spans="1:84" ht="12" customHeight="1" thickBot="1" x14ac:dyDescent="0.35">
      <c r="A5" s="15">
        <v>1</v>
      </c>
      <c r="B5" s="15"/>
      <c r="C5" s="143"/>
      <c r="D5" s="144"/>
      <c r="E5" s="15"/>
      <c r="F5" s="143"/>
      <c r="G5" s="147"/>
      <c r="H5" s="52"/>
      <c r="I5" s="14"/>
      <c r="J5" s="36"/>
      <c r="K5" s="36"/>
      <c r="L5" s="13"/>
      <c r="M5" s="56"/>
      <c r="N5" s="145"/>
      <c r="O5" s="146"/>
      <c r="P5" s="57"/>
      <c r="Q5" s="36"/>
      <c r="R5" s="36"/>
      <c r="S5" s="36"/>
      <c r="T5" s="36"/>
      <c r="U5" s="36"/>
      <c r="V5" s="36"/>
      <c r="W5" s="36" t="s">
        <v>151</v>
      </c>
      <c r="X5" s="143"/>
      <c r="Y5" s="144"/>
      <c r="Z5" s="147"/>
      <c r="AA5" s="12"/>
      <c r="AB5" s="88">
        <v>30</v>
      </c>
      <c r="AC5" s="89"/>
      <c r="AD5" s="76"/>
      <c r="AE5" s="75"/>
      <c r="AF5" s="11">
        <f t="shared" ref="AF5:AF36" si="0">SUM(AT5+AU5)</f>
        <v>0</v>
      </c>
      <c r="AH5" s="74">
        <v>40</v>
      </c>
      <c r="AI5" s="124"/>
      <c r="AJ5" s="127">
        <f t="shared" ref="AJ5:AJ36" si="1">(I5*H5)/12</f>
        <v>0</v>
      </c>
      <c r="AL5" s="53">
        <f t="shared" ref="AL5:AL36" si="2">IFERROR((AY5/$B$3)*$AA$2,0)</f>
        <v>0</v>
      </c>
      <c r="AM5" s="53">
        <f t="shared" ref="AM5:AM36" si="3">AA5+AL5</f>
        <v>0</v>
      </c>
      <c r="AN5" s="53">
        <f>(AD5/60)*$AH$5</f>
        <v>0</v>
      </c>
      <c r="AO5" s="90">
        <f t="shared" ref="AO5:AO36" si="4">IFERROR((AY5/$B$3)*($AD$2*$AH$5),0)</f>
        <v>0</v>
      </c>
      <c r="AP5" s="90">
        <f t="shared" ref="AP5:AP36" si="5">IF($S$3="Yes",(AY5/$B$3)*($AH$5*2),0)</f>
        <v>0</v>
      </c>
      <c r="AQ5" s="29">
        <f t="shared" ref="AQ5:AQ36" si="6">((AZ5+BF5))*$AH$8</f>
        <v>0</v>
      </c>
      <c r="AR5" s="30">
        <f t="shared" ref="AR5:AR36" si="7">AF5*$AC$210</f>
        <v>0</v>
      </c>
      <c r="AS5" s="29">
        <f t="shared" ref="AS5:AS36" si="8">AF5-AT5-AR5-AQ5</f>
        <v>0</v>
      </c>
      <c r="AT5" s="10">
        <f>SUM(AM5+AW5+AN5+AO5+AP5+BC5+AX5+BD5)</f>
        <v>0</v>
      </c>
      <c r="AU5" s="10">
        <f t="shared" ref="AU5:AU36" si="9">AT5*$AC$214</f>
        <v>0</v>
      </c>
      <c r="AV5" s="3"/>
      <c r="AW5" s="53">
        <f>IF($X$3="No",((AB5*BA5)/60)*$AH$5,((AB5*BA5)/60)*$AH$11)</f>
        <v>0</v>
      </c>
      <c r="AX5" s="53" t="str">
        <f>IF($V$3="Yes",((AW5+AN5+AO5)*0.4),"0")</f>
        <v>0</v>
      </c>
      <c r="AY5" s="95">
        <f t="shared" ref="AY5:AY36" si="10">(I5*J5*H5)/144</f>
        <v>0</v>
      </c>
      <c r="AZ5" s="95">
        <f>IF($X$3="No",((AN5+AW5+AO5)/$AH$5),((AN5+AW5+AO5)/$AH$11))</f>
        <v>0</v>
      </c>
      <c r="BA5" s="36">
        <f t="shared" ref="BA5:BA36" si="11">H5</f>
        <v>0</v>
      </c>
      <c r="BB5" s="2"/>
      <c r="BC5" s="53">
        <f>IF($X$3="No",((((AC5)*BG5)/60)*$AH$5),((((AC5)*BG5)/60)*$AH$11))</f>
        <v>0</v>
      </c>
      <c r="BD5" s="53" t="str">
        <f t="shared" ref="BD5:BD36" si="12">IF($V$3="Yes",(BC5*0.4),"0")</f>
        <v>0</v>
      </c>
      <c r="BE5" s="95">
        <f t="shared" ref="BE5:BE36" si="13">IF(W5="Yes",((I5*J5*H5)/144),0)</f>
        <v>0</v>
      </c>
      <c r="BF5" s="95">
        <f>IF($X$3="No",(BC5/$AH$5),(BC5/$AH$11))</f>
        <v>0</v>
      </c>
      <c r="BG5" s="36" t="str">
        <f t="shared" ref="BG5:BG36" si="14">IF(W5="Yes",H5,"0")</f>
        <v>0</v>
      </c>
      <c r="BI5" s="16" t="s">
        <v>9</v>
      </c>
      <c r="BJ5" s="10">
        <f>SUM(Q207:Q209)+(Q210*$AH$5)+(Q211*$AH$5)</f>
        <v>0</v>
      </c>
      <c r="BK5" s="132">
        <f>BJ5*T208</f>
        <v>0</v>
      </c>
      <c r="BL5" s="53">
        <f>(Q210+Q211)*$AH$8</f>
        <v>0</v>
      </c>
      <c r="BN5" s="2" t="s">
        <v>58</v>
      </c>
      <c r="BO5" s="2" t="s">
        <v>62</v>
      </c>
      <c r="BP5" s="64" t="s">
        <v>160</v>
      </c>
      <c r="BQ5" s="64" t="s">
        <v>162</v>
      </c>
      <c r="BR5" s="2" t="s">
        <v>120</v>
      </c>
      <c r="BS5" s="2" t="s">
        <v>124</v>
      </c>
      <c r="BT5" s="2" t="s">
        <v>127</v>
      </c>
      <c r="BU5" s="2" t="s">
        <v>32</v>
      </c>
      <c r="BV5" s="2" t="s">
        <v>129</v>
      </c>
      <c r="BW5" s="2" t="s">
        <v>152</v>
      </c>
      <c r="BX5" s="2" t="s">
        <v>152</v>
      </c>
      <c r="BY5" s="66" t="s">
        <v>152</v>
      </c>
      <c r="BZ5" s="67" t="s">
        <v>152</v>
      </c>
      <c r="CA5" s="66" t="s">
        <v>142</v>
      </c>
      <c r="CB5" s="66" t="s">
        <v>150</v>
      </c>
      <c r="CC5" s="66" t="s">
        <v>151</v>
      </c>
      <c r="CE5" s="92">
        <v>0</v>
      </c>
      <c r="CF5" s="87">
        <v>5</v>
      </c>
    </row>
    <row r="6" spans="1:84" ht="12" customHeight="1" thickBot="1" x14ac:dyDescent="0.35">
      <c r="A6" s="15">
        <v>2</v>
      </c>
      <c r="B6" s="15"/>
      <c r="C6" s="143"/>
      <c r="D6" s="144"/>
      <c r="E6" s="15"/>
      <c r="F6" s="143"/>
      <c r="G6" s="147"/>
      <c r="H6" s="52"/>
      <c r="I6" s="14"/>
      <c r="J6" s="36"/>
      <c r="K6" s="36"/>
      <c r="L6" s="13"/>
      <c r="M6" s="56"/>
      <c r="N6" s="145"/>
      <c r="O6" s="146"/>
      <c r="P6" s="57"/>
      <c r="Q6" s="36"/>
      <c r="R6" s="36"/>
      <c r="S6" s="36"/>
      <c r="T6" s="36"/>
      <c r="U6" s="36"/>
      <c r="V6" s="36"/>
      <c r="W6" s="36" t="s">
        <v>151</v>
      </c>
      <c r="X6" s="143"/>
      <c r="Y6" s="144"/>
      <c r="Z6" s="147"/>
      <c r="AA6" s="12"/>
      <c r="AB6" s="89"/>
      <c r="AC6" s="89"/>
      <c r="AD6" s="76"/>
      <c r="AE6" s="75"/>
      <c r="AF6" s="11">
        <f t="shared" si="0"/>
        <v>0</v>
      </c>
      <c r="AH6" s="2"/>
      <c r="AI6" s="2"/>
      <c r="AJ6" s="127">
        <f t="shared" si="1"/>
        <v>0</v>
      </c>
      <c r="AL6" s="53">
        <f t="shared" si="2"/>
        <v>0</v>
      </c>
      <c r="AM6" s="53">
        <f t="shared" si="3"/>
        <v>0</v>
      </c>
      <c r="AN6" s="53">
        <f t="shared" ref="AN6:AN204" si="15">(AD6/60)*$AH$5</f>
        <v>0</v>
      </c>
      <c r="AO6" s="90">
        <f t="shared" si="4"/>
        <v>0</v>
      </c>
      <c r="AP6" s="90">
        <f t="shared" si="5"/>
        <v>0</v>
      </c>
      <c r="AQ6" s="29">
        <f t="shared" si="6"/>
        <v>0</v>
      </c>
      <c r="AR6" s="30">
        <f t="shared" si="7"/>
        <v>0</v>
      </c>
      <c r="AS6" s="29">
        <f t="shared" si="8"/>
        <v>0</v>
      </c>
      <c r="AT6" s="10">
        <f t="shared" ref="AT6:AT204" si="16">SUM(AM6+AW6+AN6+AO6+AP6+BC6+AX6+BD6)</f>
        <v>0</v>
      </c>
      <c r="AU6" s="10">
        <f t="shared" si="9"/>
        <v>0</v>
      </c>
      <c r="AV6" s="3"/>
      <c r="AW6" s="53">
        <f t="shared" ref="AW6:AW69" si="17">IF($X$3="No",((AB6*BA6)/60)*$AH$5,((AB6*BA6)/60)*$AH$11)</f>
        <v>0</v>
      </c>
      <c r="AX6" s="53" t="str">
        <f t="shared" ref="AX6:AX69" si="18">IF($V$3="Yes",((AW6+AN6+AO6)*0.4),"0")</f>
        <v>0</v>
      </c>
      <c r="AY6" s="95">
        <f t="shared" si="10"/>
        <v>0</v>
      </c>
      <c r="AZ6" s="95">
        <f t="shared" ref="AZ6:AZ69" si="19">IF($X$3="No",((AN6+AW6+AO6)/$AH$5),((AN6+AW6+AO6)/$AH$11))</f>
        <v>0</v>
      </c>
      <c r="BA6" s="36">
        <f t="shared" si="11"/>
        <v>0</v>
      </c>
      <c r="BB6" s="2"/>
      <c r="BC6" s="53">
        <f t="shared" ref="BC6:BC69" si="20">IF($X$3="No",((((AC6)*BG6)/60)*$AH$5),((((AC6)*BG6)/60)*$AH$11))</f>
        <v>0</v>
      </c>
      <c r="BD6" s="53" t="str">
        <f t="shared" si="12"/>
        <v>0</v>
      </c>
      <c r="BE6" s="95">
        <f t="shared" si="13"/>
        <v>0</v>
      </c>
      <c r="BF6" s="95">
        <f t="shared" ref="BF6:BF69" si="21">IF($X$3="No",(BC6/$AH$5),(BC6/$AH$11))</f>
        <v>0</v>
      </c>
      <c r="BG6" s="36" t="str">
        <f t="shared" si="14"/>
        <v>0</v>
      </c>
      <c r="BI6" s="16" t="s">
        <v>8</v>
      </c>
      <c r="BJ6" s="10">
        <f>SUM(Q213:Q215)+(Q216*$AH$5)+(Q217*$AH$5)</f>
        <v>0</v>
      </c>
      <c r="BK6" s="132">
        <f>BJ6*T214</f>
        <v>0</v>
      </c>
      <c r="BL6" s="53">
        <f>(Q216+Q217)*$AH$8</f>
        <v>0</v>
      </c>
      <c r="BN6" s="2" t="s">
        <v>63</v>
      </c>
      <c r="BO6" s="2" t="s">
        <v>61</v>
      </c>
      <c r="BP6" s="64" t="s">
        <v>161</v>
      </c>
      <c r="BQ6" s="64" t="s">
        <v>163</v>
      </c>
      <c r="BR6" s="2" t="s">
        <v>121</v>
      </c>
      <c r="BS6" s="2" t="s">
        <v>125</v>
      </c>
      <c r="BT6" s="2" t="s">
        <v>128</v>
      </c>
      <c r="BU6" s="2" t="s">
        <v>33</v>
      </c>
      <c r="BV6" s="65" t="s">
        <v>130</v>
      </c>
      <c r="BW6" s="2" t="s">
        <v>132</v>
      </c>
      <c r="BX6" s="2" t="s">
        <v>136</v>
      </c>
      <c r="BY6" s="66" t="s">
        <v>145</v>
      </c>
      <c r="BZ6" s="67" t="s">
        <v>145</v>
      </c>
      <c r="CA6" s="63" t="s">
        <v>143</v>
      </c>
      <c r="CB6" s="63" t="s">
        <v>151</v>
      </c>
      <c r="CC6" s="63" t="s">
        <v>188</v>
      </c>
      <c r="CE6" s="78">
        <v>1</v>
      </c>
      <c r="CF6" s="78">
        <v>10</v>
      </c>
    </row>
    <row r="7" spans="1:84" ht="12" customHeight="1" x14ac:dyDescent="0.3">
      <c r="A7" s="15">
        <v>3</v>
      </c>
      <c r="B7" s="15"/>
      <c r="C7" s="143"/>
      <c r="D7" s="144"/>
      <c r="E7" s="15"/>
      <c r="F7" s="143"/>
      <c r="G7" s="147"/>
      <c r="H7" s="52"/>
      <c r="I7" s="14"/>
      <c r="J7" s="36"/>
      <c r="K7" s="36"/>
      <c r="L7" s="13"/>
      <c r="M7" s="56"/>
      <c r="N7" s="145"/>
      <c r="O7" s="146"/>
      <c r="P7" s="57"/>
      <c r="Q7" s="36"/>
      <c r="R7" s="36"/>
      <c r="S7" s="36"/>
      <c r="T7" s="36"/>
      <c r="U7" s="36"/>
      <c r="V7" s="36"/>
      <c r="W7" s="36" t="s">
        <v>151</v>
      </c>
      <c r="X7" s="143"/>
      <c r="Y7" s="144"/>
      <c r="Z7" s="147"/>
      <c r="AA7" s="12"/>
      <c r="AB7" s="89"/>
      <c r="AC7" s="89"/>
      <c r="AD7" s="76"/>
      <c r="AE7" s="75"/>
      <c r="AF7" s="11">
        <f t="shared" si="0"/>
        <v>0</v>
      </c>
      <c r="AH7" s="73" t="s">
        <v>154</v>
      </c>
      <c r="AI7" s="18"/>
      <c r="AJ7" s="127">
        <f t="shared" si="1"/>
        <v>0</v>
      </c>
      <c r="AL7" s="53">
        <f t="shared" si="2"/>
        <v>0</v>
      </c>
      <c r="AM7" s="53">
        <f t="shared" si="3"/>
        <v>0</v>
      </c>
      <c r="AN7" s="53">
        <f t="shared" si="15"/>
        <v>0</v>
      </c>
      <c r="AO7" s="90">
        <f t="shared" si="4"/>
        <v>0</v>
      </c>
      <c r="AP7" s="90">
        <f t="shared" si="5"/>
        <v>0</v>
      </c>
      <c r="AQ7" s="29">
        <f t="shared" si="6"/>
        <v>0</v>
      </c>
      <c r="AR7" s="30">
        <f t="shared" si="7"/>
        <v>0</v>
      </c>
      <c r="AS7" s="29">
        <f t="shared" si="8"/>
        <v>0</v>
      </c>
      <c r="AT7" s="10">
        <f t="shared" si="16"/>
        <v>0</v>
      </c>
      <c r="AU7" s="10">
        <f t="shared" si="9"/>
        <v>0</v>
      </c>
      <c r="AV7" s="3"/>
      <c r="AW7" s="53">
        <f t="shared" si="17"/>
        <v>0</v>
      </c>
      <c r="AX7" s="53" t="str">
        <f t="shared" si="18"/>
        <v>0</v>
      </c>
      <c r="AY7" s="95">
        <f t="shared" si="10"/>
        <v>0</v>
      </c>
      <c r="AZ7" s="95">
        <f t="shared" si="19"/>
        <v>0</v>
      </c>
      <c r="BA7" s="36">
        <f t="shared" si="11"/>
        <v>0</v>
      </c>
      <c r="BB7" s="2"/>
      <c r="BC7" s="53">
        <f t="shared" si="20"/>
        <v>0</v>
      </c>
      <c r="BD7" s="53" t="str">
        <f t="shared" si="12"/>
        <v>0</v>
      </c>
      <c r="BE7" s="95">
        <f t="shared" si="13"/>
        <v>0</v>
      </c>
      <c r="BF7" s="95">
        <f t="shared" si="21"/>
        <v>0</v>
      </c>
      <c r="BG7" s="36" t="str">
        <f t="shared" si="14"/>
        <v>0</v>
      </c>
      <c r="BN7" s="2" t="s">
        <v>59</v>
      </c>
      <c r="BO7" s="2" t="s">
        <v>70</v>
      </c>
      <c r="BP7" s="64" t="s">
        <v>197</v>
      </c>
      <c r="BQ7" s="64" t="s">
        <v>164</v>
      </c>
      <c r="BR7" s="2" t="s">
        <v>122</v>
      </c>
      <c r="BS7" s="2" t="s">
        <v>126</v>
      </c>
      <c r="BU7" s="2" t="s">
        <v>34</v>
      </c>
      <c r="BV7" s="2" t="s">
        <v>131</v>
      </c>
      <c r="BW7" s="2" t="s">
        <v>133</v>
      </c>
      <c r="BX7" s="2" t="s">
        <v>137</v>
      </c>
      <c r="BY7" s="63" t="s">
        <v>143</v>
      </c>
      <c r="BZ7" s="68" t="s">
        <v>143</v>
      </c>
      <c r="CA7" s="66" t="s">
        <v>149</v>
      </c>
      <c r="CB7" s="66" t="s">
        <v>126</v>
      </c>
      <c r="CC7" s="66" t="s">
        <v>189</v>
      </c>
      <c r="CE7" s="92">
        <v>1.5</v>
      </c>
      <c r="CF7" s="78">
        <v>15</v>
      </c>
    </row>
    <row r="8" spans="1:84" ht="12" customHeight="1" thickBot="1" x14ac:dyDescent="0.35">
      <c r="A8" s="15">
        <v>4</v>
      </c>
      <c r="B8" s="15"/>
      <c r="C8" s="143"/>
      <c r="D8" s="144"/>
      <c r="E8" s="15"/>
      <c r="F8" s="143"/>
      <c r="G8" s="147"/>
      <c r="H8" s="52"/>
      <c r="I8" s="14"/>
      <c r="J8" s="36"/>
      <c r="K8" s="36"/>
      <c r="L8" s="13"/>
      <c r="M8" s="56"/>
      <c r="N8" s="145"/>
      <c r="O8" s="146"/>
      <c r="P8" s="57"/>
      <c r="Q8" s="36"/>
      <c r="R8" s="36"/>
      <c r="S8" s="36"/>
      <c r="T8" s="36"/>
      <c r="U8" s="36"/>
      <c r="V8" s="36"/>
      <c r="W8" s="36" t="s">
        <v>151</v>
      </c>
      <c r="X8" s="143"/>
      <c r="Y8" s="144"/>
      <c r="Z8" s="147"/>
      <c r="AA8" s="12"/>
      <c r="AB8" s="89"/>
      <c r="AC8" s="89"/>
      <c r="AD8" s="76"/>
      <c r="AE8" s="75"/>
      <c r="AF8" s="11">
        <f t="shared" si="0"/>
        <v>0</v>
      </c>
      <c r="AH8" s="74">
        <v>45</v>
      </c>
      <c r="AI8" s="124"/>
      <c r="AJ8" s="127">
        <f t="shared" si="1"/>
        <v>0</v>
      </c>
      <c r="AL8" s="53">
        <f t="shared" si="2"/>
        <v>0</v>
      </c>
      <c r="AM8" s="53">
        <f t="shared" si="3"/>
        <v>0</v>
      </c>
      <c r="AN8" s="53">
        <f t="shared" si="15"/>
        <v>0</v>
      </c>
      <c r="AO8" s="90">
        <f t="shared" si="4"/>
        <v>0</v>
      </c>
      <c r="AP8" s="90">
        <f t="shared" si="5"/>
        <v>0</v>
      </c>
      <c r="AQ8" s="29">
        <f t="shared" si="6"/>
        <v>0</v>
      </c>
      <c r="AR8" s="30">
        <f t="shared" si="7"/>
        <v>0</v>
      </c>
      <c r="AS8" s="29">
        <f t="shared" si="8"/>
        <v>0</v>
      </c>
      <c r="AT8" s="10">
        <f t="shared" si="16"/>
        <v>0</v>
      </c>
      <c r="AU8" s="10">
        <f t="shared" si="9"/>
        <v>0</v>
      </c>
      <c r="AV8" s="3"/>
      <c r="AW8" s="53">
        <f t="shared" si="17"/>
        <v>0</v>
      </c>
      <c r="AX8" s="53" t="str">
        <f t="shared" si="18"/>
        <v>0</v>
      </c>
      <c r="AY8" s="95">
        <f t="shared" si="10"/>
        <v>0</v>
      </c>
      <c r="AZ8" s="95">
        <f t="shared" si="19"/>
        <v>0</v>
      </c>
      <c r="BA8" s="36">
        <f t="shared" si="11"/>
        <v>0</v>
      </c>
      <c r="BB8" s="2"/>
      <c r="BC8" s="53">
        <f t="shared" si="20"/>
        <v>0</v>
      </c>
      <c r="BD8" s="53" t="str">
        <f t="shared" si="12"/>
        <v>0</v>
      </c>
      <c r="BE8" s="95">
        <f t="shared" si="13"/>
        <v>0</v>
      </c>
      <c r="BF8" s="95">
        <f t="shared" si="21"/>
        <v>0</v>
      </c>
      <c r="BG8" s="36" t="str">
        <f t="shared" si="14"/>
        <v>0</v>
      </c>
      <c r="BI8" s="51"/>
      <c r="BJ8" s="51" t="s">
        <v>88</v>
      </c>
      <c r="BN8" s="2" t="s">
        <v>65</v>
      </c>
      <c r="BP8" s="64" t="s">
        <v>198</v>
      </c>
      <c r="BQ8" s="64" t="s">
        <v>193</v>
      </c>
      <c r="BR8" s="2" t="s">
        <v>123</v>
      </c>
      <c r="BU8" s="2" t="s">
        <v>35</v>
      </c>
      <c r="BW8" s="2" t="s">
        <v>134</v>
      </c>
      <c r="BX8" s="2" t="s">
        <v>138</v>
      </c>
      <c r="BY8" s="66" t="s">
        <v>142</v>
      </c>
      <c r="BZ8" s="67" t="s">
        <v>142</v>
      </c>
      <c r="CA8" s="63"/>
      <c r="CB8" s="63"/>
      <c r="CC8" s="63"/>
      <c r="CE8" s="78">
        <v>2</v>
      </c>
      <c r="CF8" s="78">
        <v>20</v>
      </c>
    </row>
    <row r="9" spans="1:84" ht="12" customHeight="1" thickBot="1" x14ac:dyDescent="0.35">
      <c r="A9" s="15">
        <v>5</v>
      </c>
      <c r="B9" s="15"/>
      <c r="C9" s="143"/>
      <c r="D9" s="144"/>
      <c r="E9" s="15"/>
      <c r="F9" s="143"/>
      <c r="G9" s="147"/>
      <c r="H9" s="52"/>
      <c r="I9" s="14"/>
      <c r="J9" s="36"/>
      <c r="K9" s="36"/>
      <c r="L9" s="13"/>
      <c r="M9" s="56"/>
      <c r="N9" s="145"/>
      <c r="O9" s="146"/>
      <c r="P9" s="57"/>
      <c r="Q9" s="36"/>
      <c r="R9" s="36"/>
      <c r="S9" s="36"/>
      <c r="T9" s="36"/>
      <c r="U9" s="36"/>
      <c r="V9" s="36"/>
      <c r="W9" s="36" t="s">
        <v>151</v>
      </c>
      <c r="X9" s="143"/>
      <c r="Y9" s="144"/>
      <c r="Z9" s="147"/>
      <c r="AA9" s="12"/>
      <c r="AB9" s="89"/>
      <c r="AC9" s="89"/>
      <c r="AD9" s="76"/>
      <c r="AE9" s="75"/>
      <c r="AF9" s="11">
        <f t="shared" si="0"/>
        <v>0</v>
      </c>
      <c r="AJ9" s="127">
        <f t="shared" si="1"/>
        <v>0</v>
      </c>
      <c r="AL9" s="53">
        <f t="shared" si="2"/>
        <v>0</v>
      </c>
      <c r="AM9" s="53">
        <f t="shared" si="3"/>
        <v>0</v>
      </c>
      <c r="AN9" s="53">
        <f t="shared" si="15"/>
        <v>0</v>
      </c>
      <c r="AO9" s="90">
        <f t="shared" si="4"/>
        <v>0</v>
      </c>
      <c r="AP9" s="90">
        <f t="shared" si="5"/>
        <v>0</v>
      </c>
      <c r="AQ9" s="29">
        <f t="shared" si="6"/>
        <v>0</v>
      </c>
      <c r="AR9" s="30">
        <f t="shared" si="7"/>
        <v>0</v>
      </c>
      <c r="AS9" s="29">
        <f t="shared" si="8"/>
        <v>0</v>
      </c>
      <c r="AT9" s="10">
        <f t="shared" si="16"/>
        <v>0</v>
      </c>
      <c r="AU9" s="10">
        <f t="shared" si="9"/>
        <v>0</v>
      </c>
      <c r="AV9" s="3"/>
      <c r="AW9" s="53">
        <f t="shared" si="17"/>
        <v>0</v>
      </c>
      <c r="AX9" s="53" t="str">
        <f t="shared" si="18"/>
        <v>0</v>
      </c>
      <c r="AY9" s="95">
        <f t="shared" si="10"/>
        <v>0</v>
      </c>
      <c r="AZ9" s="95">
        <f t="shared" si="19"/>
        <v>0</v>
      </c>
      <c r="BA9" s="36">
        <f t="shared" si="11"/>
        <v>0</v>
      </c>
      <c r="BB9" s="2"/>
      <c r="BC9" s="53">
        <f t="shared" si="20"/>
        <v>0</v>
      </c>
      <c r="BD9" s="53" t="str">
        <f t="shared" si="12"/>
        <v>0</v>
      </c>
      <c r="BE9" s="95">
        <f t="shared" si="13"/>
        <v>0</v>
      </c>
      <c r="BF9" s="95">
        <f t="shared" si="21"/>
        <v>0</v>
      </c>
      <c r="BG9" s="36" t="str">
        <f t="shared" si="14"/>
        <v>0</v>
      </c>
      <c r="BI9" s="52" t="s">
        <v>9</v>
      </c>
      <c r="BJ9" s="53">
        <f>IF(W211&lt;&gt;"",W211,W210)</f>
        <v>0</v>
      </c>
      <c r="BN9" s="2" t="s">
        <v>64</v>
      </c>
      <c r="BP9" s="64" t="s">
        <v>199</v>
      </c>
      <c r="BQ9" s="64" t="s">
        <v>194</v>
      </c>
      <c r="BU9" s="2" t="s">
        <v>36</v>
      </c>
      <c r="BW9" s="2" t="s">
        <v>135</v>
      </c>
      <c r="BX9" s="2" t="s">
        <v>139</v>
      </c>
      <c r="BY9" s="63" t="s">
        <v>144</v>
      </c>
      <c r="BZ9" s="68" t="s">
        <v>144</v>
      </c>
      <c r="CA9" s="63"/>
      <c r="CB9" s="63"/>
      <c r="CC9" s="63"/>
      <c r="CE9" s="92">
        <v>2.5</v>
      </c>
      <c r="CF9" s="78">
        <v>30</v>
      </c>
    </row>
    <row r="10" spans="1:84" ht="12" customHeight="1" x14ac:dyDescent="0.3">
      <c r="A10" s="15">
        <v>6</v>
      </c>
      <c r="B10" s="15"/>
      <c r="C10" s="143"/>
      <c r="D10" s="144"/>
      <c r="E10" s="15"/>
      <c r="F10" s="143"/>
      <c r="G10" s="147"/>
      <c r="H10" s="52"/>
      <c r="I10" s="14"/>
      <c r="J10" s="36"/>
      <c r="K10" s="36"/>
      <c r="L10" s="13"/>
      <c r="M10" s="56"/>
      <c r="N10" s="145"/>
      <c r="O10" s="146"/>
      <c r="P10" s="57"/>
      <c r="Q10" s="36"/>
      <c r="R10" s="36"/>
      <c r="S10" s="36"/>
      <c r="T10" s="36"/>
      <c r="U10" s="36"/>
      <c r="V10" s="36"/>
      <c r="W10" s="36" t="s">
        <v>151</v>
      </c>
      <c r="X10" s="143"/>
      <c r="Y10" s="144"/>
      <c r="Z10" s="147"/>
      <c r="AA10" s="12"/>
      <c r="AB10" s="89"/>
      <c r="AC10" s="89"/>
      <c r="AD10" s="76"/>
      <c r="AE10" s="75"/>
      <c r="AF10" s="11">
        <f t="shared" si="0"/>
        <v>0</v>
      </c>
      <c r="AH10" s="134" t="s">
        <v>190</v>
      </c>
      <c r="AJ10" s="127">
        <f t="shared" si="1"/>
        <v>0</v>
      </c>
      <c r="AL10" s="53">
        <f t="shared" si="2"/>
        <v>0</v>
      </c>
      <c r="AM10" s="53">
        <f t="shared" si="3"/>
        <v>0</v>
      </c>
      <c r="AN10" s="53">
        <f t="shared" si="15"/>
        <v>0</v>
      </c>
      <c r="AO10" s="90">
        <f t="shared" si="4"/>
        <v>0</v>
      </c>
      <c r="AP10" s="90">
        <f t="shared" si="5"/>
        <v>0</v>
      </c>
      <c r="AQ10" s="29">
        <f t="shared" si="6"/>
        <v>0</v>
      </c>
      <c r="AR10" s="30">
        <f t="shared" si="7"/>
        <v>0</v>
      </c>
      <c r="AS10" s="29">
        <f t="shared" si="8"/>
        <v>0</v>
      </c>
      <c r="AT10" s="10">
        <f t="shared" si="16"/>
        <v>0</v>
      </c>
      <c r="AU10" s="10">
        <f t="shared" si="9"/>
        <v>0</v>
      </c>
      <c r="AV10" s="3"/>
      <c r="AW10" s="53">
        <f t="shared" si="17"/>
        <v>0</v>
      </c>
      <c r="AX10" s="53" t="str">
        <f t="shared" si="18"/>
        <v>0</v>
      </c>
      <c r="AY10" s="95">
        <f t="shared" si="10"/>
        <v>0</v>
      </c>
      <c r="AZ10" s="95">
        <f t="shared" si="19"/>
        <v>0</v>
      </c>
      <c r="BA10" s="36">
        <f t="shared" si="11"/>
        <v>0</v>
      </c>
      <c r="BB10" s="2"/>
      <c r="BC10" s="53">
        <f t="shared" si="20"/>
        <v>0</v>
      </c>
      <c r="BD10" s="53" t="str">
        <f t="shared" si="12"/>
        <v>0</v>
      </c>
      <c r="BE10" s="95">
        <f t="shared" si="13"/>
        <v>0</v>
      </c>
      <c r="BF10" s="95">
        <f t="shared" si="21"/>
        <v>0</v>
      </c>
      <c r="BG10" s="36" t="str">
        <f t="shared" si="14"/>
        <v>0</v>
      </c>
      <c r="BI10" s="16" t="s">
        <v>8</v>
      </c>
      <c r="BJ10" s="53">
        <f>IF(W217&lt;&gt;"",W217,W216)</f>
        <v>0</v>
      </c>
      <c r="BN10" s="2" t="s">
        <v>92</v>
      </c>
      <c r="BQ10" s="64" t="s">
        <v>165</v>
      </c>
      <c r="BU10" s="2" t="s">
        <v>37</v>
      </c>
      <c r="BW10" s="64"/>
      <c r="BX10" s="2" t="s">
        <v>140</v>
      </c>
      <c r="BY10" s="66" t="s">
        <v>147</v>
      </c>
      <c r="BZ10" s="67" t="s">
        <v>147</v>
      </c>
      <c r="CA10" s="63"/>
      <c r="CB10" s="63"/>
      <c r="CC10" s="63"/>
      <c r="CE10" s="79">
        <v>3</v>
      </c>
      <c r="CF10" s="78">
        <v>45</v>
      </c>
    </row>
    <row r="11" spans="1:84" ht="12" customHeight="1" thickBot="1" x14ac:dyDescent="0.35">
      <c r="A11" s="15">
        <v>7</v>
      </c>
      <c r="B11" s="15"/>
      <c r="C11" s="143"/>
      <c r="D11" s="144"/>
      <c r="E11" s="15"/>
      <c r="F11" s="143"/>
      <c r="G11" s="147"/>
      <c r="H11" s="52"/>
      <c r="I11" s="14"/>
      <c r="J11" s="36"/>
      <c r="K11" s="36"/>
      <c r="L11" s="13"/>
      <c r="M11" s="56"/>
      <c r="N11" s="145"/>
      <c r="O11" s="146"/>
      <c r="P11" s="57"/>
      <c r="Q11" s="36"/>
      <c r="R11" s="36"/>
      <c r="S11" s="36"/>
      <c r="T11" s="36"/>
      <c r="U11" s="36"/>
      <c r="V11" s="36"/>
      <c r="W11" s="36" t="s">
        <v>151</v>
      </c>
      <c r="X11" s="143"/>
      <c r="Y11" s="144"/>
      <c r="Z11" s="147"/>
      <c r="AA11" s="12"/>
      <c r="AB11" s="89"/>
      <c r="AC11" s="89"/>
      <c r="AD11" s="76"/>
      <c r="AE11" s="75"/>
      <c r="AF11" s="11">
        <f t="shared" si="0"/>
        <v>0</v>
      </c>
      <c r="AH11" s="135" t="b">
        <f>IF(X3="Riverside","$94",IF(X3="San Diego","$83"))</f>
        <v>0</v>
      </c>
      <c r="AJ11" s="127">
        <f t="shared" si="1"/>
        <v>0</v>
      </c>
      <c r="AL11" s="53">
        <f t="shared" si="2"/>
        <v>0</v>
      </c>
      <c r="AM11" s="53">
        <f t="shared" si="3"/>
        <v>0</v>
      </c>
      <c r="AN11" s="53">
        <f t="shared" si="15"/>
        <v>0</v>
      </c>
      <c r="AO11" s="90">
        <f t="shared" si="4"/>
        <v>0</v>
      </c>
      <c r="AP11" s="90">
        <f t="shared" si="5"/>
        <v>0</v>
      </c>
      <c r="AQ11" s="29">
        <f t="shared" si="6"/>
        <v>0</v>
      </c>
      <c r="AR11" s="30">
        <f t="shared" si="7"/>
        <v>0</v>
      </c>
      <c r="AS11" s="29">
        <f t="shared" si="8"/>
        <v>0</v>
      </c>
      <c r="AT11" s="10">
        <f t="shared" si="16"/>
        <v>0</v>
      </c>
      <c r="AU11" s="10">
        <f t="shared" si="9"/>
        <v>0</v>
      </c>
      <c r="AV11" s="3"/>
      <c r="AW11" s="53">
        <f t="shared" si="17"/>
        <v>0</v>
      </c>
      <c r="AX11" s="53" t="str">
        <f t="shared" si="18"/>
        <v>0</v>
      </c>
      <c r="AY11" s="95">
        <f t="shared" si="10"/>
        <v>0</v>
      </c>
      <c r="AZ11" s="95">
        <f t="shared" si="19"/>
        <v>0</v>
      </c>
      <c r="BA11" s="36">
        <f t="shared" si="11"/>
        <v>0</v>
      </c>
      <c r="BB11" s="2"/>
      <c r="BC11" s="53">
        <f t="shared" si="20"/>
        <v>0</v>
      </c>
      <c r="BD11" s="53" t="str">
        <f t="shared" si="12"/>
        <v>0</v>
      </c>
      <c r="BE11" s="95">
        <f t="shared" si="13"/>
        <v>0</v>
      </c>
      <c r="BF11" s="95">
        <f t="shared" si="21"/>
        <v>0</v>
      </c>
      <c r="BG11" s="36" t="str">
        <f t="shared" si="14"/>
        <v>0</v>
      </c>
      <c r="BI11" s="52" t="s">
        <v>89</v>
      </c>
      <c r="BJ11" s="53">
        <f>AE214</f>
        <v>0</v>
      </c>
      <c r="BQ11" s="64" t="s">
        <v>166</v>
      </c>
      <c r="BU11" s="2" t="s">
        <v>38</v>
      </c>
      <c r="BW11" s="64"/>
      <c r="BX11" s="2" t="s">
        <v>141</v>
      </c>
      <c r="BY11" s="63" t="s">
        <v>148</v>
      </c>
      <c r="BZ11" s="68" t="s">
        <v>148</v>
      </c>
      <c r="CA11" s="63"/>
      <c r="CB11" s="63"/>
      <c r="CC11" s="63"/>
      <c r="CE11" s="80">
        <v>3.5</v>
      </c>
      <c r="CF11" s="79">
        <v>60</v>
      </c>
    </row>
    <row r="12" spans="1:84" ht="12" customHeight="1" x14ac:dyDescent="0.3">
      <c r="A12" s="15">
        <v>8</v>
      </c>
      <c r="B12" s="15"/>
      <c r="C12" s="143"/>
      <c r="D12" s="144"/>
      <c r="E12" s="15"/>
      <c r="F12" s="143"/>
      <c r="G12" s="147"/>
      <c r="H12" s="52"/>
      <c r="I12" s="14"/>
      <c r="J12" s="36"/>
      <c r="K12" s="36"/>
      <c r="L12" s="13"/>
      <c r="M12" s="56"/>
      <c r="N12" s="145"/>
      <c r="O12" s="146"/>
      <c r="P12" s="57"/>
      <c r="Q12" s="36"/>
      <c r="R12" s="36"/>
      <c r="S12" s="36"/>
      <c r="T12" s="36"/>
      <c r="U12" s="36"/>
      <c r="V12" s="36"/>
      <c r="W12" s="36" t="s">
        <v>151</v>
      </c>
      <c r="X12" s="143"/>
      <c r="Y12" s="144"/>
      <c r="Z12" s="147"/>
      <c r="AA12" s="12"/>
      <c r="AB12" s="89"/>
      <c r="AC12" s="89"/>
      <c r="AD12" s="76"/>
      <c r="AE12" s="75"/>
      <c r="AF12" s="11">
        <f t="shared" si="0"/>
        <v>0</v>
      </c>
      <c r="AJ12" s="127">
        <f t="shared" si="1"/>
        <v>0</v>
      </c>
      <c r="AL12" s="53">
        <f t="shared" si="2"/>
        <v>0</v>
      </c>
      <c r="AM12" s="53">
        <f t="shared" si="3"/>
        <v>0</v>
      </c>
      <c r="AN12" s="53">
        <f t="shared" si="15"/>
        <v>0</v>
      </c>
      <c r="AO12" s="90">
        <f t="shared" si="4"/>
        <v>0</v>
      </c>
      <c r="AP12" s="90">
        <f t="shared" si="5"/>
        <v>0</v>
      </c>
      <c r="AQ12" s="29">
        <f t="shared" si="6"/>
        <v>0</v>
      </c>
      <c r="AR12" s="30">
        <f t="shared" si="7"/>
        <v>0</v>
      </c>
      <c r="AS12" s="29">
        <f t="shared" si="8"/>
        <v>0</v>
      </c>
      <c r="AT12" s="10">
        <f t="shared" si="16"/>
        <v>0</v>
      </c>
      <c r="AU12" s="10">
        <f t="shared" si="9"/>
        <v>0</v>
      </c>
      <c r="AV12" s="3"/>
      <c r="AW12" s="53">
        <f t="shared" si="17"/>
        <v>0</v>
      </c>
      <c r="AX12" s="53" t="str">
        <f t="shared" si="18"/>
        <v>0</v>
      </c>
      <c r="AY12" s="95">
        <f t="shared" si="10"/>
        <v>0</v>
      </c>
      <c r="AZ12" s="95">
        <f t="shared" si="19"/>
        <v>0</v>
      </c>
      <c r="BA12" s="36">
        <f t="shared" si="11"/>
        <v>0</v>
      </c>
      <c r="BB12" s="2"/>
      <c r="BC12" s="53">
        <f t="shared" si="20"/>
        <v>0</v>
      </c>
      <c r="BD12" s="53" t="str">
        <f t="shared" si="12"/>
        <v>0</v>
      </c>
      <c r="BE12" s="95">
        <f t="shared" si="13"/>
        <v>0</v>
      </c>
      <c r="BF12" s="95">
        <f t="shared" si="21"/>
        <v>0</v>
      </c>
      <c r="BG12" s="36" t="str">
        <f t="shared" si="14"/>
        <v>0</v>
      </c>
      <c r="BJ12" s="9"/>
      <c r="BQ12" s="64" t="s">
        <v>167</v>
      </c>
      <c r="BU12" s="2" t="s">
        <v>39</v>
      </c>
      <c r="BW12" s="64"/>
      <c r="BY12" s="66" t="s">
        <v>146</v>
      </c>
      <c r="BZ12" s="67" t="s">
        <v>146</v>
      </c>
      <c r="CA12" s="63"/>
      <c r="CB12" s="63"/>
      <c r="CC12" s="63"/>
      <c r="CE12" s="80">
        <v>4</v>
      </c>
      <c r="CF12" s="80">
        <v>90</v>
      </c>
    </row>
    <row r="13" spans="1:84" ht="12" customHeight="1" x14ac:dyDescent="0.3">
      <c r="A13" s="15">
        <v>9</v>
      </c>
      <c r="B13" s="15"/>
      <c r="C13" s="143"/>
      <c r="D13" s="144"/>
      <c r="E13" s="15"/>
      <c r="F13" s="143"/>
      <c r="G13" s="147"/>
      <c r="H13" s="52"/>
      <c r="I13" s="14"/>
      <c r="J13" s="36"/>
      <c r="K13" s="36"/>
      <c r="L13" s="13"/>
      <c r="M13" s="56"/>
      <c r="N13" s="145"/>
      <c r="O13" s="146"/>
      <c r="P13" s="57"/>
      <c r="Q13" s="36"/>
      <c r="R13" s="36"/>
      <c r="S13" s="36"/>
      <c r="T13" s="36"/>
      <c r="U13" s="36"/>
      <c r="V13" s="36"/>
      <c r="W13" s="36" t="s">
        <v>151</v>
      </c>
      <c r="X13" s="143"/>
      <c r="Y13" s="144"/>
      <c r="Z13" s="147"/>
      <c r="AA13" s="12"/>
      <c r="AB13" s="89"/>
      <c r="AC13" s="89"/>
      <c r="AD13" s="76"/>
      <c r="AE13" s="75"/>
      <c r="AF13" s="11">
        <f t="shared" si="0"/>
        <v>0</v>
      </c>
      <c r="AJ13" s="127">
        <f t="shared" si="1"/>
        <v>0</v>
      </c>
      <c r="AL13" s="53">
        <f t="shared" si="2"/>
        <v>0</v>
      </c>
      <c r="AM13" s="53">
        <f t="shared" si="3"/>
        <v>0</v>
      </c>
      <c r="AN13" s="53">
        <f t="shared" si="15"/>
        <v>0</v>
      </c>
      <c r="AO13" s="90">
        <f t="shared" si="4"/>
        <v>0</v>
      </c>
      <c r="AP13" s="90">
        <f t="shared" si="5"/>
        <v>0</v>
      </c>
      <c r="AQ13" s="29">
        <f t="shared" si="6"/>
        <v>0</v>
      </c>
      <c r="AR13" s="30">
        <f t="shared" si="7"/>
        <v>0</v>
      </c>
      <c r="AS13" s="29">
        <f t="shared" si="8"/>
        <v>0</v>
      </c>
      <c r="AT13" s="10">
        <f t="shared" si="16"/>
        <v>0</v>
      </c>
      <c r="AU13" s="10">
        <f t="shared" si="9"/>
        <v>0</v>
      </c>
      <c r="AV13" s="3"/>
      <c r="AW13" s="53">
        <f t="shared" si="17"/>
        <v>0</v>
      </c>
      <c r="AX13" s="53" t="str">
        <f t="shared" si="18"/>
        <v>0</v>
      </c>
      <c r="AY13" s="95">
        <f t="shared" si="10"/>
        <v>0</v>
      </c>
      <c r="AZ13" s="95">
        <f t="shared" si="19"/>
        <v>0</v>
      </c>
      <c r="BA13" s="36">
        <f t="shared" si="11"/>
        <v>0</v>
      </c>
      <c r="BB13" s="2"/>
      <c r="BC13" s="53">
        <f t="shared" si="20"/>
        <v>0</v>
      </c>
      <c r="BD13" s="53" t="str">
        <f t="shared" si="12"/>
        <v>0</v>
      </c>
      <c r="BE13" s="95">
        <f t="shared" si="13"/>
        <v>0</v>
      </c>
      <c r="BF13" s="95">
        <f t="shared" si="21"/>
        <v>0</v>
      </c>
      <c r="BG13" s="36" t="str">
        <f t="shared" si="14"/>
        <v>0</v>
      </c>
      <c r="BI13" s="9"/>
      <c r="BJ13" s="9"/>
      <c r="BQ13" s="64" t="s">
        <v>200</v>
      </c>
      <c r="BU13" s="2" t="s">
        <v>40</v>
      </c>
      <c r="BY13" s="63"/>
      <c r="BZ13" s="63"/>
      <c r="CA13" s="63"/>
      <c r="CB13" s="63"/>
      <c r="CC13" s="63"/>
      <c r="CE13" s="80">
        <v>4.5</v>
      </c>
    </row>
    <row r="14" spans="1:84" ht="12" customHeight="1" x14ac:dyDescent="0.3">
      <c r="A14" s="15">
        <v>10</v>
      </c>
      <c r="B14" s="15"/>
      <c r="C14" s="143"/>
      <c r="D14" s="144"/>
      <c r="E14" s="15"/>
      <c r="F14" s="143"/>
      <c r="G14" s="147"/>
      <c r="H14" s="52"/>
      <c r="I14" s="14"/>
      <c r="J14" s="36"/>
      <c r="K14" s="36"/>
      <c r="L14" s="13"/>
      <c r="M14" s="56"/>
      <c r="N14" s="145"/>
      <c r="O14" s="146"/>
      <c r="P14" s="57"/>
      <c r="Q14" s="36"/>
      <c r="R14" s="36"/>
      <c r="S14" s="36"/>
      <c r="T14" s="36"/>
      <c r="U14" s="36"/>
      <c r="V14" s="36"/>
      <c r="W14" s="36" t="s">
        <v>151</v>
      </c>
      <c r="X14" s="143"/>
      <c r="Y14" s="144"/>
      <c r="Z14" s="147"/>
      <c r="AA14" s="12"/>
      <c r="AB14" s="89"/>
      <c r="AC14" s="89"/>
      <c r="AD14" s="76"/>
      <c r="AE14" s="75"/>
      <c r="AF14" s="11">
        <f t="shared" si="0"/>
        <v>0</v>
      </c>
      <c r="AJ14" s="127">
        <f t="shared" si="1"/>
        <v>0</v>
      </c>
      <c r="AL14" s="53">
        <f t="shared" si="2"/>
        <v>0</v>
      </c>
      <c r="AM14" s="53">
        <f t="shared" si="3"/>
        <v>0</v>
      </c>
      <c r="AN14" s="53">
        <f t="shared" si="15"/>
        <v>0</v>
      </c>
      <c r="AO14" s="90">
        <f t="shared" si="4"/>
        <v>0</v>
      </c>
      <c r="AP14" s="90">
        <f t="shared" si="5"/>
        <v>0</v>
      </c>
      <c r="AQ14" s="29">
        <f t="shared" si="6"/>
        <v>0</v>
      </c>
      <c r="AR14" s="30">
        <f t="shared" si="7"/>
        <v>0</v>
      </c>
      <c r="AS14" s="29">
        <f t="shared" si="8"/>
        <v>0</v>
      </c>
      <c r="AT14" s="10">
        <f t="shared" si="16"/>
        <v>0</v>
      </c>
      <c r="AU14" s="10">
        <f t="shared" si="9"/>
        <v>0</v>
      </c>
      <c r="AV14" s="3"/>
      <c r="AW14" s="53">
        <f t="shared" si="17"/>
        <v>0</v>
      </c>
      <c r="AX14" s="53" t="str">
        <f t="shared" si="18"/>
        <v>0</v>
      </c>
      <c r="AY14" s="95">
        <f t="shared" si="10"/>
        <v>0</v>
      </c>
      <c r="AZ14" s="95">
        <f t="shared" si="19"/>
        <v>0</v>
      </c>
      <c r="BA14" s="36">
        <f t="shared" si="11"/>
        <v>0</v>
      </c>
      <c r="BB14" s="2"/>
      <c r="BC14" s="53">
        <f t="shared" si="20"/>
        <v>0</v>
      </c>
      <c r="BD14" s="53" t="str">
        <f t="shared" si="12"/>
        <v>0</v>
      </c>
      <c r="BE14" s="95">
        <f t="shared" si="13"/>
        <v>0</v>
      </c>
      <c r="BF14" s="95">
        <f t="shared" si="21"/>
        <v>0</v>
      </c>
      <c r="BG14" s="36" t="str">
        <f t="shared" si="14"/>
        <v>0</v>
      </c>
      <c r="BI14" s="9"/>
      <c r="BJ14" s="9"/>
      <c r="BQ14" s="64" t="s">
        <v>201</v>
      </c>
      <c r="BU14" s="2" t="s">
        <v>41</v>
      </c>
      <c r="BY14" s="63"/>
      <c r="BZ14" s="63"/>
      <c r="CA14" s="63"/>
      <c r="CB14" s="63"/>
      <c r="CC14" s="63"/>
      <c r="CE14" s="80">
        <v>5</v>
      </c>
    </row>
    <row r="15" spans="1:84" ht="12" customHeight="1" x14ac:dyDescent="0.3">
      <c r="A15" s="15">
        <v>11</v>
      </c>
      <c r="B15" s="15"/>
      <c r="C15" s="143"/>
      <c r="D15" s="144"/>
      <c r="E15" s="15"/>
      <c r="F15" s="143"/>
      <c r="G15" s="147"/>
      <c r="H15" s="52"/>
      <c r="I15" s="14"/>
      <c r="J15" s="36"/>
      <c r="K15" s="36"/>
      <c r="L15" s="13"/>
      <c r="M15" s="56"/>
      <c r="N15" s="145"/>
      <c r="O15" s="146"/>
      <c r="P15" s="57"/>
      <c r="Q15" s="36"/>
      <c r="R15" s="36"/>
      <c r="S15" s="36"/>
      <c r="T15" s="36"/>
      <c r="U15" s="36"/>
      <c r="V15" s="36"/>
      <c r="W15" s="36" t="s">
        <v>151</v>
      </c>
      <c r="X15" s="143"/>
      <c r="Y15" s="144"/>
      <c r="Z15" s="147"/>
      <c r="AA15" s="12"/>
      <c r="AB15" s="89"/>
      <c r="AC15" s="89"/>
      <c r="AD15" s="76"/>
      <c r="AE15" s="75"/>
      <c r="AF15" s="11">
        <f t="shared" si="0"/>
        <v>0</v>
      </c>
      <c r="AJ15" s="127">
        <f t="shared" si="1"/>
        <v>0</v>
      </c>
      <c r="AL15" s="53">
        <f t="shared" si="2"/>
        <v>0</v>
      </c>
      <c r="AM15" s="53">
        <f t="shared" si="3"/>
        <v>0</v>
      </c>
      <c r="AN15" s="53">
        <f t="shared" si="15"/>
        <v>0</v>
      </c>
      <c r="AO15" s="90">
        <f t="shared" si="4"/>
        <v>0</v>
      </c>
      <c r="AP15" s="90">
        <f t="shared" si="5"/>
        <v>0</v>
      </c>
      <c r="AQ15" s="29">
        <f t="shared" si="6"/>
        <v>0</v>
      </c>
      <c r="AR15" s="30">
        <f t="shared" si="7"/>
        <v>0</v>
      </c>
      <c r="AS15" s="29">
        <f t="shared" si="8"/>
        <v>0</v>
      </c>
      <c r="AT15" s="10">
        <f t="shared" si="16"/>
        <v>0</v>
      </c>
      <c r="AU15" s="10">
        <f t="shared" si="9"/>
        <v>0</v>
      </c>
      <c r="AV15" s="3"/>
      <c r="AW15" s="53">
        <f t="shared" si="17"/>
        <v>0</v>
      </c>
      <c r="AX15" s="53" t="str">
        <f t="shared" si="18"/>
        <v>0</v>
      </c>
      <c r="AY15" s="95">
        <f t="shared" si="10"/>
        <v>0</v>
      </c>
      <c r="AZ15" s="95">
        <f t="shared" si="19"/>
        <v>0</v>
      </c>
      <c r="BA15" s="36">
        <f t="shared" si="11"/>
        <v>0</v>
      </c>
      <c r="BB15" s="2"/>
      <c r="BC15" s="53">
        <f t="shared" si="20"/>
        <v>0</v>
      </c>
      <c r="BD15" s="53" t="str">
        <f t="shared" si="12"/>
        <v>0</v>
      </c>
      <c r="BE15" s="95">
        <f t="shared" si="13"/>
        <v>0</v>
      </c>
      <c r="BF15" s="95">
        <f t="shared" si="21"/>
        <v>0</v>
      </c>
      <c r="BG15" s="36" t="str">
        <f t="shared" si="14"/>
        <v>0</v>
      </c>
      <c r="BI15" s="9"/>
      <c r="BJ15" s="9"/>
      <c r="BQ15" s="64" t="s">
        <v>168</v>
      </c>
      <c r="BU15" s="2" t="s">
        <v>42</v>
      </c>
      <c r="BY15" s="63"/>
      <c r="BZ15" s="63"/>
      <c r="CA15" s="63"/>
      <c r="CB15" s="63"/>
      <c r="CC15" s="63"/>
      <c r="CE15" s="80">
        <v>5.5</v>
      </c>
    </row>
    <row r="16" spans="1:84" ht="12" customHeight="1" x14ac:dyDescent="0.3">
      <c r="A16" s="15">
        <v>12</v>
      </c>
      <c r="B16" s="15"/>
      <c r="C16" s="143"/>
      <c r="D16" s="144"/>
      <c r="E16" s="15"/>
      <c r="F16" s="143"/>
      <c r="G16" s="147"/>
      <c r="H16" s="52"/>
      <c r="I16" s="14"/>
      <c r="J16" s="36"/>
      <c r="K16" s="36"/>
      <c r="L16" s="13"/>
      <c r="M16" s="56"/>
      <c r="N16" s="145"/>
      <c r="O16" s="146"/>
      <c r="P16" s="57"/>
      <c r="Q16" s="36"/>
      <c r="R16" s="36"/>
      <c r="S16" s="36"/>
      <c r="T16" s="36"/>
      <c r="U16" s="36"/>
      <c r="V16" s="36"/>
      <c r="W16" s="36" t="s">
        <v>151</v>
      </c>
      <c r="X16" s="143"/>
      <c r="Y16" s="144"/>
      <c r="Z16" s="147"/>
      <c r="AA16" s="12"/>
      <c r="AB16" s="89"/>
      <c r="AC16" s="89"/>
      <c r="AD16" s="76"/>
      <c r="AE16" s="75"/>
      <c r="AF16" s="11">
        <f t="shared" si="0"/>
        <v>0</v>
      </c>
      <c r="AJ16" s="127">
        <f t="shared" si="1"/>
        <v>0</v>
      </c>
      <c r="AL16" s="53">
        <f t="shared" si="2"/>
        <v>0</v>
      </c>
      <c r="AM16" s="53">
        <f t="shared" si="3"/>
        <v>0</v>
      </c>
      <c r="AN16" s="53">
        <f t="shared" si="15"/>
        <v>0</v>
      </c>
      <c r="AO16" s="90">
        <f t="shared" si="4"/>
        <v>0</v>
      </c>
      <c r="AP16" s="90">
        <f t="shared" si="5"/>
        <v>0</v>
      </c>
      <c r="AQ16" s="29">
        <f t="shared" si="6"/>
        <v>0</v>
      </c>
      <c r="AR16" s="30">
        <f t="shared" si="7"/>
        <v>0</v>
      </c>
      <c r="AS16" s="29">
        <f t="shared" si="8"/>
        <v>0</v>
      </c>
      <c r="AT16" s="10">
        <f t="shared" si="16"/>
        <v>0</v>
      </c>
      <c r="AU16" s="10">
        <f t="shared" si="9"/>
        <v>0</v>
      </c>
      <c r="AV16" s="3"/>
      <c r="AW16" s="53">
        <f t="shared" si="17"/>
        <v>0</v>
      </c>
      <c r="AX16" s="53" t="str">
        <f t="shared" si="18"/>
        <v>0</v>
      </c>
      <c r="AY16" s="95">
        <f t="shared" si="10"/>
        <v>0</v>
      </c>
      <c r="AZ16" s="95">
        <f t="shared" si="19"/>
        <v>0</v>
      </c>
      <c r="BA16" s="36">
        <f t="shared" si="11"/>
        <v>0</v>
      </c>
      <c r="BB16" s="2"/>
      <c r="BC16" s="53">
        <f t="shared" si="20"/>
        <v>0</v>
      </c>
      <c r="BD16" s="53" t="str">
        <f t="shared" si="12"/>
        <v>0</v>
      </c>
      <c r="BE16" s="95">
        <f t="shared" si="13"/>
        <v>0</v>
      </c>
      <c r="BF16" s="95">
        <f t="shared" si="21"/>
        <v>0</v>
      </c>
      <c r="BG16" s="36" t="str">
        <f t="shared" si="14"/>
        <v>0</v>
      </c>
      <c r="BI16" s="9"/>
      <c r="BJ16" s="9"/>
      <c r="BQ16" s="64" t="s">
        <v>202</v>
      </c>
      <c r="BU16" s="2" t="s">
        <v>43</v>
      </c>
      <c r="BY16" s="63"/>
      <c r="BZ16" s="63"/>
      <c r="CA16" s="63"/>
      <c r="CB16" s="63"/>
      <c r="CC16" s="63"/>
      <c r="CE16" s="80">
        <v>6</v>
      </c>
    </row>
    <row r="17" spans="1:83" ht="12" customHeight="1" x14ac:dyDescent="0.3">
      <c r="A17" s="15">
        <v>13</v>
      </c>
      <c r="B17" s="15"/>
      <c r="C17" s="143"/>
      <c r="D17" s="144"/>
      <c r="E17" s="15"/>
      <c r="F17" s="143"/>
      <c r="G17" s="147"/>
      <c r="H17" s="52"/>
      <c r="I17" s="14"/>
      <c r="J17" s="36"/>
      <c r="K17" s="36"/>
      <c r="L17" s="13"/>
      <c r="M17" s="56"/>
      <c r="N17" s="145"/>
      <c r="O17" s="146"/>
      <c r="P17" s="57"/>
      <c r="Q17" s="36"/>
      <c r="R17" s="36"/>
      <c r="S17" s="36"/>
      <c r="T17" s="36"/>
      <c r="U17" s="36"/>
      <c r="V17" s="36"/>
      <c r="W17" s="36" t="s">
        <v>151</v>
      </c>
      <c r="X17" s="143"/>
      <c r="Y17" s="144"/>
      <c r="Z17" s="147"/>
      <c r="AA17" s="12"/>
      <c r="AB17" s="89"/>
      <c r="AC17" s="89"/>
      <c r="AD17" s="76"/>
      <c r="AE17" s="75"/>
      <c r="AF17" s="11">
        <f t="shared" si="0"/>
        <v>0</v>
      </c>
      <c r="AJ17" s="127">
        <f t="shared" si="1"/>
        <v>0</v>
      </c>
      <c r="AL17" s="53">
        <f t="shared" si="2"/>
        <v>0</v>
      </c>
      <c r="AM17" s="53">
        <f t="shared" si="3"/>
        <v>0</v>
      </c>
      <c r="AN17" s="53">
        <f t="shared" si="15"/>
        <v>0</v>
      </c>
      <c r="AO17" s="90">
        <f t="shared" si="4"/>
        <v>0</v>
      </c>
      <c r="AP17" s="90">
        <f t="shared" si="5"/>
        <v>0</v>
      </c>
      <c r="AQ17" s="29">
        <f t="shared" si="6"/>
        <v>0</v>
      </c>
      <c r="AR17" s="30">
        <f t="shared" si="7"/>
        <v>0</v>
      </c>
      <c r="AS17" s="29">
        <f t="shared" si="8"/>
        <v>0</v>
      </c>
      <c r="AT17" s="10">
        <f t="shared" si="16"/>
        <v>0</v>
      </c>
      <c r="AU17" s="10">
        <f t="shared" si="9"/>
        <v>0</v>
      </c>
      <c r="AV17" s="3"/>
      <c r="AW17" s="53">
        <f t="shared" si="17"/>
        <v>0</v>
      </c>
      <c r="AX17" s="53" t="str">
        <f t="shared" si="18"/>
        <v>0</v>
      </c>
      <c r="AY17" s="95">
        <f t="shared" si="10"/>
        <v>0</v>
      </c>
      <c r="AZ17" s="95">
        <f t="shared" si="19"/>
        <v>0</v>
      </c>
      <c r="BA17" s="36">
        <f t="shared" si="11"/>
        <v>0</v>
      </c>
      <c r="BB17" s="2"/>
      <c r="BC17" s="53">
        <f t="shared" si="20"/>
        <v>0</v>
      </c>
      <c r="BD17" s="53" t="str">
        <f t="shared" si="12"/>
        <v>0</v>
      </c>
      <c r="BE17" s="95">
        <f t="shared" si="13"/>
        <v>0</v>
      </c>
      <c r="BF17" s="95">
        <f t="shared" si="21"/>
        <v>0</v>
      </c>
      <c r="BG17" s="36" t="str">
        <f t="shared" si="14"/>
        <v>0</v>
      </c>
      <c r="BI17" s="9"/>
      <c r="BJ17" s="9"/>
      <c r="BQ17" s="64" t="s">
        <v>203</v>
      </c>
      <c r="BU17" s="2" t="s">
        <v>44</v>
      </c>
      <c r="BY17" s="63"/>
      <c r="BZ17" s="63"/>
      <c r="CA17" s="63"/>
      <c r="CB17" s="63"/>
      <c r="CC17" s="63"/>
      <c r="CE17" s="80">
        <v>6.5</v>
      </c>
    </row>
    <row r="18" spans="1:83" ht="12" customHeight="1" x14ac:dyDescent="0.3">
      <c r="A18" s="15">
        <v>14</v>
      </c>
      <c r="B18" s="15"/>
      <c r="C18" s="143"/>
      <c r="D18" s="144"/>
      <c r="E18" s="15"/>
      <c r="F18" s="143"/>
      <c r="G18" s="147"/>
      <c r="H18" s="52"/>
      <c r="I18" s="14"/>
      <c r="J18" s="36"/>
      <c r="K18" s="36"/>
      <c r="L18" s="13"/>
      <c r="M18" s="56"/>
      <c r="N18" s="145"/>
      <c r="O18" s="146"/>
      <c r="P18" s="57"/>
      <c r="Q18" s="36"/>
      <c r="R18" s="36"/>
      <c r="S18" s="36"/>
      <c r="T18" s="36"/>
      <c r="U18" s="36"/>
      <c r="V18" s="36"/>
      <c r="W18" s="36" t="s">
        <v>151</v>
      </c>
      <c r="X18" s="143"/>
      <c r="Y18" s="144"/>
      <c r="Z18" s="147"/>
      <c r="AA18" s="12"/>
      <c r="AB18" s="89"/>
      <c r="AC18" s="89"/>
      <c r="AD18" s="76"/>
      <c r="AE18" s="75"/>
      <c r="AF18" s="11">
        <f t="shared" si="0"/>
        <v>0</v>
      </c>
      <c r="AJ18" s="127">
        <f t="shared" si="1"/>
        <v>0</v>
      </c>
      <c r="AL18" s="53">
        <f t="shared" si="2"/>
        <v>0</v>
      </c>
      <c r="AM18" s="53">
        <f t="shared" si="3"/>
        <v>0</v>
      </c>
      <c r="AN18" s="53">
        <f t="shared" si="15"/>
        <v>0</v>
      </c>
      <c r="AO18" s="90">
        <f t="shared" si="4"/>
        <v>0</v>
      </c>
      <c r="AP18" s="90">
        <f t="shared" si="5"/>
        <v>0</v>
      </c>
      <c r="AQ18" s="29">
        <f t="shared" si="6"/>
        <v>0</v>
      </c>
      <c r="AR18" s="30">
        <f t="shared" si="7"/>
        <v>0</v>
      </c>
      <c r="AS18" s="29">
        <f t="shared" si="8"/>
        <v>0</v>
      </c>
      <c r="AT18" s="10">
        <f t="shared" si="16"/>
        <v>0</v>
      </c>
      <c r="AU18" s="10">
        <f t="shared" si="9"/>
        <v>0</v>
      </c>
      <c r="AV18" s="3"/>
      <c r="AW18" s="53">
        <f t="shared" si="17"/>
        <v>0</v>
      </c>
      <c r="AX18" s="53" t="str">
        <f t="shared" si="18"/>
        <v>0</v>
      </c>
      <c r="AY18" s="95">
        <f t="shared" si="10"/>
        <v>0</v>
      </c>
      <c r="AZ18" s="95">
        <f t="shared" si="19"/>
        <v>0</v>
      </c>
      <c r="BA18" s="36">
        <f t="shared" si="11"/>
        <v>0</v>
      </c>
      <c r="BB18" s="2"/>
      <c r="BC18" s="53">
        <f t="shared" si="20"/>
        <v>0</v>
      </c>
      <c r="BD18" s="53" t="str">
        <f t="shared" si="12"/>
        <v>0</v>
      </c>
      <c r="BE18" s="95">
        <f t="shared" si="13"/>
        <v>0</v>
      </c>
      <c r="BF18" s="95">
        <f t="shared" si="21"/>
        <v>0</v>
      </c>
      <c r="BG18" s="36" t="str">
        <f t="shared" si="14"/>
        <v>0</v>
      </c>
      <c r="BI18" s="9"/>
      <c r="BJ18" s="9"/>
      <c r="BQ18" s="64"/>
      <c r="BU18" s="2" t="s">
        <v>45</v>
      </c>
      <c r="CE18" s="80">
        <v>7</v>
      </c>
    </row>
    <row r="19" spans="1:83" ht="12" customHeight="1" x14ac:dyDescent="0.3">
      <c r="A19" s="15">
        <v>15</v>
      </c>
      <c r="B19" s="15"/>
      <c r="C19" s="143"/>
      <c r="D19" s="144"/>
      <c r="E19" s="15"/>
      <c r="F19" s="143"/>
      <c r="G19" s="147"/>
      <c r="H19" s="52"/>
      <c r="I19" s="14"/>
      <c r="J19" s="36"/>
      <c r="K19" s="36"/>
      <c r="L19" s="13"/>
      <c r="M19" s="56"/>
      <c r="N19" s="145"/>
      <c r="O19" s="146"/>
      <c r="P19" s="57"/>
      <c r="Q19" s="36"/>
      <c r="R19" s="36"/>
      <c r="S19" s="36"/>
      <c r="T19" s="36"/>
      <c r="U19" s="36"/>
      <c r="V19" s="36"/>
      <c r="W19" s="36" t="s">
        <v>151</v>
      </c>
      <c r="X19" s="143"/>
      <c r="Y19" s="144"/>
      <c r="Z19" s="147"/>
      <c r="AA19" s="12"/>
      <c r="AB19" s="89"/>
      <c r="AC19" s="89"/>
      <c r="AD19" s="76"/>
      <c r="AE19" s="75"/>
      <c r="AF19" s="11">
        <f t="shared" si="0"/>
        <v>0</v>
      </c>
      <c r="AJ19" s="127">
        <f t="shared" si="1"/>
        <v>0</v>
      </c>
      <c r="AL19" s="53">
        <f t="shared" si="2"/>
        <v>0</v>
      </c>
      <c r="AM19" s="53">
        <f t="shared" si="3"/>
        <v>0</v>
      </c>
      <c r="AN19" s="53">
        <f t="shared" si="15"/>
        <v>0</v>
      </c>
      <c r="AO19" s="90">
        <f t="shared" si="4"/>
        <v>0</v>
      </c>
      <c r="AP19" s="90">
        <f t="shared" si="5"/>
        <v>0</v>
      </c>
      <c r="AQ19" s="29">
        <f t="shared" si="6"/>
        <v>0</v>
      </c>
      <c r="AR19" s="30">
        <f t="shared" si="7"/>
        <v>0</v>
      </c>
      <c r="AS19" s="29">
        <f t="shared" si="8"/>
        <v>0</v>
      </c>
      <c r="AT19" s="10">
        <f t="shared" si="16"/>
        <v>0</v>
      </c>
      <c r="AU19" s="10">
        <f t="shared" si="9"/>
        <v>0</v>
      </c>
      <c r="AV19" s="3"/>
      <c r="AW19" s="53">
        <f t="shared" si="17"/>
        <v>0</v>
      </c>
      <c r="AX19" s="53" t="str">
        <f t="shared" si="18"/>
        <v>0</v>
      </c>
      <c r="AY19" s="95">
        <f t="shared" si="10"/>
        <v>0</v>
      </c>
      <c r="AZ19" s="95">
        <f t="shared" si="19"/>
        <v>0</v>
      </c>
      <c r="BA19" s="36">
        <f t="shared" si="11"/>
        <v>0</v>
      </c>
      <c r="BB19" s="2"/>
      <c r="BC19" s="53">
        <f t="shared" si="20"/>
        <v>0</v>
      </c>
      <c r="BD19" s="53" t="str">
        <f t="shared" si="12"/>
        <v>0</v>
      </c>
      <c r="BE19" s="95">
        <f t="shared" si="13"/>
        <v>0</v>
      </c>
      <c r="BF19" s="95">
        <f t="shared" si="21"/>
        <v>0</v>
      </c>
      <c r="BG19" s="36" t="str">
        <f t="shared" si="14"/>
        <v>0</v>
      </c>
      <c r="BJ19" s="9"/>
      <c r="BQ19" s="64"/>
      <c r="BU19" s="2" t="s">
        <v>46</v>
      </c>
      <c r="CE19" s="80">
        <v>7.5</v>
      </c>
    </row>
    <row r="20" spans="1:83" ht="12" customHeight="1" x14ac:dyDescent="0.3">
      <c r="A20" s="15">
        <v>16</v>
      </c>
      <c r="B20" s="15"/>
      <c r="C20" s="143"/>
      <c r="D20" s="144"/>
      <c r="E20" s="15"/>
      <c r="F20" s="143"/>
      <c r="G20" s="147"/>
      <c r="H20" s="52"/>
      <c r="I20" s="14"/>
      <c r="J20" s="36"/>
      <c r="K20" s="36"/>
      <c r="L20" s="13"/>
      <c r="M20" s="56"/>
      <c r="N20" s="145"/>
      <c r="O20" s="146"/>
      <c r="P20" s="57"/>
      <c r="Q20" s="36"/>
      <c r="R20" s="36"/>
      <c r="S20" s="36"/>
      <c r="T20" s="36"/>
      <c r="U20" s="36"/>
      <c r="V20" s="36"/>
      <c r="W20" s="36" t="s">
        <v>151</v>
      </c>
      <c r="X20" s="143"/>
      <c r="Y20" s="144"/>
      <c r="Z20" s="147"/>
      <c r="AA20" s="12"/>
      <c r="AB20" s="89"/>
      <c r="AC20" s="89"/>
      <c r="AD20" s="76"/>
      <c r="AE20" s="75"/>
      <c r="AF20" s="11">
        <f t="shared" si="0"/>
        <v>0</v>
      </c>
      <c r="AJ20" s="127">
        <f t="shared" si="1"/>
        <v>0</v>
      </c>
      <c r="AL20" s="53">
        <f t="shared" si="2"/>
        <v>0</v>
      </c>
      <c r="AM20" s="53">
        <f t="shared" si="3"/>
        <v>0</v>
      </c>
      <c r="AN20" s="53">
        <f t="shared" si="15"/>
        <v>0</v>
      </c>
      <c r="AO20" s="90">
        <f t="shared" si="4"/>
        <v>0</v>
      </c>
      <c r="AP20" s="90">
        <f t="shared" si="5"/>
        <v>0</v>
      </c>
      <c r="AQ20" s="29">
        <f t="shared" si="6"/>
        <v>0</v>
      </c>
      <c r="AR20" s="30">
        <f t="shared" si="7"/>
        <v>0</v>
      </c>
      <c r="AS20" s="29">
        <f t="shared" si="8"/>
        <v>0</v>
      </c>
      <c r="AT20" s="10">
        <f t="shared" si="16"/>
        <v>0</v>
      </c>
      <c r="AU20" s="10">
        <f t="shared" si="9"/>
        <v>0</v>
      </c>
      <c r="AV20" s="3"/>
      <c r="AW20" s="53">
        <f t="shared" si="17"/>
        <v>0</v>
      </c>
      <c r="AX20" s="53" t="str">
        <f t="shared" si="18"/>
        <v>0</v>
      </c>
      <c r="AY20" s="95">
        <f t="shared" si="10"/>
        <v>0</v>
      </c>
      <c r="AZ20" s="95">
        <f t="shared" si="19"/>
        <v>0</v>
      </c>
      <c r="BA20" s="36">
        <f t="shared" si="11"/>
        <v>0</v>
      </c>
      <c r="BB20" s="2"/>
      <c r="BC20" s="53">
        <f t="shared" si="20"/>
        <v>0</v>
      </c>
      <c r="BD20" s="53" t="str">
        <f t="shared" si="12"/>
        <v>0</v>
      </c>
      <c r="BE20" s="95">
        <f t="shared" si="13"/>
        <v>0</v>
      </c>
      <c r="BF20" s="95">
        <f t="shared" si="21"/>
        <v>0</v>
      </c>
      <c r="BG20" s="36" t="str">
        <f t="shared" si="14"/>
        <v>0</v>
      </c>
      <c r="BI20" s="9"/>
      <c r="BJ20" s="9"/>
      <c r="BQ20" s="64"/>
      <c r="BU20" s="2" t="s">
        <v>47</v>
      </c>
      <c r="CE20" s="80">
        <v>8</v>
      </c>
    </row>
    <row r="21" spans="1:83" ht="12" customHeight="1" x14ac:dyDescent="0.3">
      <c r="A21" s="15">
        <v>17</v>
      </c>
      <c r="B21" s="15"/>
      <c r="C21" s="143"/>
      <c r="D21" s="144"/>
      <c r="E21" s="15"/>
      <c r="F21" s="143"/>
      <c r="G21" s="147"/>
      <c r="H21" s="52"/>
      <c r="I21" s="14"/>
      <c r="J21" s="36"/>
      <c r="K21" s="36"/>
      <c r="L21" s="13"/>
      <c r="M21" s="56"/>
      <c r="N21" s="145"/>
      <c r="O21" s="146"/>
      <c r="P21" s="57"/>
      <c r="Q21" s="36"/>
      <c r="R21" s="36"/>
      <c r="S21" s="36"/>
      <c r="T21" s="36"/>
      <c r="U21" s="36"/>
      <c r="V21" s="36"/>
      <c r="W21" s="36" t="s">
        <v>151</v>
      </c>
      <c r="X21" s="143"/>
      <c r="Y21" s="144"/>
      <c r="Z21" s="147"/>
      <c r="AA21" s="12"/>
      <c r="AB21" s="89"/>
      <c r="AC21" s="89"/>
      <c r="AD21" s="76"/>
      <c r="AE21" s="75"/>
      <c r="AF21" s="11">
        <f t="shared" si="0"/>
        <v>0</v>
      </c>
      <c r="AJ21" s="127">
        <f t="shared" si="1"/>
        <v>0</v>
      </c>
      <c r="AL21" s="53">
        <f t="shared" si="2"/>
        <v>0</v>
      </c>
      <c r="AM21" s="53">
        <f t="shared" si="3"/>
        <v>0</v>
      </c>
      <c r="AN21" s="53">
        <f t="shared" si="15"/>
        <v>0</v>
      </c>
      <c r="AO21" s="90">
        <f t="shared" si="4"/>
        <v>0</v>
      </c>
      <c r="AP21" s="90">
        <f t="shared" si="5"/>
        <v>0</v>
      </c>
      <c r="AQ21" s="29">
        <f t="shared" si="6"/>
        <v>0</v>
      </c>
      <c r="AR21" s="30">
        <f t="shared" si="7"/>
        <v>0</v>
      </c>
      <c r="AS21" s="29">
        <f t="shared" si="8"/>
        <v>0</v>
      </c>
      <c r="AT21" s="10">
        <f t="shared" si="16"/>
        <v>0</v>
      </c>
      <c r="AU21" s="10">
        <f t="shared" si="9"/>
        <v>0</v>
      </c>
      <c r="AV21" s="3"/>
      <c r="AW21" s="53">
        <f t="shared" si="17"/>
        <v>0</v>
      </c>
      <c r="AX21" s="53" t="str">
        <f t="shared" si="18"/>
        <v>0</v>
      </c>
      <c r="AY21" s="95">
        <f t="shared" si="10"/>
        <v>0</v>
      </c>
      <c r="AZ21" s="95">
        <f t="shared" si="19"/>
        <v>0</v>
      </c>
      <c r="BA21" s="36">
        <f t="shared" si="11"/>
        <v>0</v>
      </c>
      <c r="BB21" s="2"/>
      <c r="BC21" s="53">
        <f t="shared" si="20"/>
        <v>0</v>
      </c>
      <c r="BD21" s="53" t="str">
        <f t="shared" si="12"/>
        <v>0</v>
      </c>
      <c r="BE21" s="95">
        <f t="shared" si="13"/>
        <v>0</v>
      </c>
      <c r="BF21" s="95">
        <f t="shared" si="21"/>
        <v>0</v>
      </c>
      <c r="BG21" s="36" t="str">
        <f t="shared" si="14"/>
        <v>0</v>
      </c>
      <c r="BI21" s="9"/>
      <c r="BJ21" s="9"/>
      <c r="BQ21" s="64"/>
      <c r="BU21" s="2" t="s">
        <v>48</v>
      </c>
      <c r="CE21" s="139">
        <v>9</v>
      </c>
    </row>
    <row r="22" spans="1:83" ht="12" customHeight="1" x14ac:dyDescent="0.3">
      <c r="A22" s="15">
        <v>18</v>
      </c>
      <c r="B22" s="15"/>
      <c r="C22" s="143"/>
      <c r="D22" s="144"/>
      <c r="E22" s="15"/>
      <c r="F22" s="143"/>
      <c r="G22" s="147"/>
      <c r="H22" s="52"/>
      <c r="I22" s="14"/>
      <c r="J22" s="36"/>
      <c r="K22" s="36"/>
      <c r="L22" s="13"/>
      <c r="M22" s="56"/>
      <c r="N22" s="145"/>
      <c r="O22" s="146"/>
      <c r="P22" s="57"/>
      <c r="Q22" s="36"/>
      <c r="R22" s="36"/>
      <c r="S22" s="36"/>
      <c r="T22" s="36"/>
      <c r="U22" s="36"/>
      <c r="V22" s="36"/>
      <c r="W22" s="36" t="s">
        <v>151</v>
      </c>
      <c r="X22" s="143"/>
      <c r="Y22" s="144"/>
      <c r="Z22" s="147"/>
      <c r="AA22" s="12"/>
      <c r="AB22" s="89"/>
      <c r="AC22" s="89"/>
      <c r="AD22" s="76"/>
      <c r="AE22" s="75"/>
      <c r="AF22" s="11">
        <f t="shared" si="0"/>
        <v>0</v>
      </c>
      <c r="AJ22" s="127">
        <f t="shared" si="1"/>
        <v>0</v>
      </c>
      <c r="AL22" s="53">
        <f t="shared" si="2"/>
        <v>0</v>
      </c>
      <c r="AM22" s="53">
        <f t="shared" si="3"/>
        <v>0</v>
      </c>
      <c r="AN22" s="53">
        <f t="shared" si="15"/>
        <v>0</v>
      </c>
      <c r="AO22" s="90">
        <f t="shared" si="4"/>
        <v>0</v>
      </c>
      <c r="AP22" s="90">
        <f t="shared" si="5"/>
        <v>0</v>
      </c>
      <c r="AQ22" s="29">
        <f t="shared" si="6"/>
        <v>0</v>
      </c>
      <c r="AR22" s="30">
        <f t="shared" si="7"/>
        <v>0</v>
      </c>
      <c r="AS22" s="29">
        <f t="shared" si="8"/>
        <v>0</v>
      </c>
      <c r="AT22" s="10">
        <f t="shared" si="16"/>
        <v>0</v>
      </c>
      <c r="AU22" s="10">
        <f t="shared" si="9"/>
        <v>0</v>
      </c>
      <c r="AV22" s="3"/>
      <c r="AW22" s="53">
        <f t="shared" si="17"/>
        <v>0</v>
      </c>
      <c r="AX22" s="53" t="str">
        <f t="shared" si="18"/>
        <v>0</v>
      </c>
      <c r="AY22" s="95">
        <f t="shared" si="10"/>
        <v>0</v>
      </c>
      <c r="AZ22" s="95">
        <f t="shared" si="19"/>
        <v>0</v>
      </c>
      <c r="BA22" s="36">
        <f t="shared" si="11"/>
        <v>0</v>
      </c>
      <c r="BB22" s="2"/>
      <c r="BC22" s="53">
        <f t="shared" si="20"/>
        <v>0</v>
      </c>
      <c r="BD22" s="53" t="str">
        <f t="shared" si="12"/>
        <v>0</v>
      </c>
      <c r="BE22" s="95">
        <f t="shared" si="13"/>
        <v>0</v>
      </c>
      <c r="BF22" s="95">
        <f t="shared" si="21"/>
        <v>0</v>
      </c>
      <c r="BG22" s="36" t="str">
        <f t="shared" si="14"/>
        <v>0</v>
      </c>
      <c r="BI22" s="9"/>
      <c r="BJ22" s="9"/>
      <c r="BQ22" s="64"/>
      <c r="BU22" s="2" t="s">
        <v>49</v>
      </c>
      <c r="CE22" s="80">
        <v>10</v>
      </c>
    </row>
    <row r="23" spans="1:83" ht="12" customHeight="1" x14ac:dyDescent="0.3">
      <c r="A23" s="15">
        <v>19</v>
      </c>
      <c r="B23" s="15"/>
      <c r="C23" s="143"/>
      <c r="D23" s="144"/>
      <c r="E23" s="15"/>
      <c r="F23" s="143"/>
      <c r="G23" s="147"/>
      <c r="H23" s="52"/>
      <c r="I23" s="14"/>
      <c r="J23" s="36"/>
      <c r="K23" s="36"/>
      <c r="L23" s="13"/>
      <c r="M23" s="56"/>
      <c r="N23" s="145"/>
      <c r="O23" s="146"/>
      <c r="P23" s="57"/>
      <c r="Q23" s="36"/>
      <c r="R23" s="36"/>
      <c r="S23" s="36"/>
      <c r="T23" s="36"/>
      <c r="U23" s="36"/>
      <c r="V23" s="36"/>
      <c r="W23" s="36" t="s">
        <v>151</v>
      </c>
      <c r="X23" s="143"/>
      <c r="Y23" s="144"/>
      <c r="Z23" s="147"/>
      <c r="AA23" s="12"/>
      <c r="AB23" s="89"/>
      <c r="AC23" s="89"/>
      <c r="AD23" s="76"/>
      <c r="AE23" s="75"/>
      <c r="AF23" s="11">
        <f t="shared" si="0"/>
        <v>0</v>
      </c>
      <c r="AJ23" s="127">
        <f t="shared" si="1"/>
        <v>0</v>
      </c>
      <c r="AL23" s="53">
        <f t="shared" si="2"/>
        <v>0</v>
      </c>
      <c r="AM23" s="53">
        <f t="shared" si="3"/>
        <v>0</v>
      </c>
      <c r="AN23" s="53">
        <f t="shared" si="15"/>
        <v>0</v>
      </c>
      <c r="AO23" s="90">
        <f t="shared" si="4"/>
        <v>0</v>
      </c>
      <c r="AP23" s="90">
        <f t="shared" si="5"/>
        <v>0</v>
      </c>
      <c r="AQ23" s="29">
        <f t="shared" si="6"/>
        <v>0</v>
      </c>
      <c r="AR23" s="30">
        <f t="shared" si="7"/>
        <v>0</v>
      </c>
      <c r="AS23" s="29">
        <f t="shared" si="8"/>
        <v>0</v>
      </c>
      <c r="AT23" s="10">
        <f t="shared" si="16"/>
        <v>0</v>
      </c>
      <c r="AU23" s="10">
        <f t="shared" si="9"/>
        <v>0</v>
      </c>
      <c r="AV23" s="3"/>
      <c r="AW23" s="53">
        <f t="shared" si="17"/>
        <v>0</v>
      </c>
      <c r="AX23" s="53" t="str">
        <f t="shared" si="18"/>
        <v>0</v>
      </c>
      <c r="AY23" s="95">
        <f t="shared" si="10"/>
        <v>0</v>
      </c>
      <c r="AZ23" s="95">
        <f t="shared" si="19"/>
        <v>0</v>
      </c>
      <c r="BA23" s="36">
        <f t="shared" si="11"/>
        <v>0</v>
      </c>
      <c r="BB23" s="2"/>
      <c r="BC23" s="53">
        <f t="shared" si="20"/>
        <v>0</v>
      </c>
      <c r="BD23" s="53" t="str">
        <f t="shared" si="12"/>
        <v>0</v>
      </c>
      <c r="BE23" s="95">
        <f t="shared" si="13"/>
        <v>0</v>
      </c>
      <c r="BF23" s="95">
        <f t="shared" si="21"/>
        <v>0</v>
      </c>
      <c r="BG23" s="36" t="str">
        <f t="shared" si="14"/>
        <v>0</v>
      </c>
      <c r="BI23" s="9"/>
      <c r="BJ23" s="9"/>
      <c r="BU23" s="2" t="s">
        <v>50</v>
      </c>
    </row>
    <row r="24" spans="1:83" ht="12" customHeight="1" x14ac:dyDescent="0.3">
      <c r="A24" s="15">
        <v>20</v>
      </c>
      <c r="B24" s="15"/>
      <c r="C24" s="143"/>
      <c r="D24" s="144"/>
      <c r="E24" s="15"/>
      <c r="F24" s="143"/>
      <c r="G24" s="147"/>
      <c r="H24" s="52"/>
      <c r="I24" s="14"/>
      <c r="J24" s="36"/>
      <c r="K24" s="36"/>
      <c r="L24" s="13"/>
      <c r="M24" s="56"/>
      <c r="N24" s="145"/>
      <c r="O24" s="146"/>
      <c r="P24" s="57"/>
      <c r="Q24" s="36"/>
      <c r="R24" s="36"/>
      <c r="S24" s="36"/>
      <c r="T24" s="36"/>
      <c r="U24" s="36"/>
      <c r="V24" s="36"/>
      <c r="W24" s="36" t="s">
        <v>151</v>
      </c>
      <c r="X24" s="143"/>
      <c r="Y24" s="144"/>
      <c r="Z24" s="147"/>
      <c r="AA24" s="12"/>
      <c r="AB24" s="89"/>
      <c r="AC24" s="89"/>
      <c r="AD24" s="76"/>
      <c r="AE24" s="75"/>
      <c r="AF24" s="11">
        <f t="shared" si="0"/>
        <v>0</v>
      </c>
      <c r="AJ24" s="127">
        <f t="shared" si="1"/>
        <v>0</v>
      </c>
      <c r="AL24" s="53">
        <f t="shared" si="2"/>
        <v>0</v>
      </c>
      <c r="AM24" s="53">
        <f t="shared" si="3"/>
        <v>0</v>
      </c>
      <c r="AN24" s="53">
        <f t="shared" si="15"/>
        <v>0</v>
      </c>
      <c r="AO24" s="90">
        <f t="shared" si="4"/>
        <v>0</v>
      </c>
      <c r="AP24" s="90">
        <f t="shared" si="5"/>
        <v>0</v>
      </c>
      <c r="AQ24" s="29">
        <f t="shared" si="6"/>
        <v>0</v>
      </c>
      <c r="AR24" s="30">
        <f t="shared" si="7"/>
        <v>0</v>
      </c>
      <c r="AS24" s="29">
        <f t="shared" si="8"/>
        <v>0</v>
      </c>
      <c r="AT24" s="10">
        <f t="shared" si="16"/>
        <v>0</v>
      </c>
      <c r="AU24" s="10">
        <f t="shared" si="9"/>
        <v>0</v>
      </c>
      <c r="AV24" s="3"/>
      <c r="AW24" s="53">
        <f t="shared" si="17"/>
        <v>0</v>
      </c>
      <c r="AX24" s="53" t="str">
        <f t="shared" si="18"/>
        <v>0</v>
      </c>
      <c r="AY24" s="95">
        <f t="shared" si="10"/>
        <v>0</v>
      </c>
      <c r="AZ24" s="95">
        <f t="shared" si="19"/>
        <v>0</v>
      </c>
      <c r="BA24" s="36">
        <f t="shared" si="11"/>
        <v>0</v>
      </c>
      <c r="BB24" s="2"/>
      <c r="BC24" s="53">
        <f t="shared" si="20"/>
        <v>0</v>
      </c>
      <c r="BD24" s="53" t="str">
        <f t="shared" si="12"/>
        <v>0</v>
      </c>
      <c r="BE24" s="95">
        <f t="shared" si="13"/>
        <v>0</v>
      </c>
      <c r="BF24" s="95">
        <f t="shared" si="21"/>
        <v>0</v>
      </c>
      <c r="BG24" s="36" t="str">
        <f t="shared" si="14"/>
        <v>0</v>
      </c>
      <c r="BI24" s="9"/>
      <c r="BJ24" s="9"/>
      <c r="BU24" s="2" t="s">
        <v>51</v>
      </c>
      <c r="BV24" s="3"/>
      <c r="BW24" s="3"/>
    </row>
    <row r="25" spans="1:83" ht="12" customHeight="1" x14ac:dyDescent="0.3">
      <c r="A25" s="15">
        <v>21</v>
      </c>
      <c r="B25" s="15"/>
      <c r="C25" s="143"/>
      <c r="D25" s="144"/>
      <c r="E25" s="15"/>
      <c r="F25" s="143"/>
      <c r="G25" s="147"/>
      <c r="H25" s="52"/>
      <c r="I25" s="14"/>
      <c r="J25" s="36"/>
      <c r="K25" s="36"/>
      <c r="L25" s="13"/>
      <c r="M25" s="56"/>
      <c r="N25" s="145"/>
      <c r="O25" s="146"/>
      <c r="P25" s="57"/>
      <c r="Q25" s="36"/>
      <c r="R25" s="36"/>
      <c r="S25" s="36"/>
      <c r="T25" s="36"/>
      <c r="U25" s="36"/>
      <c r="V25" s="36"/>
      <c r="W25" s="36" t="s">
        <v>151</v>
      </c>
      <c r="X25" s="143"/>
      <c r="Y25" s="144"/>
      <c r="Z25" s="147"/>
      <c r="AA25" s="12"/>
      <c r="AB25" s="89"/>
      <c r="AC25" s="89"/>
      <c r="AD25" s="76"/>
      <c r="AE25" s="75"/>
      <c r="AF25" s="11">
        <f t="shared" si="0"/>
        <v>0</v>
      </c>
      <c r="AJ25" s="127">
        <f t="shared" si="1"/>
        <v>0</v>
      </c>
      <c r="AL25" s="53">
        <f t="shared" si="2"/>
        <v>0</v>
      </c>
      <c r="AM25" s="53">
        <f t="shared" si="3"/>
        <v>0</v>
      </c>
      <c r="AN25" s="53">
        <f t="shared" si="15"/>
        <v>0</v>
      </c>
      <c r="AO25" s="90">
        <f t="shared" si="4"/>
        <v>0</v>
      </c>
      <c r="AP25" s="90">
        <f t="shared" si="5"/>
        <v>0</v>
      </c>
      <c r="AQ25" s="29">
        <f t="shared" si="6"/>
        <v>0</v>
      </c>
      <c r="AR25" s="30">
        <f t="shared" si="7"/>
        <v>0</v>
      </c>
      <c r="AS25" s="29">
        <f t="shared" si="8"/>
        <v>0</v>
      </c>
      <c r="AT25" s="10">
        <f t="shared" si="16"/>
        <v>0</v>
      </c>
      <c r="AU25" s="10">
        <f t="shared" si="9"/>
        <v>0</v>
      </c>
      <c r="AV25" s="3"/>
      <c r="AW25" s="53">
        <f t="shared" si="17"/>
        <v>0</v>
      </c>
      <c r="AX25" s="53" t="str">
        <f t="shared" si="18"/>
        <v>0</v>
      </c>
      <c r="AY25" s="95">
        <f t="shared" si="10"/>
        <v>0</v>
      </c>
      <c r="AZ25" s="95">
        <f t="shared" si="19"/>
        <v>0</v>
      </c>
      <c r="BA25" s="36">
        <f t="shared" si="11"/>
        <v>0</v>
      </c>
      <c r="BB25" s="2"/>
      <c r="BC25" s="53">
        <f t="shared" si="20"/>
        <v>0</v>
      </c>
      <c r="BD25" s="53" t="str">
        <f t="shared" si="12"/>
        <v>0</v>
      </c>
      <c r="BE25" s="95">
        <f t="shared" si="13"/>
        <v>0</v>
      </c>
      <c r="BF25" s="95">
        <f t="shared" si="21"/>
        <v>0</v>
      </c>
      <c r="BG25" s="36" t="str">
        <f t="shared" si="14"/>
        <v>0</v>
      </c>
      <c r="BI25" s="9"/>
      <c r="BJ25" s="9"/>
      <c r="BU25" s="2" t="s">
        <v>52</v>
      </c>
      <c r="BV25" s="3"/>
      <c r="BW25" s="3"/>
    </row>
    <row r="26" spans="1:83" ht="12" customHeight="1" x14ac:dyDescent="0.3">
      <c r="A26" s="15">
        <v>22</v>
      </c>
      <c r="B26" s="15"/>
      <c r="C26" s="143"/>
      <c r="D26" s="144"/>
      <c r="E26" s="15"/>
      <c r="F26" s="143"/>
      <c r="G26" s="147"/>
      <c r="H26" s="52"/>
      <c r="I26" s="14"/>
      <c r="J26" s="36"/>
      <c r="K26" s="36"/>
      <c r="L26" s="13"/>
      <c r="M26" s="56"/>
      <c r="N26" s="145"/>
      <c r="O26" s="146"/>
      <c r="P26" s="57"/>
      <c r="Q26" s="36"/>
      <c r="R26" s="36"/>
      <c r="S26" s="36"/>
      <c r="T26" s="36"/>
      <c r="U26" s="36"/>
      <c r="V26" s="36"/>
      <c r="W26" s="36" t="s">
        <v>151</v>
      </c>
      <c r="X26" s="143"/>
      <c r="Y26" s="144"/>
      <c r="Z26" s="147"/>
      <c r="AA26" s="12"/>
      <c r="AB26" s="89"/>
      <c r="AC26" s="89"/>
      <c r="AD26" s="76"/>
      <c r="AE26" s="75"/>
      <c r="AF26" s="11">
        <f t="shared" si="0"/>
        <v>0</v>
      </c>
      <c r="AJ26" s="127">
        <f t="shared" si="1"/>
        <v>0</v>
      </c>
      <c r="AL26" s="53">
        <f t="shared" si="2"/>
        <v>0</v>
      </c>
      <c r="AM26" s="53">
        <f t="shared" si="3"/>
        <v>0</v>
      </c>
      <c r="AN26" s="53">
        <f t="shared" si="15"/>
        <v>0</v>
      </c>
      <c r="AO26" s="90">
        <f t="shared" si="4"/>
        <v>0</v>
      </c>
      <c r="AP26" s="90">
        <f t="shared" si="5"/>
        <v>0</v>
      </c>
      <c r="AQ26" s="29">
        <f t="shared" si="6"/>
        <v>0</v>
      </c>
      <c r="AR26" s="30">
        <f t="shared" si="7"/>
        <v>0</v>
      </c>
      <c r="AS26" s="29">
        <f t="shared" si="8"/>
        <v>0</v>
      </c>
      <c r="AT26" s="10">
        <f t="shared" si="16"/>
        <v>0</v>
      </c>
      <c r="AU26" s="10">
        <f t="shared" si="9"/>
        <v>0</v>
      </c>
      <c r="AV26" s="3"/>
      <c r="AW26" s="53">
        <f t="shared" si="17"/>
        <v>0</v>
      </c>
      <c r="AX26" s="53" t="str">
        <f t="shared" si="18"/>
        <v>0</v>
      </c>
      <c r="AY26" s="95">
        <f t="shared" si="10"/>
        <v>0</v>
      </c>
      <c r="AZ26" s="95">
        <f t="shared" si="19"/>
        <v>0</v>
      </c>
      <c r="BA26" s="36">
        <f t="shared" si="11"/>
        <v>0</v>
      </c>
      <c r="BB26" s="2"/>
      <c r="BC26" s="53">
        <f t="shared" si="20"/>
        <v>0</v>
      </c>
      <c r="BD26" s="53" t="str">
        <f t="shared" si="12"/>
        <v>0</v>
      </c>
      <c r="BE26" s="95">
        <f t="shared" si="13"/>
        <v>0</v>
      </c>
      <c r="BF26" s="95">
        <f t="shared" si="21"/>
        <v>0</v>
      </c>
      <c r="BG26" s="36" t="str">
        <f t="shared" si="14"/>
        <v>0</v>
      </c>
      <c r="BI26" s="9"/>
      <c r="BJ26" s="9"/>
      <c r="BU26" s="2" t="s">
        <v>53</v>
      </c>
      <c r="BV26" s="3"/>
      <c r="BW26" s="3"/>
    </row>
    <row r="27" spans="1:83" ht="12" customHeight="1" x14ac:dyDescent="0.3">
      <c r="A27" s="15">
        <v>23</v>
      </c>
      <c r="B27" s="15"/>
      <c r="C27" s="143"/>
      <c r="D27" s="144"/>
      <c r="E27" s="15"/>
      <c r="F27" s="143"/>
      <c r="G27" s="147"/>
      <c r="H27" s="52"/>
      <c r="I27" s="14"/>
      <c r="J27" s="36"/>
      <c r="K27" s="36"/>
      <c r="L27" s="13"/>
      <c r="M27" s="56"/>
      <c r="N27" s="145"/>
      <c r="O27" s="146"/>
      <c r="P27" s="57"/>
      <c r="Q27" s="36"/>
      <c r="R27" s="36"/>
      <c r="S27" s="36"/>
      <c r="T27" s="36"/>
      <c r="U27" s="36"/>
      <c r="V27" s="36"/>
      <c r="W27" s="36" t="s">
        <v>151</v>
      </c>
      <c r="X27" s="143"/>
      <c r="Y27" s="144"/>
      <c r="Z27" s="147"/>
      <c r="AA27" s="12"/>
      <c r="AB27" s="89"/>
      <c r="AC27" s="89"/>
      <c r="AD27" s="76"/>
      <c r="AE27" s="75"/>
      <c r="AF27" s="11">
        <f t="shared" si="0"/>
        <v>0</v>
      </c>
      <c r="AJ27" s="127">
        <f t="shared" si="1"/>
        <v>0</v>
      </c>
      <c r="AL27" s="53">
        <f t="shared" si="2"/>
        <v>0</v>
      </c>
      <c r="AM27" s="53">
        <f t="shared" si="3"/>
        <v>0</v>
      </c>
      <c r="AN27" s="53">
        <f t="shared" si="15"/>
        <v>0</v>
      </c>
      <c r="AO27" s="90">
        <f t="shared" si="4"/>
        <v>0</v>
      </c>
      <c r="AP27" s="90">
        <f t="shared" si="5"/>
        <v>0</v>
      </c>
      <c r="AQ27" s="29">
        <f t="shared" si="6"/>
        <v>0</v>
      </c>
      <c r="AR27" s="30">
        <f t="shared" si="7"/>
        <v>0</v>
      </c>
      <c r="AS27" s="29">
        <f t="shared" si="8"/>
        <v>0</v>
      </c>
      <c r="AT27" s="10">
        <f t="shared" si="16"/>
        <v>0</v>
      </c>
      <c r="AU27" s="10">
        <f t="shared" si="9"/>
        <v>0</v>
      </c>
      <c r="AV27" s="3"/>
      <c r="AW27" s="53">
        <f t="shared" si="17"/>
        <v>0</v>
      </c>
      <c r="AX27" s="53" t="str">
        <f t="shared" si="18"/>
        <v>0</v>
      </c>
      <c r="AY27" s="95">
        <f t="shared" si="10"/>
        <v>0</v>
      </c>
      <c r="AZ27" s="95">
        <f t="shared" si="19"/>
        <v>0</v>
      </c>
      <c r="BA27" s="36">
        <f t="shared" si="11"/>
        <v>0</v>
      </c>
      <c r="BB27" s="2"/>
      <c r="BC27" s="53">
        <f t="shared" si="20"/>
        <v>0</v>
      </c>
      <c r="BD27" s="53" t="str">
        <f t="shared" si="12"/>
        <v>0</v>
      </c>
      <c r="BE27" s="95">
        <f t="shared" si="13"/>
        <v>0</v>
      </c>
      <c r="BF27" s="95">
        <f t="shared" si="21"/>
        <v>0</v>
      </c>
      <c r="BG27" s="36" t="str">
        <f t="shared" si="14"/>
        <v>0</v>
      </c>
      <c r="BI27" s="9"/>
      <c r="BJ27" s="9"/>
      <c r="BU27" s="2" t="s">
        <v>54</v>
      </c>
      <c r="BV27" s="3"/>
      <c r="BW27" s="3"/>
    </row>
    <row r="28" spans="1:83" ht="12" customHeight="1" x14ac:dyDescent="0.3">
      <c r="A28" s="15">
        <v>24</v>
      </c>
      <c r="B28" s="15"/>
      <c r="C28" s="143"/>
      <c r="D28" s="144"/>
      <c r="E28" s="15"/>
      <c r="F28" s="143"/>
      <c r="G28" s="147"/>
      <c r="H28" s="52"/>
      <c r="I28" s="14"/>
      <c r="J28" s="36"/>
      <c r="K28" s="36"/>
      <c r="L28" s="13"/>
      <c r="M28" s="56"/>
      <c r="N28" s="145"/>
      <c r="O28" s="146"/>
      <c r="P28" s="57"/>
      <c r="Q28" s="36"/>
      <c r="R28" s="36"/>
      <c r="S28" s="36"/>
      <c r="T28" s="36"/>
      <c r="U28" s="36"/>
      <c r="V28" s="36"/>
      <c r="W28" s="36" t="s">
        <v>151</v>
      </c>
      <c r="X28" s="143"/>
      <c r="Y28" s="144"/>
      <c r="Z28" s="147"/>
      <c r="AA28" s="12"/>
      <c r="AB28" s="89"/>
      <c r="AC28" s="89"/>
      <c r="AD28" s="76"/>
      <c r="AE28" s="75"/>
      <c r="AF28" s="11">
        <f t="shared" si="0"/>
        <v>0</v>
      </c>
      <c r="AJ28" s="127">
        <f t="shared" si="1"/>
        <v>0</v>
      </c>
      <c r="AL28" s="53">
        <f t="shared" si="2"/>
        <v>0</v>
      </c>
      <c r="AM28" s="53">
        <f t="shared" si="3"/>
        <v>0</v>
      </c>
      <c r="AN28" s="53">
        <f t="shared" si="15"/>
        <v>0</v>
      </c>
      <c r="AO28" s="90">
        <f t="shared" si="4"/>
        <v>0</v>
      </c>
      <c r="AP28" s="90">
        <f t="shared" si="5"/>
        <v>0</v>
      </c>
      <c r="AQ28" s="29">
        <f t="shared" si="6"/>
        <v>0</v>
      </c>
      <c r="AR28" s="30">
        <f t="shared" si="7"/>
        <v>0</v>
      </c>
      <c r="AS28" s="29">
        <f t="shared" si="8"/>
        <v>0</v>
      </c>
      <c r="AT28" s="10">
        <f t="shared" si="16"/>
        <v>0</v>
      </c>
      <c r="AU28" s="10">
        <f t="shared" si="9"/>
        <v>0</v>
      </c>
      <c r="AV28" s="3"/>
      <c r="AW28" s="53">
        <f t="shared" si="17"/>
        <v>0</v>
      </c>
      <c r="AX28" s="53" t="str">
        <f t="shared" si="18"/>
        <v>0</v>
      </c>
      <c r="AY28" s="95">
        <f t="shared" si="10"/>
        <v>0</v>
      </c>
      <c r="AZ28" s="95">
        <f t="shared" si="19"/>
        <v>0</v>
      </c>
      <c r="BA28" s="36">
        <f t="shared" si="11"/>
        <v>0</v>
      </c>
      <c r="BB28" s="2"/>
      <c r="BC28" s="53">
        <f t="shared" si="20"/>
        <v>0</v>
      </c>
      <c r="BD28" s="53" t="str">
        <f t="shared" si="12"/>
        <v>0</v>
      </c>
      <c r="BE28" s="95">
        <f t="shared" si="13"/>
        <v>0</v>
      </c>
      <c r="BF28" s="95">
        <f t="shared" si="21"/>
        <v>0</v>
      </c>
      <c r="BG28" s="36" t="str">
        <f t="shared" si="14"/>
        <v>0</v>
      </c>
      <c r="BI28" s="9"/>
      <c r="BJ28" s="9"/>
      <c r="BU28" s="2" t="s">
        <v>55</v>
      </c>
      <c r="BV28" s="3"/>
      <c r="BW28" s="3"/>
    </row>
    <row r="29" spans="1:83" ht="12" customHeight="1" x14ac:dyDescent="0.3">
      <c r="A29" s="15">
        <v>25</v>
      </c>
      <c r="B29" s="15"/>
      <c r="C29" s="143"/>
      <c r="D29" s="144"/>
      <c r="E29" s="15"/>
      <c r="F29" s="143"/>
      <c r="G29" s="147"/>
      <c r="H29" s="52"/>
      <c r="I29" s="14"/>
      <c r="J29" s="36"/>
      <c r="K29" s="36"/>
      <c r="L29" s="13"/>
      <c r="M29" s="56"/>
      <c r="N29" s="145"/>
      <c r="O29" s="146"/>
      <c r="P29" s="57"/>
      <c r="Q29" s="36"/>
      <c r="R29" s="36"/>
      <c r="S29" s="36"/>
      <c r="T29" s="36"/>
      <c r="U29" s="36"/>
      <c r="V29" s="36"/>
      <c r="W29" s="36" t="s">
        <v>151</v>
      </c>
      <c r="X29" s="143"/>
      <c r="Y29" s="144"/>
      <c r="Z29" s="147"/>
      <c r="AA29" s="12"/>
      <c r="AB29" s="89"/>
      <c r="AC29" s="89"/>
      <c r="AD29" s="76"/>
      <c r="AE29" s="75"/>
      <c r="AF29" s="11">
        <f t="shared" si="0"/>
        <v>0</v>
      </c>
      <c r="AJ29" s="127">
        <f t="shared" si="1"/>
        <v>0</v>
      </c>
      <c r="AL29" s="53">
        <f t="shared" si="2"/>
        <v>0</v>
      </c>
      <c r="AM29" s="53">
        <f t="shared" si="3"/>
        <v>0</v>
      </c>
      <c r="AN29" s="53">
        <f t="shared" si="15"/>
        <v>0</v>
      </c>
      <c r="AO29" s="90">
        <f t="shared" si="4"/>
        <v>0</v>
      </c>
      <c r="AP29" s="90">
        <f t="shared" si="5"/>
        <v>0</v>
      </c>
      <c r="AQ29" s="29">
        <f t="shared" si="6"/>
        <v>0</v>
      </c>
      <c r="AR29" s="30">
        <f t="shared" si="7"/>
        <v>0</v>
      </c>
      <c r="AS29" s="29">
        <f t="shared" si="8"/>
        <v>0</v>
      </c>
      <c r="AT29" s="10">
        <f t="shared" si="16"/>
        <v>0</v>
      </c>
      <c r="AU29" s="10">
        <f t="shared" si="9"/>
        <v>0</v>
      </c>
      <c r="AV29" s="3"/>
      <c r="AW29" s="53">
        <f t="shared" si="17"/>
        <v>0</v>
      </c>
      <c r="AX29" s="53" t="str">
        <f t="shared" si="18"/>
        <v>0</v>
      </c>
      <c r="AY29" s="95">
        <f t="shared" si="10"/>
        <v>0</v>
      </c>
      <c r="AZ29" s="95">
        <f t="shared" si="19"/>
        <v>0</v>
      </c>
      <c r="BA29" s="36">
        <f t="shared" si="11"/>
        <v>0</v>
      </c>
      <c r="BB29" s="2"/>
      <c r="BC29" s="53">
        <f t="shared" si="20"/>
        <v>0</v>
      </c>
      <c r="BD29" s="53" t="str">
        <f t="shared" si="12"/>
        <v>0</v>
      </c>
      <c r="BE29" s="95">
        <f t="shared" si="13"/>
        <v>0</v>
      </c>
      <c r="BF29" s="95">
        <f t="shared" si="21"/>
        <v>0</v>
      </c>
      <c r="BG29" s="36" t="str">
        <f t="shared" si="14"/>
        <v>0</v>
      </c>
      <c r="BI29" s="9"/>
      <c r="BJ29" s="9"/>
      <c r="BV29" s="3"/>
      <c r="BW29" s="3"/>
    </row>
    <row r="30" spans="1:83" ht="12" customHeight="1" x14ac:dyDescent="0.3">
      <c r="A30" s="15">
        <v>26</v>
      </c>
      <c r="B30" s="15"/>
      <c r="C30" s="143"/>
      <c r="D30" s="144"/>
      <c r="E30" s="15"/>
      <c r="F30" s="143"/>
      <c r="G30" s="147"/>
      <c r="H30" s="52"/>
      <c r="I30" s="14"/>
      <c r="J30" s="36"/>
      <c r="K30" s="36"/>
      <c r="L30" s="13"/>
      <c r="M30" s="56"/>
      <c r="N30" s="145"/>
      <c r="O30" s="146"/>
      <c r="P30" s="57"/>
      <c r="Q30" s="36"/>
      <c r="R30" s="36"/>
      <c r="S30" s="36"/>
      <c r="T30" s="36"/>
      <c r="U30" s="36"/>
      <c r="V30" s="36"/>
      <c r="W30" s="36" t="s">
        <v>151</v>
      </c>
      <c r="X30" s="143"/>
      <c r="Y30" s="144"/>
      <c r="Z30" s="147"/>
      <c r="AA30" s="12"/>
      <c r="AB30" s="89"/>
      <c r="AC30" s="89"/>
      <c r="AD30" s="76"/>
      <c r="AE30" s="75"/>
      <c r="AF30" s="11">
        <f t="shared" si="0"/>
        <v>0</v>
      </c>
      <c r="AJ30" s="127">
        <f t="shared" si="1"/>
        <v>0</v>
      </c>
      <c r="AL30" s="53">
        <f t="shared" si="2"/>
        <v>0</v>
      </c>
      <c r="AM30" s="53">
        <f t="shared" si="3"/>
        <v>0</v>
      </c>
      <c r="AN30" s="53">
        <f t="shared" si="15"/>
        <v>0</v>
      </c>
      <c r="AO30" s="90">
        <f t="shared" si="4"/>
        <v>0</v>
      </c>
      <c r="AP30" s="90">
        <f t="shared" si="5"/>
        <v>0</v>
      </c>
      <c r="AQ30" s="29">
        <f t="shared" si="6"/>
        <v>0</v>
      </c>
      <c r="AR30" s="30">
        <f t="shared" si="7"/>
        <v>0</v>
      </c>
      <c r="AS30" s="29">
        <f t="shared" si="8"/>
        <v>0</v>
      </c>
      <c r="AT30" s="10">
        <f t="shared" si="16"/>
        <v>0</v>
      </c>
      <c r="AU30" s="10">
        <f t="shared" si="9"/>
        <v>0</v>
      </c>
      <c r="AV30" s="3"/>
      <c r="AW30" s="53">
        <f t="shared" si="17"/>
        <v>0</v>
      </c>
      <c r="AX30" s="53" t="str">
        <f t="shared" si="18"/>
        <v>0</v>
      </c>
      <c r="AY30" s="95">
        <f t="shared" si="10"/>
        <v>0</v>
      </c>
      <c r="AZ30" s="95">
        <f t="shared" si="19"/>
        <v>0</v>
      </c>
      <c r="BA30" s="36">
        <f t="shared" si="11"/>
        <v>0</v>
      </c>
      <c r="BB30" s="2"/>
      <c r="BC30" s="53">
        <f t="shared" si="20"/>
        <v>0</v>
      </c>
      <c r="BD30" s="53" t="str">
        <f t="shared" si="12"/>
        <v>0</v>
      </c>
      <c r="BE30" s="95">
        <f t="shared" si="13"/>
        <v>0</v>
      </c>
      <c r="BF30" s="95">
        <f t="shared" si="21"/>
        <v>0</v>
      </c>
      <c r="BG30" s="36" t="str">
        <f t="shared" si="14"/>
        <v>0</v>
      </c>
      <c r="BI30" s="9"/>
      <c r="BJ30" s="9"/>
      <c r="BV30" s="3"/>
      <c r="BW30" s="3"/>
    </row>
    <row r="31" spans="1:83" ht="12" customHeight="1" x14ac:dyDescent="0.3">
      <c r="A31" s="15">
        <v>27</v>
      </c>
      <c r="B31" s="15"/>
      <c r="C31" s="143"/>
      <c r="D31" s="144"/>
      <c r="E31" s="15"/>
      <c r="F31" s="143"/>
      <c r="G31" s="147"/>
      <c r="H31" s="52"/>
      <c r="I31" s="14"/>
      <c r="J31" s="36"/>
      <c r="K31" s="36"/>
      <c r="L31" s="13"/>
      <c r="M31" s="56"/>
      <c r="N31" s="145"/>
      <c r="O31" s="146"/>
      <c r="P31" s="57"/>
      <c r="Q31" s="36"/>
      <c r="R31" s="36"/>
      <c r="S31" s="36"/>
      <c r="T31" s="36"/>
      <c r="U31" s="36"/>
      <c r="V31" s="36"/>
      <c r="W31" s="36" t="s">
        <v>151</v>
      </c>
      <c r="X31" s="143"/>
      <c r="Y31" s="144"/>
      <c r="Z31" s="147"/>
      <c r="AA31" s="12"/>
      <c r="AB31" s="89"/>
      <c r="AC31" s="89"/>
      <c r="AD31" s="76"/>
      <c r="AE31" s="75"/>
      <c r="AF31" s="11">
        <f t="shared" si="0"/>
        <v>0</v>
      </c>
      <c r="AJ31" s="127">
        <f t="shared" si="1"/>
        <v>0</v>
      </c>
      <c r="AL31" s="53">
        <f t="shared" si="2"/>
        <v>0</v>
      </c>
      <c r="AM31" s="53">
        <f t="shared" si="3"/>
        <v>0</v>
      </c>
      <c r="AN31" s="53">
        <f t="shared" si="15"/>
        <v>0</v>
      </c>
      <c r="AO31" s="90">
        <f t="shared" si="4"/>
        <v>0</v>
      </c>
      <c r="AP31" s="90">
        <f t="shared" si="5"/>
        <v>0</v>
      </c>
      <c r="AQ31" s="29">
        <f t="shared" si="6"/>
        <v>0</v>
      </c>
      <c r="AR31" s="30">
        <f t="shared" si="7"/>
        <v>0</v>
      </c>
      <c r="AS31" s="29">
        <f t="shared" si="8"/>
        <v>0</v>
      </c>
      <c r="AT31" s="10">
        <f t="shared" si="16"/>
        <v>0</v>
      </c>
      <c r="AU31" s="10">
        <f t="shared" si="9"/>
        <v>0</v>
      </c>
      <c r="AV31" s="3"/>
      <c r="AW31" s="53">
        <f t="shared" si="17"/>
        <v>0</v>
      </c>
      <c r="AX31" s="53" t="str">
        <f t="shared" si="18"/>
        <v>0</v>
      </c>
      <c r="AY31" s="95">
        <f t="shared" si="10"/>
        <v>0</v>
      </c>
      <c r="AZ31" s="95">
        <f t="shared" si="19"/>
        <v>0</v>
      </c>
      <c r="BA31" s="36">
        <f t="shared" si="11"/>
        <v>0</v>
      </c>
      <c r="BB31" s="2"/>
      <c r="BC31" s="53">
        <f t="shared" si="20"/>
        <v>0</v>
      </c>
      <c r="BD31" s="53" t="str">
        <f t="shared" si="12"/>
        <v>0</v>
      </c>
      <c r="BE31" s="95">
        <f t="shared" si="13"/>
        <v>0</v>
      </c>
      <c r="BF31" s="95">
        <f t="shared" si="21"/>
        <v>0</v>
      </c>
      <c r="BG31" s="36" t="str">
        <f t="shared" si="14"/>
        <v>0</v>
      </c>
      <c r="BI31" s="9"/>
      <c r="BJ31" s="9"/>
      <c r="BV31" s="3"/>
      <c r="BW31" s="3"/>
    </row>
    <row r="32" spans="1:83" ht="12" customHeight="1" x14ac:dyDescent="0.3">
      <c r="A32" s="15">
        <v>28</v>
      </c>
      <c r="B32" s="15"/>
      <c r="C32" s="143"/>
      <c r="D32" s="144"/>
      <c r="E32" s="15"/>
      <c r="F32" s="143"/>
      <c r="G32" s="147"/>
      <c r="H32" s="52"/>
      <c r="I32" s="14"/>
      <c r="J32" s="36"/>
      <c r="K32" s="36"/>
      <c r="L32" s="13"/>
      <c r="M32" s="56"/>
      <c r="N32" s="145"/>
      <c r="O32" s="146"/>
      <c r="P32" s="57"/>
      <c r="Q32" s="36"/>
      <c r="R32" s="36"/>
      <c r="S32" s="36"/>
      <c r="T32" s="36"/>
      <c r="U32" s="36"/>
      <c r="V32" s="36"/>
      <c r="W32" s="36" t="s">
        <v>151</v>
      </c>
      <c r="X32" s="143"/>
      <c r="Y32" s="144"/>
      <c r="Z32" s="147"/>
      <c r="AA32" s="12"/>
      <c r="AB32" s="89"/>
      <c r="AC32" s="89"/>
      <c r="AD32" s="76"/>
      <c r="AE32" s="75"/>
      <c r="AF32" s="11">
        <f t="shared" si="0"/>
        <v>0</v>
      </c>
      <c r="AJ32" s="127">
        <f t="shared" si="1"/>
        <v>0</v>
      </c>
      <c r="AL32" s="53">
        <f t="shared" si="2"/>
        <v>0</v>
      </c>
      <c r="AM32" s="53">
        <f t="shared" si="3"/>
        <v>0</v>
      </c>
      <c r="AN32" s="53">
        <f t="shared" si="15"/>
        <v>0</v>
      </c>
      <c r="AO32" s="90">
        <f t="shared" si="4"/>
        <v>0</v>
      </c>
      <c r="AP32" s="90">
        <f t="shared" si="5"/>
        <v>0</v>
      </c>
      <c r="AQ32" s="29">
        <f t="shared" si="6"/>
        <v>0</v>
      </c>
      <c r="AR32" s="30">
        <f t="shared" si="7"/>
        <v>0</v>
      </c>
      <c r="AS32" s="29">
        <f t="shared" si="8"/>
        <v>0</v>
      </c>
      <c r="AT32" s="10">
        <f t="shared" si="16"/>
        <v>0</v>
      </c>
      <c r="AU32" s="10">
        <f t="shared" si="9"/>
        <v>0</v>
      </c>
      <c r="AV32" s="3"/>
      <c r="AW32" s="53">
        <f t="shared" si="17"/>
        <v>0</v>
      </c>
      <c r="AX32" s="53" t="str">
        <f t="shared" si="18"/>
        <v>0</v>
      </c>
      <c r="AY32" s="95">
        <f t="shared" si="10"/>
        <v>0</v>
      </c>
      <c r="AZ32" s="95">
        <f t="shared" si="19"/>
        <v>0</v>
      </c>
      <c r="BA32" s="36">
        <f t="shared" si="11"/>
        <v>0</v>
      </c>
      <c r="BB32" s="2"/>
      <c r="BC32" s="53">
        <f t="shared" si="20"/>
        <v>0</v>
      </c>
      <c r="BD32" s="53" t="str">
        <f t="shared" si="12"/>
        <v>0</v>
      </c>
      <c r="BE32" s="95">
        <f t="shared" si="13"/>
        <v>0</v>
      </c>
      <c r="BF32" s="95">
        <f t="shared" si="21"/>
        <v>0</v>
      </c>
      <c r="BG32" s="36" t="str">
        <f t="shared" si="14"/>
        <v>0</v>
      </c>
      <c r="BI32" s="9"/>
      <c r="BJ32" s="9"/>
      <c r="BV32" s="3"/>
      <c r="BW32" s="3"/>
    </row>
    <row r="33" spans="1:75" ht="12" customHeight="1" x14ac:dyDescent="0.3">
      <c r="A33" s="15">
        <v>29</v>
      </c>
      <c r="B33" s="15"/>
      <c r="C33" s="143"/>
      <c r="D33" s="144"/>
      <c r="E33" s="15"/>
      <c r="F33" s="143"/>
      <c r="G33" s="147"/>
      <c r="H33" s="52"/>
      <c r="I33" s="14"/>
      <c r="J33" s="36"/>
      <c r="K33" s="36"/>
      <c r="L33" s="13"/>
      <c r="M33" s="56"/>
      <c r="N33" s="145"/>
      <c r="O33" s="146"/>
      <c r="P33" s="57"/>
      <c r="Q33" s="36"/>
      <c r="R33" s="36"/>
      <c r="S33" s="36"/>
      <c r="T33" s="36"/>
      <c r="U33" s="36"/>
      <c r="V33" s="36"/>
      <c r="W33" s="36" t="s">
        <v>151</v>
      </c>
      <c r="X33" s="143"/>
      <c r="Y33" s="144"/>
      <c r="Z33" s="147"/>
      <c r="AA33" s="12"/>
      <c r="AB33" s="89"/>
      <c r="AC33" s="89"/>
      <c r="AD33" s="76"/>
      <c r="AE33" s="75"/>
      <c r="AF33" s="11">
        <f t="shared" si="0"/>
        <v>0</v>
      </c>
      <c r="AJ33" s="127">
        <f t="shared" si="1"/>
        <v>0</v>
      </c>
      <c r="AL33" s="53">
        <f t="shared" si="2"/>
        <v>0</v>
      </c>
      <c r="AM33" s="53">
        <f t="shared" si="3"/>
        <v>0</v>
      </c>
      <c r="AN33" s="53">
        <f t="shared" si="15"/>
        <v>0</v>
      </c>
      <c r="AO33" s="90">
        <f t="shared" si="4"/>
        <v>0</v>
      </c>
      <c r="AP33" s="90">
        <f t="shared" si="5"/>
        <v>0</v>
      </c>
      <c r="AQ33" s="29">
        <f t="shared" si="6"/>
        <v>0</v>
      </c>
      <c r="AR33" s="30">
        <f t="shared" si="7"/>
        <v>0</v>
      </c>
      <c r="AS33" s="29">
        <f t="shared" si="8"/>
        <v>0</v>
      </c>
      <c r="AT33" s="10">
        <f t="shared" si="16"/>
        <v>0</v>
      </c>
      <c r="AU33" s="10">
        <f t="shared" si="9"/>
        <v>0</v>
      </c>
      <c r="AV33" s="3"/>
      <c r="AW33" s="53">
        <f t="shared" si="17"/>
        <v>0</v>
      </c>
      <c r="AX33" s="53" t="str">
        <f t="shared" si="18"/>
        <v>0</v>
      </c>
      <c r="AY33" s="95">
        <f t="shared" si="10"/>
        <v>0</v>
      </c>
      <c r="AZ33" s="95">
        <f t="shared" si="19"/>
        <v>0</v>
      </c>
      <c r="BA33" s="36">
        <f t="shared" si="11"/>
        <v>0</v>
      </c>
      <c r="BB33" s="2"/>
      <c r="BC33" s="53">
        <f t="shared" si="20"/>
        <v>0</v>
      </c>
      <c r="BD33" s="53" t="str">
        <f t="shared" si="12"/>
        <v>0</v>
      </c>
      <c r="BE33" s="95">
        <f t="shared" si="13"/>
        <v>0</v>
      </c>
      <c r="BF33" s="95">
        <f t="shared" si="21"/>
        <v>0</v>
      </c>
      <c r="BG33" s="36" t="str">
        <f t="shared" si="14"/>
        <v>0</v>
      </c>
      <c r="BI33" s="9"/>
      <c r="BJ33" s="9"/>
      <c r="BV33" s="3"/>
      <c r="BW33" s="3"/>
    </row>
    <row r="34" spans="1:75" ht="12" customHeight="1" thickBot="1" x14ac:dyDescent="0.35">
      <c r="A34" s="15">
        <v>30</v>
      </c>
      <c r="B34" s="15"/>
      <c r="C34" s="143"/>
      <c r="D34" s="144"/>
      <c r="E34" s="15"/>
      <c r="F34" s="143"/>
      <c r="G34" s="147"/>
      <c r="H34" s="52"/>
      <c r="I34" s="14"/>
      <c r="J34" s="36"/>
      <c r="K34" s="36"/>
      <c r="L34" s="13"/>
      <c r="M34" s="56"/>
      <c r="N34" s="145"/>
      <c r="O34" s="146"/>
      <c r="P34" s="57"/>
      <c r="Q34" s="36"/>
      <c r="R34" s="36"/>
      <c r="S34" s="36"/>
      <c r="T34" s="36"/>
      <c r="U34" s="36"/>
      <c r="V34" s="36"/>
      <c r="W34" s="36" t="s">
        <v>151</v>
      </c>
      <c r="X34" s="143"/>
      <c r="Y34" s="144"/>
      <c r="Z34" s="147"/>
      <c r="AA34" s="12"/>
      <c r="AB34" s="89"/>
      <c r="AC34" s="89"/>
      <c r="AD34" s="76"/>
      <c r="AE34" s="75"/>
      <c r="AF34" s="11">
        <f t="shared" si="0"/>
        <v>0</v>
      </c>
      <c r="AJ34" s="127">
        <f t="shared" si="1"/>
        <v>0</v>
      </c>
      <c r="AL34" s="53">
        <f t="shared" si="2"/>
        <v>0</v>
      </c>
      <c r="AM34" s="53">
        <f t="shared" si="3"/>
        <v>0</v>
      </c>
      <c r="AN34" s="53">
        <f t="shared" si="15"/>
        <v>0</v>
      </c>
      <c r="AO34" s="90">
        <f t="shared" si="4"/>
        <v>0</v>
      </c>
      <c r="AP34" s="90">
        <f t="shared" si="5"/>
        <v>0</v>
      </c>
      <c r="AQ34" s="29">
        <f t="shared" si="6"/>
        <v>0</v>
      </c>
      <c r="AR34" s="30">
        <f t="shared" si="7"/>
        <v>0</v>
      </c>
      <c r="AS34" s="29">
        <f t="shared" si="8"/>
        <v>0</v>
      </c>
      <c r="AT34" s="10">
        <f t="shared" si="16"/>
        <v>0</v>
      </c>
      <c r="AU34" s="10">
        <f t="shared" si="9"/>
        <v>0</v>
      </c>
      <c r="AV34" s="3"/>
      <c r="AW34" s="53">
        <f t="shared" si="17"/>
        <v>0</v>
      </c>
      <c r="AX34" s="53" t="str">
        <f t="shared" si="18"/>
        <v>0</v>
      </c>
      <c r="AY34" s="95">
        <f t="shared" si="10"/>
        <v>0</v>
      </c>
      <c r="AZ34" s="95">
        <f t="shared" si="19"/>
        <v>0</v>
      </c>
      <c r="BA34" s="36">
        <f t="shared" si="11"/>
        <v>0</v>
      </c>
      <c r="BB34" s="2"/>
      <c r="BC34" s="53">
        <f t="shared" si="20"/>
        <v>0</v>
      </c>
      <c r="BD34" s="53" t="str">
        <f t="shared" si="12"/>
        <v>0</v>
      </c>
      <c r="BE34" s="95">
        <f t="shared" si="13"/>
        <v>0</v>
      </c>
      <c r="BF34" s="95">
        <f t="shared" si="21"/>
        <v>0</v>
      </c>
      <c r="BG34" s="36" t="str">
        <f t="shared" si="14"/>
        <v>0</v>
      </c>
      <c r="BI34" s="9"/>
      <c r="BJ34" s="9"/>
      <c r="BV34" s="3"/>
      <c r="BW34" s="3"/>
    </row>
    <row r="35" spans="1:75" ht="12" hidden="1" customHeight="1" x14ac:dyDescent="0.3">
      <c r="A35" s="15">
        <v>31</v>
      </c>
      <c r="B35" s="15"/>
      <c r="C35" s="143"/>
      <c r="D35" s="144"/>
      <c r="E35" s="15"/>
      <c r="F35" s="143"/>
      <c r="G35" s="147"/>
      <c r="H35" s="52"/>
      <c r="I35" s="14"/>
      <c r="J35" s="36"/>
      <c r="K35" s="36"/>
      <c r="L35" s="13"/>
      <c r="M35" s="56"/>
      <c r="N35" s="145"/>
      <c r="O35" s="146"/>
      <c r="P35" s="57"/>
      <c r="Q35" s="36"/>
      <c r="R35" s="36"/>
      <c r="S35" s="36"/>
      <c r="T35" s="36"/>
      <c r="U35" s="36"/>
      <c r="V35" s="36"/>
      <c r="W35" s="36" t="s">
        <v>151</v>
      </c>
      <c r="X35" s="143"/>
      <c r="Y35" s="144"/>
      <c r="Z35" s="147"/>
      <c r="AA35" s="12"/>
      <c r="AB35" s="89"/>
      <c r="AC35" s="89"/>
      <c r="AD35" s="76"/>
      <c r="AE35" s="75"/>
      <c r="AF35" s="11">
        <f t="shared" si="0"/>
        <v>0</v>
      </c>
      <c r="AJ35" s="127">
        <f t="shared" si="1"/>
        <v>0</v>
      </c>
      <c r="AL35" s="53">
        <f t="shared" si="2"/>
        <v>0</v>
      </c>
      <c r="AM35" s="53">
        <f t="shared" si="3"/>
        <v>0</v>
      </c>
      <c r="AN35" s="53">
        <f t="shared" si="15"/>
        <v>0</v>
      </c>
      <c r="AO35" s="90">
        <f t="shared" si="4"/>
        <v>0</v>
      </c>
      <c r="AP35" s="90">
        <f t="shared" si="5"/>
        <v>0</v>
      </c>
      <c r="AQ35" s="29">
        <f t="shared" si="6"/>
        <v>0</v>
      </c>
      <c r="AR35" s="30">
        <f t="shared" si="7"/>
        <v>0</v>
      </c>
      <c r="AS35" s="29">
        <f t="shared" si="8"/>
        <v>0</v>
      </c>
      <c r="AT35" s="10">
        <f t="shared" si="16"/>
        <v>0</v>
      </c>
      <c r="AU35" s="10">
        <f t="shared" si="9"/>
        <v>0</v>
      </c>
      <c r="AV35" s="3"/>
      <c r="AW35" s="53">
        <f t="shared" si="17"/>
        <v>0</v>
      </c>
      <c r="AX35" s="53" t="str">
        <f t="shared" si="18"/>
        <v>0</v>
      </c>
      <c r="AY35" s="95">
        <f t="shared" si="10"/>
        <v>0</v>
      </c>
      <c r="AZ35" s="95">
        <f t="shared" si="19"/>
        <v>0</v>
      </c>
      <c r="BA35" s="36">
        <f t="shared" si="11"/>
        <v>0</v>
      </c>
      <c r="BB35" s="2"/>
      <c r="BC35" s="53">
        <f t="shared" si="20"/>
        <v>0</v>
      </c>
      <c r="BD35" s="53" t="str">
        <f t="shared" si="12"/>
        <v>0</v>
      </c>
      <c r="BE35" s="95">
        <f t="shared" si="13"/>
        <v>0</v>
      </c>
      <c r="BF35" s="95">
        <f t="shared" si="21"/>
        <v>0</v>
      </c>
      <c r="BG35" s="36" t="str">
        <f t="shared" si="14"/>
        <v>0</v>
      </c>
      <c r="BI35" s="9"/>
      <c r="BJ35" s="9"/>
      <c r="BV35" s="3"/>
      <c r="BW35" s="3"/>
    </row>
    <row r="36" spans="1:75" ht="12" hidden="1" customHeight="1" x14ac:dyDescent="0.3">
      <c r="A36" s="15">
        <v>32</v>
      </c>
      <c r="B36" s="15"/>
      <c r="C36" s="143"/>
      <c r="D36" s="144"/>
      <c r="E36" s="15"/>
      <c r="F36" s="143"/>
      <c r="G36" s="147"/>
      <c r="H36" s="52"/>
      <c r="I36" s="14"/>
      <c r="J36" s="36"/>
      <c r="K36" s="36"/>
      <c r="L36" s="13"/>
      <c r="M36" s="56"/>
      <c r="N36" s="145"/>
      <c r="O36" s="146"/>
      <c r="P36" s="57"/>
      <c r="Q36" s="36"/>
      <c r="R36" s="36"/>
      <c r="S36" s="36"/>
      <c r="T36" s="36"/>
      <c r="U36" s="36"/>
      <c r="V36" s="36"/>
      <c r="W36" s="36" t="s">
        <v>151</v>
      </c>
      <c r="X36" s="143"/>
      <c r="Y36" s="144"/>
      <c r="Z36" s="147"/>
      <c r="AA36" s="12"/>
      <c r="AB36" s="89"/>
      <c r="AC36" s="89"/>
      <c r="AD36" s="76"/>
      <c r="AE36" s="75"/>
      <c r="AF36" s="11">
        <f t="shared" si="0"/>
        <v>0</v>
      </c>
      <c r="AJ36" s="127">
        <f t="shared" si="1"/>
        <v>0</v>
      </c>
      <c r="AL36" s="53">
        <f t="shared" si="2"/>
        <v>0</v>
      </c>
      <c r="AM36" s="53">
        <f t="shared" si="3"/>
        <v>0</v>
      </c>
      <c r="AN36" s="53">
        <f t="shared" si="15"/>
        <v>0</v>
      </c>
      <c r="AO36" s="90">
        <f t="shared" si="4"/>
        <v>0</v>
      </c>
      <c r="AP36" s="90">
        <f t="shared" si="5"/>
        <v>0</v>
      </c>
      <c r="AQ36" s="29">
        <f t="shared" si="6"/>
        <v>0</v>
      </c>
      <c r="AR36" s="30">
        <f t="shared" si="7"/>
        <v>0</v>
      </c>
      <c r="AS36" s="29">
        <f t="shared" si="8"/>
        <v>0</v>
      </c>
      <c r="AT36" s="10">
        <f t="shared" si="16"/>
        <v>0</v>
      </c>
      <c r="AU36" s="10">
        <f t="shared" si="9"/>
        <v>0</v>
      </c>
      <c r="AV36" s="3"/>
      <c r="AW36" s="53">
        <f t="shared" si="17"/>
        <v>0</v>
      </c>
      <c r="AX36" s="53" t="str">
        <f t="shared" si="18"/>
        <v>0</v>
      </c>
      <c r="AY36" s="95">
        <f t="shared" si="10"/>
        <v>0</v>
      </c>
      <c r="AZ36" s="95">
        <f t="shared" si="19"/>
        <v>0</v>
      </c>
      <c r="BA36" s="36">
        <f t="shared" si="11"/>
        <v>0</v>
      </c>
      <c r="BB36" s="2"/>
      <c r="BC36" s="53">
        <f t="shared" si="20"/>
        <v>0</v>
      </c>
      <c r="BD36" s="53" t="str">
        <f t="shared" si="12"/>
        <v>0</v>
      </c>
      <c r="BE36" s="95">
        <f t="shared" si="13"/>
        <v>0</v>
      </c>
      <c r="BF36" s="95">
        <f t="shared" si="21"/>
        <v>0</v>
      </c>
      <c r="BG36" s="36" t="str">
        <f t="shared" si="14"/>
        <v>0</v>
      </c>
      <c r="BV36" s="3"/>
      <c r="BW36" s="3"/>
    </row>
    <row r="37" spans="1:75" ht="12" hidden="1" customHeight="1" x14ac:dyDescent="0.3">
      <c r="A37" s="15">
        <v>33</v>
      </c>
      <c r="B37" s="15"/>
      <c r="C37" s="143"/>
      <c r="D37" s="144"/>
      <c r="E37" s="15"/>
      <c r="F37" s="143"/>
      <c r="G37" s="147"/>
      <c r="H37" s="52"/>
      <c r="I37" s="14"/>
      <c r="J37" s="36"/>
      <c r="K37" s="36"/>
      <c r="L37" s="13"/>
      <c r="M37" s="56"/>
      <c r="N37" s="145"/>
      <c r="O37" s="146"/>
      <c r="P37" s="57"/>
      <c r="Q37" s="36"/>
      <c r="R37" s="36"/>
      <c r="S37" s="36"/>
      <c r="T37" s="36"/>
      <c r="U37" s="36"/>
      <c r="V37" s="36"/>
      <c r="W37" s="36" t="s">
        <v>151</v>
      </c>
      <c r="X37" s="143"/>
      <c r="Y37" s="144"/>
      <c r="Z37" s="147"/>
      <c r="AA37" s="12"/>
      <c r="AB37" s="89"/>
      <c r="AC37" s="89"/>
      <c r="AD37" s="76"/>
      <c r="AE37" s="75"/>
      <c r="AF37" s="11">
        <f t="shared" ref="AF37:AF68" si="22">SUM(AT37+AU37)</f>
        <v>0</v>
      </c>
      <c r="AJ37" s="127">
        <f t="shared" ref="AJ37:AJ68" si="23">(I37*H37)/12</f>
        <v>0</v>
      </c>
      <c r="AL37" s="53">
        <f t="shared" ref="AL37:AL68" si="24">IFERROR((AY37/$B$3)*$AA$2,0)</f>
        <v>0</v>
      </c>
      <c r="AM37" s="53">
        <f t="shared" ref="AM37:AM68" si="25">AA37+AL37</f>
        <v>0</v>
      </c>
      <c r="AN37" s="53">
        <f t="shared" si="15"/>
        <v>0</v>
      </c>
      <c r="AO37" s="90">
        <f t="shared" ref="AO37:AO68" si="26">IFERROR((AY37/$B$3)*($AD$2*$AH$5),0)</f>
        <v>0</v>
      </c>
      <c r="AP37" s="90">
        <f t="shared" ref="AP37:AP68" si="27">IF($S$3="Yes",(AY37/$B$3)*($AH$5*2),0)</f>
        <v>0</v>
      </c>
      <c r="AQ37" s="29">
        <f t="shared" ref="AQ37:AQ68" si="28">((AZ37+BF37))*$AH$8</f>
        <v>0</v>
      </c>
      <c r="AR37" s="30">
        <f t="shared" ref="AR37:AR68" si="29">AF37*$AC$210</f>
        <v>0</v>
      </c>
      <c r="AS37" s="29">
        <f t="shared" ref="AS37:AS68" si="30">AF37-AT37-AR37-AQ37</f>
        <v>0</v>
      </c>
      <c r="AT37" s="10">
        <f t="shared" si="16"/>
        <v>0</v>
      </c>
      <c r="AU37" s="10">
        <f t="shared" ref="AU37:AU68" si="31">AT37*$AC$214</f>
        <v>0</v>
      </c>
      <c r="AV37" s="3"/>
      <c r="AW37" s="53">
        <f t="shared" si="17"/>
        <v>0</v>
      </c>
      <c r="AX37" s="53" t="str">
        <f t="shared" si="18"/>
        <v>0</v>
      </c>
      <c r="AY37" s="95">
        <f t="shared" ref="AY37:AY68" si="32">(I37*J37*H37)/144</f>
        <v>0</v>
      </c>
      <c r="AZ37" s="95">
        <f t="shared" si="19"/>
        <v>0</v>
      </c>
      <c r="BA37" s="36">
        <f t="shared" ref="BA37:BA68" si="33">H37</f>
        <v>0</v>
      </c>
      <c r="BB37" s="2"/>
      <c r="BC37" s="53">
        <f t="shared" si="20"/>
        <v>0</v>
      </c>
      <c r="BD37" s="53" t="str">
        <f t="shared" ref="BD37:BD68" si="34">IF($V$3="Yes",(BC37*0.4),"0")</f>
        <v>0</v>
      </c>
      <c r="BE37" s="95">
        <f t="shared" ref="BE37:BE68" si="35">IF(W37="Yes",((I37*J37*H37)/144),0)</f>
        <v>0</v>
      </c>
      <c r="BF37" s="95">
        <f t="shared" si="21"/>
        <v>0</v>
      </c>
      <c r="BG37" s="36" t="str">
        <f t="shared" ref="BG37:BG68" si="36">IF(W37="Yes",H37,"0")</f>
        <v>0</v>
      </c>
      <c r="BV37" s="3"/>
      <c r="BW37" s="3"/>
    </row>
    <row r="38" spans="1:75" ht="12" hidden="1" customHeight="1" x14ac:dyDescent="0.3">
      <c r="A38" s="15">
        <v>34</v>
      </c>
      <c r="B38" s="15"/>
      <c r="C38" s="143"/>
      <c r="D38" s="144"/>
      <c r="E38" s="15"/>
      <c r="F38" s="143"/>
      <c r="G38" s="147"/>
      <c r="H38" s="52"/>
      <c r="I38" s="14"/>
      <c r="J38" s="36"/>
      <c r="K38" s="36"/>
      <c r="L38" s="13"/>
      <c r="M38" s="56"/>
      <c r="N38" s="145"/>
      <c r="O38" s="146"/>
      <c r="P38" s="57"/>
      <c r="Q38" s="36"/>
      <c r="R38" s="36"/>
      <c r="S38" s="36"/>
      <c r="T38" s="36"/>
      <c r="U38" s="36"/>
      <c r="V38" s="36"/>
      <c r="W38" s="36" t="s">
        <v>151</v>
      </c>
      <c r="X38" s="143"/>
      <c r="Y38" s="144"/>
      <c r="Z38" s="147"/>
      <c r="AA38" s="12"/>
      <c r="AB38" s="89"/>
      <c r="AC38" s="89"/>
      <c r="AD38" s="76"/>
      <c r="AE38" s="75"/>
      <c r="AF38" s="11">
        <f t="shared" si="22"/>
        <v>0</v>
      </c>
      <c r="AJ38" s="127">
        <f t="shared" si="23"/>
        <v>0</v>
      </c>
      <c r="AL38" s="53">
        <f t="shared" si="24"/>
        <v>0</v>
      </c>
      <c r="AM38" s="53">
        <f t="shared" si="25"/>
        <v>0</v>
      </c>
      <c r="AN38" s="53">
        <f t="shared" si="15"/>
        <v>0</v>
      </c>
      <c r="AO38" s="90">
        <f t="shared" si="26"/>
        <v>0</v>
      </c>
      <c r="AP38" s="90">
        <f t="shared" si="27"/>
        <v>0</v>
      </c>
      <c r="AQ38" s="29">
        <f t="shared" si="28"/>
        <v>0</v>
      </c>
      <c r="AR38" s="30">
        <f t="shared" si="29"/>
        <v>0</v>
      </c>
      <c r="AS38" s="29">
        <f t="shared" si="30"/>
        <v>0</v>
      </c>
      <c r="AT38" s="10">
        <f t="shared" si="16"/>
        <v>0</v>
      </c>
      <c r="AU38" s="10">
        <f t="shared" si="31"/>
        <v>0</v>
      </c>
      <c r="AV38" s="3"/>
      <c r="AW38" s="53">
        <f t="shared" si="17"/>
        <v>0</v>
      </c>
      <c r="AX38" s="53" t="str">
        <f t="shared" si="18"/>
        <v>0</v>
      </c>
      <c r="AY38" s="95">
        <f t="shared" si="32"/>
        <v>0</v>
      </c>
      <c r="AZ38" s="95">
        <f t="shared" si="19"/>
        <v>0</v>
      </c>
      <c r="BA38" s="36">
        <f t="shared" si="33"/>
        <v>0</v>
      </c>
      <c r="BB38" s="2"/>
      <c r="BC38" s="53">
        <f t="shared" si="20"/>
        <v>0</v>
      </c>
      <c r="BD38" s="53" t="str">
        <f t="shared" si="34"/>
        <v>0</v>
      </c>
      <c r="BE38" s="95">
        <f t="shared" si="35"/>
        <v>0</v>
      </c>
      <c r="BF38" s="95">
        <f t="shared" si="21"/>
        <v>0</v>
      </c>
      <c r="BG38" s="36" t="str">
        <f t="shared" si="36"/>
        <v>0</v>
      </c>
      <c r="BV38" s="3"/>
      <c r="BW38" s="3"/>
    </row>
    <row r="39" spans="1:75" ht="12" hidden="1" customHeight="1" x14ac:dyDescent="0.3">
      <c r="A39" s="15">
        <v>35</v>
      </c>
      <c r="B39" s="15"/>
      <c r="C39" s="143"/>
      <c r="D39" s="144"/>
      <c r="E39" s="15"/>
      <c r="F39" s="143"/>
      <c r="G39" s="147"/>
      <c r="H39" s="52"/>
      <c r="I39" s="14"/>
      <c r="J39" s="36"/>
      <c r="K39" s="36"/>
      <c r="L39" s="13"/>
      <c r="M39" s="56"/>
      <c r="N39" s="145"/>
      <c r="O39" s="146"/>
      <c r="P39" s="57"/>
      <c r="Q39" s="36"/>
      <c r="R39" s="36"/>
      <c r="S39" s="36"/>
      <c r="T39" s="36"/>
      <c r="U39" s="36"/>
      <c r="V39" s="36"/>
      <c r="W39" s="36" t="s">
        <v>151</v>
      </c>
      <c r="X39" s="143"/>
      <c r="Y39" s="144"/>
      <c r="Z39" s="147"/>
      <c r="AA39" s="12"/>
      <c r="AB39" s="89"/>
      <c r="AC39" s="89"/>
      <c r="AD39" s="76"/>
      <c r="AE39" s="75"/>
      <c r="AF39" s="11">
        <f t="shared" si="22"/>
        <v>0</v>
      </c>
      <c r="AJ39" s="127">
        <f t="shared" si="23"/>
        <v>0</v>
      </c>
      <c r="AL39" s="53">
        <f t="shared" si="24"/>
        <v>0</v>
      </c>
      <c r="AM39" s="53">
        <f t="shared" si="25"/>
        <v>0</v>
      </c>
      <c r="AN39" s="53">
        <f t="shared" si="15"/>
        <v>0</v>
      </c>
      <c r="AO39" s="90">
        <f t="shared" si="26"/>
        <v>0</v>
      </c>
      <c r="AP39" s="90">
        <f t="shared" si="27"/>
        <v>0</v>
      </c>
      <c r="AQ39" s="29">
        <f t="shared" si="28"/>
        <v>0</v>
      </c>
      <c r="AR39" s="30">
        <f t="shared" si="29"/>
        <v>0</v>
      </c>
      <c r="AS39" s="29">
        <f t="shared" si="30"/>
        <v>0</v>
      </c>
      <c r="AT39" s="10">
        <f t="shared" si="16"/>
        <v>0</v>
      </c>
      <c r="AU39" s="10">
        <f t="shared" si="31"/>
        <v>0</v>
      </c>
      <c r="AV39" s="3"/>
      <c r="AW39" s="53">
        <f t="shared" si="17"/>
        <v>0</v>
      </c>
      <c r="AX39" s="53" t="str">
        <f t="shared" si="18"/>
        <v>0</v>
      </c>
      <c r="AY39" s="95">
        <f t="shared" si="32"/>
        <v>0</v>
      </c>
      <c r="AZ39" s="95">
        <f t="shared" si="19"/>
        <v>0</v>
      </c>
      <c r="BA39" s="36">
        <f t="shared" si="33"/>
        <v>0</v>
      </c>
      <c r="BB39" s="2"/>
      <c r="BC39" s="53">
        <f t="shared" si="20"/>
        <v>0</v>
      </c>
      <c r="BD39" s="53" t="str">
        <f t="shared" si="34"/>
        <v>0</v>
      </c>
      <c r="BE39" s="95">
        <f t="shared" si="35"/>
        <v>0</v>
      </c>
      <c r="BF39" s="95">
        <f t="shared" si="21"/>
        <v>0</v>
      </c>
      <c r="BG39" s="36" t="str">
        <f t="shared" si="36"/>
        <v>0</v>
      </c>
      <c r="BV39" s="3"/>
      <c r="BW39" s="3"/>
    </row>
    <row r="40" spans="1:75" ht="12" hidden="1" customHeight="1" x14ac:dyDescent="0.3">
      <c r="A40" s="15">
        <v>36</v>
      </c>
      <c r="B40" s="15"/>
      <c r="C40" s="143"/>
      <c r="D40" s="144"/>
      <c r="E40" s="15"/>
      <c r="F40" s="143"/>
      <c r="G40" s="147"/>
      <c r="H40" s="52"/>
      <c r="I40" s="14"/>
      <c r="J40" s="36"/>
      <c r="K40" s="36"/>
      <c r="L40" s="13"/>
      <c r="M40" s="56"/>
      <c r="N40" s="145"/>
      <c r="O40" s="146"/>
      <c r="P40" s="57"/>
      <c r="Q40" s="36"/>
      <c r="R40" s="36"/>
      <c r="S40" s="36"/>
      <c r="T40" s="36"/>
      <c r="U40" s="36"/>
      <c r="V40" s="36"/>
      <c r="W40" s="36" t="s">
        <v>151</v>
      </c>
      <c r="X40" s="143"/>
      <c r="Y40" s="144"/>
      <c r="Z40" s="147"/>
      <c r="AA40" s="12"/>
      <c r="AB40" s="89"/>
      <c r="AC40" s="89"/>
      <c r="AD40" s="76"/>
      <c r="AE40" s="75"/>
      <c r="AF40" s="11">
        <f t="shared" si="22"/>
        <v>0</v>
      </c>
      <c r="AJ40" s="127">
        <f t="shared" si="23"/>
        <v>0</v>
      </c>
      <c r="AL40" s="53">
        <f t="shared" si="24"/>
        <v>0</v>
      </c>
      <c r="AM40" s="53">
        <f t="shared" si="25"/>
        <v>0</v>
      </c>
      <c r="AN40" s="53">
        <f t="shared" si="15"/>
        <v>0</v>
      </c>
      <c r="AO40" s="90">
        <f t="shared" si="26"/>
        <v>0</v>
      </c>
      <c r="AP40" s="90">
        <f t="shared" si="27"/>
        <v>0</v>
      </c>
      <c r="AQ40" s="29">
        <f t="shared" si="28"/>
        <v>0</v>
      </c>
      <c r="AR40" s="30">
        <f t="shared" si="29"/>
        <v>0</v>
      </c>
      <c r="AS40" s="29">
        <f t="shared" si="30"/>
        <v>0</v>
      </c>
      <c r="AT40" s="10">
        <f t="shared" si="16"/>
        <v>0</v>
      </c>
      <c r="AU40" s="10">
        <f t="shared" si="31"/>
        <v>0</v>
      </c>
      <c r="AV40" s="3"/>
      <c r="AW40" s="53">
        <f t="shared" si="17"/>
        <v>0</v>
      </c>
      <c r="AX40" s="53" t="str">
        <f t="shared" si="18"/>
        <v>0</v>
      </c>
      <c r="AY40" s="95">
        <f t="shared" si="32"/>
        <v>0</v>
      </c>
      <c r="AZ40" s="95">
        <f t="shared" si="19"/>
        <v>0</v>
      </c>
      <c r="BA40" s="36">
        <f t="shared" si="33"/>
        <v>0</v>
      </c>
      <c r="BB40" s="2"/>
      <c r="BC40" s="53">
        <f t="shared" si="20"/>
        <v>0</v>
      </c>
      <c r="BD40" s="53" t="str">
        <f t="shared" si="34"/>
        <v>0</v>
      </c>
      <c r="BE40" s="95">
        <f t="shared" si="35"/>
        <v>0</v>
      </c>
      <c r="BF40" s="95">
        <f t="shared" si="21"/>
        <v>0</v>
      </c>
      <c r="BG40" s="36" t="str">
        <f t="shared" si="36"/>
        <v>0</v>
      </c>
      <c r="BV40" s="3"/>
      <c r="BW40" s="3"/>
    </row>
    <row r="41" spans="1:75" ht="12" hidden="1" customHeight="1" x14ac:dyDescent="0.3">
      <c r="A41" s="15">
        <v>37</v>
      </c>
      <c r="B41" s="15"/>
      <c r="C41" s="143"/>
      <c r="D41" s="144"/>
      <c r="E41" s="15"/>
      <c r="F41" s="143"/>
      <c r="G41" s="147"/>
      <c r="H41" s="52"/>
      <c r="I41" s="14"/>
      <c r="J41" s="36"/>
      <c r="K41" s="36"/>
      <c r="L41" s="13"/>
      <c r="M41" s="56"/>
      <c r="N41" s="145"/>
      <c r="O41" s="146"/>
      <c r="P41" s="57"/>
      <c r="Q41" s="36"/>
      <c r="R41" s="36"/>
      <c r="S41" s="36"/>
      <c r="T41" s="36"/>
      <c r="U41" s="36"/>
      <c r="V41" s="36"/>
      <c r="W41" s="36" t="s">
        <v>151</v>
      </c>
      <c r="X41" s="143"/>
      <c r="Y41" s="144"/>
      <c r="Z41" s="147"/>
      <c r="AA41" s="12"/>
      <c r="AB41" s="89"/>
      <c r="AC41" s="89"/>
      <c r="AD41" s="76"/>
      <c r="AE41" s="75"/>
      <c r="AF41" s="11">
        <f t="shared" si="22"/>
        <v>0</v>
      </c>
      <c r="AJ41" s="127">
        <f t="shared" si="23"/>
        <v>0</v>
      </c>
      <c r="AL41" s="53">
        <f t="shared" si="24"/>
        <v>0</v>
      </c>
      <c r="AM41" s="53">
        <f t="shared" si="25"/>
        <v>0</v>
      </c>
      <c r="AN41" s="53">
        <f t="shared" si="15"/>
        <v>0</v>
      </c>
      <c r="AO41" s="90">
        <f t="shared" si="26"/>
        <v>0</v>
      </c>
      <c r="AP41" s="90">
        <f t="shared" si="27"/>
        <v>0</v>
      </c>
      <c r="AQ41" s="29">
        <f t="shared" si="28"/>
        <v>0</v>
      </c>
      <c r="AR41" s="30">
        <f t="shared" si="29"/>
        <v>0</v>
      </c>
      <c r="AS41" s="29">
        <f t="shared" si="30"/>
        <v>0</v>
      </c>
      <c r="AT41" s="10">
        <f t="shared" si="16"/>
        <v>0</v>
      </c>
      <c r="AU41" s="10">
        <f t="shared" si="31"/>
        <v>0</v>
      </c>
      <c r="AV41" s="3"/>
      <c r="AW41" s="53">
        <f t="shared" si="17"/>
        <v>0</v>
      </c>
      <c r="AX41" s="53" t="str">
        <f t="shared" si="18"/>
        <v>0</v>
      </c>
      <c r="AY41" s="95">
        <f t="shared" si="32"/>
        <v>0</v>
      </c>
      <c r="AZ41" s="95">
        <f t="shared" si="19"/>
        <v>0</v>
      </c>
      <c r="BA41" s="36">
        <f t="shared" si="33"/>
        <v>0</v>
      </c>
      <c r="BB41" s="2"/>
      <c r="BC41" s="53">
        <f t="shared" si="20"/>
        <v>0</v>
      </c>
      <c r="BD41" s="53" t="str">
        <f t="shared" si="34"/>
        <v>0</v>
      </c>
      <c r="BE41" s="95">
        <f t="shared" si="35"/>
        <v>0</v>
      </c>
      <c r="BF41" s="95">
        <f t="shared" si="21"/>
        <v>0</v>
      </c>
      <c r="BG41" s="36" t="str">
        <f t="shared" si="36"/>
        <v>0</v>
      </c>
      <c r="BV41" s="3"/>
      <c r="BW41" s="3"/>
    </row>
    <row r="42" spans="1:75" ht="12" hidden="1" customHeight="1" x14ac:dyDescent="0.3">
      <c r="A42" s="15">
        <v>38</v>
      </c>
      <c r="B42" s="15"/>
      <c r="C42" s="143"/>
      <c r="D42" s="144"/>
      <c r="E42" s="15"/>
      <c r="F42" s="143"/>
      <c r="G42" s="147"/>
      <c r="H42" s="52"/>
      <c r="I42" s="14"/>
      <c r="J42" s="36"/>
      <c r="K42" s="36"/>
      <c r="L42" s="13"/>
      <c r="M42" s="56"/>
      <c r="N42" s="145"/>
      <c r="O42" s="146"/>
      <c r="P42" s="57"/>
      <c r="Q42" s="36"/>
      <c r="R42" s="36"/>
      <c r="S42" s="36"/>
      <c r="T42" s="36"/>
      <c r="U42" s="36"/>
      <c r="V42" s="36"/>
      <c r="W42" s="36" t="s">
        <v>151</v>
      </c>
      <c r="X42" s="143"/>
      <c r="Y42" s="144"/>
      <c r="Z42" s="147"/>
      <c r="AA42" s="12"/>
      <c r="AB42" s="89"/>
      <c r="AC42" s="89"/>
      <c r="AD42" s="76"/>
      <c r="AE42" s="75"/>
      <c r="AF42" s="11">
        <f t="shared" si="22"/>
        <v>0</v>
      </c>
      <c r="AJ42" s="127">
        <f t="shared" si="23"/>
        <v>0</v>
      </c>
      <c r="AL42" s="53">
        <f t="shared" si="24"/>
        <v>0</v>
      </c>
      <c r="AM42" s="53">
        <f t="shared" si="25"/>
        <v>0</v>
      </c>
      <c r="AN42" s="53">
        <f t="shared" si="15"/>
        <v>0</v>
      </c>
      <c r="AO42" s="90">
        <f t="shared" si="26"/>
        <v>0</v>
      </c>
      <c r="AP42" s="90">
        <f t="shared" si="27"/>
        <v>0</v>
      </c>
      <c r="AQ42" s="29">
        <f t="shared" si="28"/>
        <v>0</v>
      </c>
      <c r="AR42" s="30">
        <f t="shared" si="29"/>
        <v>0</v>
      </c>
      <c r="AS42" s="29">
        <f t="shared" si="30"/>
        <v>0</v>
      </c>
      <c r="AT42" s="10">
        <f t="shared" si="16"/>
        <v>0</v>
      </c>
      <c r="AU42" s="10">
        <f t="shared" si="31"/>
        <v>0</v>
      </c>
      <c r="AV42" s="3"/>
      <c r="AW42" s="53">
        <f t="shared" si="17"/>
        <v>0</v>
      </c>
      <c r="AX42" s="53" t="str">
        <f t="shared" si="18"/>
        <v>0</v>
      </c>
      <c r="AY42" s="95">
        <f t="shared" si="32"/>
        <v>0</v>
      </c>
      <c r="AZ42" s="95">
        <f t="shared" si="19"/>
        <v>0</v>
      </c>
      <c r="BA42" s="36">
        <f t="shared" si="33"/>
        <v>0</v>
      </c>
      <c r="BB42" s="2"/>
      <c r="BC42" s="53">
        <f t="shared" si="20"/>
        <v>0</v>
      </c>
      <c r="BD42" s="53" t="str">
        <f t="shared" si="34"/>
        <v>0</v>
      </c>
      <c r="BE42" s="95">
        <f t="shared" si="35"/>
        <v>0</v>
      </c>
      <c r="BF42" s="95">
        <f t="shared" si="21"/>
        <v>0</v>
      </c>
      <c r="BG42" s="36" t="str">
        <f t="shared" si="36"/>
        <v>0</v>
      </c>
      <c r="BV42" s="3"/>
      <c r="BW42" s="3"/>
    </row>
    <row r="43" spans="1:75" ht="12" hidden="1" customHeight="1" x14ac:dyDescent="0.3">
      <c r="A43" s="15">
        <v>39</v>
      </c>
      <c r="B43" s="15"/>
      <c r="C43" s="143"/>
      <c r="D43" s="144"/>
      <c r="E43" s="15"/>
      <c r="F43" s="143"/>
      <c r="G43" s="147"/>
      <c r="H43" s="52"/>
      <c r="I43" s="14"/>
      <c r="J43" s="36"/>
      <c r="K43" s="36"/>
      <c r="L43" s="13"/>
      <c r="M43" s="56"/>
      <c r="N43" s="145"/>
      <c r="O43" s="146"/>
      <c r="P43" s="57"/>
      <c r="Q43" s="36"/>
      <c r="R43" s="36"/>
      <c r="S43" s="36"/>
      <c r="T43" s="36"/>
      <c r="U43" s="36"/>
      <c r="V43" s="36"/>
      <c r="W43" s="36" t="s">
        <v>151</v>
      </c>
      <c r="X43" s="143"/>
      <c r="Y43" s="144"/>
      <c r="Z43" s="147"/>
      <c r="AA43" s="12"/>
      <c r="AB43" s="89"/>
      <c r="AC43" s="89"/>
      <c r="AD43" s="76"/>
      <c r="AE43" s="75"/>
      <c r="AF43" s="11">
        <f t="shared" si="22"/>
        <v>0</v>
      </c>
      <c r="AJ43" s="127">
        <f t="shared" si="23"/>
        <v>0</v>
      </c>
      <c r="AL43" s="53">
        <f t="shared" si="24"/>
        <v>0</v>
      </c>
      <c r="AM43" s="53">
        <f t="shared" si="25"/>
        <v>0</v>
      </c>
      <c r="AN43" s="53">
        <f t="shared" si="15"/>
        <v>0</v>
      </c>
      <c r="AO43" s="90">
        <f t="shared" si="26"/>
        <v>0</v>
      </c>
      <c r="AP43" s="90">
        <f t="shared" si="27"/>
        <v>0</v>
      </c>
      <c r="AQ43" s="29">
        <f t="shared" si="28"/>
        <v>0</v>
      </c>
      <c r="AR43" s="30">
        <f t="shared" si="29"/>
        <v>0</v>
      </c>
      <c r="AS43" s="29">
        <f t="shared" si="30"/>
        <v>0</v>
      </c>
      <c r="AT43" s="10">
        <f t="shared" si="16"/>
        <v>0</v>
      </c>
      <c r="AU43" s="10">
        <f t="shared" si="31"/>
        <v>0</v>
      </c>
      <c r="AV43" s="3"/>
      <c r="AW43" s="53">
        <f t="shared" si="17"/>
        <v>0</v>
      </c>
      <c r="AX43" s="53" t="str">
        <f t="shared" si="18"/>
        <v>0</v>
      </c>
      <c r="AY43" s="95">
        <f t="shared" si="32"/>
        <v>0</v>
      </c>
      <c r="AZ43" s="95">
        <f t="shared" si="19"/>
        <v>0</v>
      </c>
      <c r="BA43" s="36">
        <f t="shared" si="33"/>
        <v>0</v>
      </c>
      <c r="BB43" s="2"/>
      <c r="BC43" s="53">
        <f t="shared" si="20"/>
        <v>0</v>
      </c>
      <c r="BD43" s="53" t="str">
        <f t="shared" si="34"/>
        <v>0</v>
      </c>
      <c r="BE43" s="95">
        <f t="shared" si="35"/>
        <v>0</v>
      </c>
      <c r="BF43" s="95">
        <f t="shared" si="21"/>
        <v>0</v>
      </c>
      <c r="BG43" s="36" t="str">
        <f t="shared" si="36"/>
        <v>0</v>
      </c>
      <c r="BV43" s="3"/>
      <c r="BW43" s="3"/>
    </row>
    <row r="44" spans="1:75" ht="12" hidden="1" customHeight="1" x14ac:dyDescent="0.3">
      <c r="A44" s="15">
        <v>40</v>
      </c>
      <c r="B44" s="15"/>
      <c r="C44" s="143"/>
      <c r="D44" s="144"/>
      <c r="E44" s="15"/>
      <c r="F44" s="143"/>
      <c r="G44" s="147"/>
      <c r="H44" s="52"/>
      <c r="I44" s="14"/>
      <c r="J44" s="36"/>
      <c r="K44" s="36"/>
      <c r="L44" s="13"/>
      <c r="M44" s="56"/>
      <c r="N44" s="145"/>
      <c r="O44" s="146"/>
      <c r="P44" s="57"/>
      <c r="Q44" s="36"/>
      <c r="R44" s="36"/>
      <c r="S44" s="36"/>
      <c r="T44" s="36"/>
      <c r="U44" s="36"/>
      <c r="V44" s="36"/>
      <c r="W44" s="36" t="s">
        <v>151</v>
      </c>
      <c r="X44" s="143"/>
      <c r="Y44" s="144"/>
      <c r="Z44" s="147"/>
      <c r="AA44" s="12"/>
      <c r="AB44" s="89"/>
      <c r="AC44" s="89"/>
      <c r="AD44" s="76"/>
      <c r="AE44" s="75"/>
      <c r="AF44" s="11">
        <f t="shared" si="22"/>
        <v>0</v>
      </c>
      <c r="AJ44" s="127">
        <f t="shared" si="23"/>
        <v>0</v>
      </c>
      <c r="AL44" s="53">
        <f t="shared" si="24"/>
        <v>0</v>
      </c>
      <c r="AM44" s="53">
        <f t="shared" si="25"/>
        <v>0</v>
      </c>
      <c r="AN44" s="53">
        <f t="shared" si="15"/>
        <v>0</v>
      </c>
      <c r="AO44" s="90">
        <f t="shared" si="26"/>
        <v>0</v>
      </c>
      <c r="AP44" s="90">
        <f t="shared" si="27"/>
        <v>0</v>
      </c>
      <c r="AQ44" s="29">
        <f t="shared" si="28"/>
        <v>0</v>
      </c>
      <c r="AR44" s="30">
        <f t="shared" si="29"/>
        <v>0</v>
      </c>
      <c r="AS44" s="29">
        <f t="shared" si="30"/>
        <v>0</v>
      </c>
      <c r="AT44" s="10">
        <f t="shared" si="16"/>
        <v>0</v>
      </c>
      <c r="AU44" s="10">
        <f t="shared" si="31"/>
        <v>0</v>
      </c>
      <c r="AV44" s="3"/>
      <c r="AW44" s="53">
        <f t="shared" si="17"/>
        <v>0</v>
      </c>
      <c r="AX44" s="53" t="str">
        <f t="shared" si="18"/>
        <v>0</v>
      </c>
      <c r="AY44" s="95">
        <f t="shared" si="32"/>
        <v>0</v>
      </c>
      <c r="AZ44" s="95">
        <f t="shared" si="19"/>
        <v>0</v>
      </c>
      <c r="BA44" s="36">
        <f t="shared" si="33"/>
        <v>0</v>
      </c>
      <c r="BB44" s="2"/>
      <c r="BC44" s="53">
        <f t="shared" si="20"/>
        <v>0</v>
      </c>
      <c r="BD44" s="53" t="str">
        <f t="shared" si="34"/>
        <v>0</v>
      </c>
      <c r="BE44" s="95">
        <f t="shared" si="35"/>
        <v>0</v>
      </c>
      <c r="BF44" s="95">
        <f t="shared" si="21"/>
        <v>0</v>
      </c>
      <c r="BG44" s="36" t="str">
        <f t="shared" si="36"/>
        <v>0</v>
      </c>
      <c r="BV44" s="3"/>
      <c r="BW44" s="3"/>
    </row>
    <row r="45" spans="1:75" ht="12" hidden="1" customHeight="1" x14ac:dyDescent="0.3">
      <c r="A45" s="15">
        <v>41</v>
      </c>
      <c r="B45" s="15"/>
      <c r="C45" s="143"/>
      <c r="D45" s="144"/>
      <c r="E45" s="15"/>
      <c r="F45" s="143"/>
      <c r="G45" s="147"/>
      <c r="H45" s="52"/>
      <c r="I45" s="14"/>
      <c r="J45" s="36"/>
      <c r="K45" s="36"/>
      <c r="L45" s="13"/>
      <c r="M45" s="56"/>
      <c r="N45" s="145"/>
      <c r="O45" s="146"/>
      <c r="P45" s="57"/>
      <c r="Q45" s="36"/>
      <c r="R45" s="36"/>
      <c r="S45" s="36"/>
      <c r="T45" s="36"/>
      <c r="U45" s="36"/>
      <c r="V45" s="36"/>
      <c r="W45" s="36" t="s">
        <v>151</v>
      </c>
      <c r="X45" s="143"/>
      <c r="Y45" s="144"/>
      <c r="Z45" s="147"/>
      <c r="AA45" s="12"/>
      <c r="AB45" s="89"/>
      <c r="AC45" s="89"/>
      <c r="AD45" s="76"/>
      <c r="AE45" s="75"/>
      <c r="AF45" s="11">
        <f t="shared" si="22"/>
        <v>0</v>
      </c>
      <c r="AJ45" s="127">
        <f t="shared" si="23"/>
        <v>0</v>
      </c>
      <c r="AL45" s="53">
        <f t="shared" si="24"/>
        <v>0</v>
      </c>
      <c r="AM45" s="53">
        <f t="shared" si="25"/>
        <v>0</v>
      </c>
      <c r="AN45" s="53">
        <f t="shared" si="15"/>
        <v>0</v>
      </c>
      <c r="AO45" s="90">
        <f t="shared" si="26"/>
        <v>0</v>
      </c>
      <c r="AP45" s="90">
        <f t="shared" si="27"/>
        <v>0</v>
      </c>
      <c r="AQ45" s="29">
        <f t="shared" si="28"/>
        <v>0</v>
      </c>
      <c r="AR45" s="30">
        <f t="shared" si="29"/>
        <v>0</v>
      </c>
      <c r="AS45" s="29">
        <f t="shared" si="30"/>
        <v>0</v>
      </c>
      <c r="AT45" s="10">
        <f t="shared" si="16"/>
        <v>0</v>
      </c>
      <c r="AU45" s="10">
        <f t="shared" si="31"/>
        <v>0</v>
      </c>
      <c r="AV45" s="3"/>
      <c r="AW45" s="53">
        <f t="shared" si="17"/>
        <v>0</v>
      </c>
      <c r="AX45" s="53" t="str">
        <f t="shared" si="18"/>
        <v>0</v>
      </c>
      <c r="AY45" s="95">
        <f t="shared" si="32"/>
        <v>0</v>
      </c>
      <c r="AZ45" s="95">
        <f t="shared" si="19"/>
        <v>0</v>
      </c>
      <c r="BA45" s="36">
        <f t="shared" si="33"/>
        <v>0</v>
      </c>
      <c r="BB45" s="2"/>
      <c r="BC45" s="53">
        <f t="shared" si="20"/>
        <v>0</v>
      </c>
      <c r="BD45" s="53" t="str">
        <f t="shared" si="34"/>
        <v>0</v>
      </c>
      <c r="BE45" s="95">
        <f t="shared" si="35"/>
        <v>0</v>
      </c>
      <c r="BF45" s="95">
        <f t="shared" si="21"/>
        <v>0</v>
      </c>
      <c r="BG45" s="36" t="str">
        <f t="shared" si="36"/>
        <v>0</v>
      </c>
      <c r="BV45" s="3"/>
      <c r="BW45" s="3"/>
    </row>
    <row r="46" spans="1:75" ht="12" hidden="1" customHeight="1" x14ac:dyDescent="0.3">
      <c r="A46" s="15">
        <v>42</v>
      </c>
      <c r="B46" s="15"/>
      <c r="C46" s="143"/>
      <c r="D46" s="144"/>
      <c r="E46" s="15"/>
      <c r="F46" s="143"/>
      <c r="G46" s="147"/>
      <c r="H46" s="52"/>
      <c r="I46" s="14"/>
      <c r="J46" s="36"/>
      <c r="K46" s="36"/>
      <c r="L46" s="13"/>
      <c r="M46" s="56"/>
      <c r="N46" s="145"/>
      <c r="O46" s="146"/>
      <c r="P46" s="57"/>
      <c r="Q46" s="36"/>
      <c r="R46" s="36"/>
      <c r="S46" s="36"/>
      <c r="T46" s="36"/>
      <c r="U46" s="36"/>
      <c r="V46" s="36"/>
      <c r="W46" s="36" t="s">
        <v>151</v>
      </c>
      <c r="X46" s="143"/>
      <c r="Y46" s="144"/>
      <c r="Z46" s="147"/>
      <c r="AA46" s="12"/>
      <c r="AB46" s="89"/>
      <c r="AC46" s="89"/>
      <c r="AD46" s="76"/>
      <c r="AE46" s="75"/>
      <c r="AF46" s="11">
        <f t="shared" si="22"/>
        <v>0</v>
      </c>
      <c r="AJ46" s="127">
        <f t="shared" si="23"/>
        <v>0</v>
      </c>
      <c r="AL46" s="53">
        <f t="shared" si="24"/>
        <v>0</v>
      </c>
      <c r="AM46" s="53">
        <f t="shared" si="25"/>
        <v>0</v>
      </c>
      <c r="AN46" s="53">
        <f t="shared" si="15"/>
        <v>0</v>
      </c>
      <c r="AO46" s="90">
        <f t="shared" si="26"/>
        <v>0</v>
      </c>
      <c r="AP46" s="90">
        <f t="shared" si="27"/>
        <v>0</v>
      </c>
      <c r="AQ46" s="29">
        <f t="shared" si="28"/>
        <v>0</v>
      </c>
      <c r="AR46" s="30">
        <f t="shared" si="29"/>
        <v>0</v>
      </c>
      <c r="AS46" s="29">
        <f t="shared" si="30"/>
        <v>0</v>
      </c>
      <c r="AT46" s="10">
        <f t="shared" si="16"/>
        <v>0</v>
      </c>
      <c r="AU46" s="10">
        <f t="shared" si="31"/>
        <v>0</v>
      </c>
      <c r="AV46" s="3"/>
      <c r="AW46" s="53">
        <f t="shared" si="17"/>
        <v>0</v>
      </c>
      <c r="AX46" s="53" t="str">
        <f t="shared" si="18"/>
        <v>0</v>
      </c>
      <c r="AY46" s="95">
        <f t="shared" si="32"/>
        <v>0</v>
      </c>
      <c r="AZ46" s="95">
        <f t="shared" si="19"/>
        <v>0</v>
      </c>
      <c r="BA46" s="36">
        <f t="shared" si="33"/>
        <v>0</v>
      </c>
      <c r="BB46" s="2"/>
      <c r="BC46" s="53">
        <f t="shared" si="20"/>
        <v>0</v>
      </c>
      <c r="BD46" s="53" t="str">
        <f t="shared" si="34"/>
        <v>0</v>
      </c>
      <c r="BE46" s="95">
        <f t="shared" si="35"/>
        <v>0</v>
      </c>
      <c r="BF46" s="95">
        <f t="shared" si="21"/>
        <v>0</v>
      </c>
      <c r="BG46" s="36" t="str">
        <f t="shared" si="36"/>
        <v>0</v>
      </c>
      <c r="BV46" s="3"/>
      <c r="BW46" s="3"/>
    </row>
    <row r="47" spans="1:75" ht="12" hidden="1" customHeight="1" x14ac:dyDescent="0.3">
      <c r="A47" s="15">
        <v>43</v>
      </c>
      <c r="B47" s="15"/>
      <c r="C47" s="143"/>
      <c r="D47" s="144"/>
      <c r="E47" s="15"/>
      <c r="F47" s="143"/>
      <c r="G47" s="147"/>
      <c r="H47" s="52"/>
      <c r="I47" s="14"/>
      <c r="J47" s="36"/>
      <c r="K47" s="36"/>
      <c r="L47" s="13"/>
      <c r="M47" s="56"/>
      <c r="N47" s="145"/>
      <c r="O47" s="146"/>
      <c r="P47" s="57"/>
      <c r="Q47" s="36"/>
      <c r="R47" s="36"/>
      <c r="S47" s="36"/>
      <c r="T47" s="36"/>
      <c r="U47" s="36"/>
      <c r="V47" s="36"/>
      <c r="W47" s="36" t="s">
        <v>151</v>
      </c>
      <c r="X47" s="143"/>
      <c r="Y47" s="144"/>
      <c r="Z47" s="147"/>
      <c r="AA47" s="12"/>
      <c r="AB47" s="89"/>
      <c r="AC47" s="89"/>
      <c r="AD47" s="76"/>
      <c r="AE47" s="75"/>
      <c r="AF47" s="11">
        <f t="shared" si="22"/>
        <v>0</v>
      </c>
      <c r="AJ47" s="127">
        <f t="shared" si="23"/>
        <v>0</v>
      </c>
      <c r="AL47" s="53">
        <f t="shared" si="24"/>
        <v>0</v>
      </c>
      <c r="AM47" s="53">
        <f t="shared" si="25"/>
        <v>0</v>
      </c>
      <c r="AN47" s="53">
        <f t="shared" si="15"/>
        <v>0</v>
      </c>
      <c r="AO47" s="90">
        <f t="shared" si="26"/>
        <v>0</v>
      </c>
      <c r="AP47" s="90">
        <f t="shared" si="27"/>
        <v>0</v>
      </c>
      <c r="AQ47" s="29">
        <f t="shared" si="28"/>
        <v>0</v>
      </c>
      <c r="AR47" s="30">
        <f t="shared" si="29"/>
        <v>0</v>
      </c>
      <c r="AS47" s="29">
        <f t="shared" si="30"/>
        <v>0</v>
      </c>
      <c r="AT47" s="10">
        <f t="shared" si="16"/>
        <v>0</v>
      </c>
      <c r="AU47" s="10">
        <f t="shared" si="31"/>
        <v>0</v>
      </c>
      <c r="AV47" s="3"/>
      <c r="AW47" s="53">
        <f t="shared" si="17"/>
        <v>0</v>
      </c>
      <c r="AX47" s="53" t="str">
        <f t="shared" si="18"/>
        <v>0</v>
      </c>
      <c r="AY47" s="95">
        <f t="shared" si="32"/>
        <v>0</v>
      </c>
      <c r="AZ47" s="95">
        <f t="shared" si="19"/>
        <v>0</v>
      </c>
      <c r="BA47" s="36">
        <f t="shared" si="33"/>
        <v>0</v>
      </c>
      <c r="BB47" s="2"/>
      <c r="BC47" s="53">
        <f t="shared" si="20"/>
        <v>0</v>
      </c>
      <c r="BD47" s="53" t="str">
        <f t="shared" si="34"/>
        <v>0</v>
      </c>
      <c r="BE47" s="95">
        <f t="shared" si="35"/>
        <v>0</v>
      </c>
      <c r="BF47" s="95">
        <f t="shared" si="21"/>
        <v>0</v>
      </c>
      <c r="BG47" s="36" t="str">
        <f t="shared" si="36"/>
        <v>0</v>
      </c>
      <c r="BV47" s="3"/>
      <c r="BW47" s="3"/>
    </row>
    <row r="48" spans="1:75" ht="12" hidden="1" customHeight="1" x14ac:dyDescent="0.3">
      <c r="A48" s="15">
        <v>44</v>
      </c>
      <c r="B48" s="15"/>
      <c r="C48" s="143"/>
      <c r="D48" s="144"/>
      <c r="E48" s="15"/>
      <c r="F48" s="143"/>
      <c r="G48" s="147"/>
      <c r="H48" s="52"/>
      <c r="I48" s="14"/>
      <c r="J48" s="36"/>
      <c r="K48" s="36"/>
      <c r="L48" s="13"/>
      <c r="M48" s="56"/>
      <c r="N48" s="145"/>
      <c r="O48" s="146"/>
      <c r="P48" s="57"/>
      <c r="Q48" s="36"/>
      <c r="R48" s="36"/>
      <c r="S48" s="36"/>
      <c r="T48" s="36"/>
      <c r="U48" s="36"/>
      <c r="V48" s="36"/>
      <c r="W48" s="36" t="s">
        <v>151</v>
      </c>
      <c r="X48" s="143"/>
      <c r="Y48" s="144"/>
      <c r="Z48" s="147"/>
      <c r="AA48" s="12"/>
      <c r="AB48" s="89"/>
      <c r="AC48" s="89"/>
      <c r="AD48" s="76"/>
      <c r="AE48" s="75"/>
      <c r="AF48" s="11">
        <f t="shared" si="22"/>
        <v>0</v>
      </c>
      <c r="AJ48" s="127">
        <f t="shared" si="23"/>
        <v>0</v>
      </c>
      <c r="AL48" s="53">
        <f t="shared" si="24"/>
        <v>0</v>
      </c>
      <c r="AM48" s="53">
        <f t="shared" si="25"/>
        <v>0</v>
      </c>
      <c r="AN48" s="53">
        <f t="shared" si="15"/>
        <v>0</v>
      </c>
      <c r="AO48" s="90">
        <f t="shared" si="26"/>
        <v>0</v>
      </c>
      <c r="AP48" s="90">
        <f t="shared" si="27"/>
        <v>0</v>
      </c>
      <c r="AQ48" s="29">
        <f t="shared" si="28"/>
        <v>0</v>
      </c>
      <c r="AR48" s="30">
        <f t="shared" si="29"/>
        <v>0</v>
      </c>
      <c r="AS48" s="29">
        <f t="shared" si="30"/>
        <v>0</v>
      </c>
      <c r="AT48" s="10">
        <f t="shared" si="16"/>
        <v>0</v>
      </c>
      <c r="AU48" s="10">
        <f t="shared" si="31"/>
        <v>0</v>
      </c>
      <c r="AV48" s="3"/>
      <c r="AW48" s="53">
        <f t="shared" si="17"/>
        <v>0</v>
      </c>
      <c r="AX48" s="53" t="str">
        <f t="shared" si="18"/>
        <v>0</v>
      </c>
      <c r="AY48" s="95">
        <f t="shared" si="32"/>
        <v>0</v>
      </c>
      <c r="AZ48" s="95">
        <f t="shared" si="19"/>
        <v>0</v>
      </c>
      <c r="BA48" s="36">
        <f t="shared" si="33"/>
        <v>0</v>
      </c>
      <c r="BB48" s="2"/>
      <c r="BC48" s="53">
        <f t="shared" si="20"/>
        <v>0</v>
      </c>
      <c r="BD48" s="53" t="str">
        <f t="shared" si="34"/>
        <v>0</v>
      </c>
      <c r="BE48" s="95">
        <f t="shared" si="35"/>
        <v>0</v>
      </c>
      <c r="BF48" s="95">
        <f t="shared" si="21"/>
        <v>0</v>
      </c>
      <c r="BG48" s="36" t="str">
        <f t="shared" si="36"/>
        <v>0</v>
      </c>
      <c r="BV48" s="3"/>
      <c r="BW48" s="3"/>
    </row>
    <row r="49" spans="1:75" ht="12" hidden="1" customHeight="1" x14ac:dyDescent="0.3">
      <c r="A49" s="15">
        <v>45</v>
      </c>
      <c r="B49" s="15"/>
      <c r="C49" s="143"/>
      <c r="D49" s="144"/>
      <c r="E49" s="15"/>
      <c r="F49" s="143"/>
      <c r="G49" s="147"/>
      <c r="H49" s="52"/>
      <c r="I49" s="14"/>
      <c r="J49" s="36"/>
      <c r="K49" s="36"/>
      <c r="L49" s="13"/>
      <c r="M49" s="56"/>
      <c r="N49" s="145"/>
      <c r="O49" s="146"/>
      <c r="P49" s="57"/>
      <c r="Q49" s="36"/>
      <c r="R49" s="36"/>
      <c r="S49" s="36"/>
      <c r="T49" s="36"/>
      <c r="U49" s="36"/>
      <c r="V49" s="36"/>
      <c r="W49" s="36" t="s">
        <v>151</v>
      </c>
      <c r="X49" s="143"/>
      <c r="Y49" s="144"/>
      <c r="Z49" s="147"/>
      <c r="AA49" s="12"/>
      <c r="AB49" s="89"/>
      <c r="AC49" s="89"/>
      <c r="AD49" s="76"/>
      <c r="AE49" s="75"/>
      <c r="AF49" s="11">
        <f t="shared" si="22"/>
        <v>0</v>
      </c>
      <c r="AJ49" s="127">
        <f t="shared" si="23"/>
        <v>0</v>
      </c>
      <c r="AL49" s="53">
        <f t="shared" si="24"/>
        <v>0</v>
      </c>
      <c r="AM49" s="53">
        <f t="shared" si="25"/>
        <v>0</v>
      </c>
      <c r="AN49" s="53">
        <f t="shared" si="15"/>
        <v>0</v>
      </c>
      <c r="AO49" s="90">
        <f t="shared" si="26"/>
        <v>0</v>
      </c>
      <c r="AP49" s="90">
        <f t="shared" si="27"/>
        <v>0</v>
      </c>
      <c r="AQ49" s="29">
        <f t="shared" si="28"/>
        <v>0</v>
      </c>
      <c r="AR49" s="30">
        <f t="shared" si="29"/>
        <v>0</v>
      </c>
      <c r="AS49" s="29">
        <f t="shared" si="30"/>
        <v>0</v>
      </c>
      <c r="AT49" s="10">
        <f t="shared" si="16"/>
        <v>0</v>
      </c>
      <c r="AU49" s="10">
        <f t="shared" si="31"/>
        <v>0</v>
      </c>
      <c r="AV49" s="3"/>
      <c r="AW49" s="53">
        <f t="shared" si="17"/>
        <v>0</v>
      </c>
      <c r="AX49" s="53" t="str">
        <f t="shared" si="18"/>
        <v>0</v>
      </c>
      <c r="AY49" s="95">
        <f t="shared" si="32"/>
        <v>0</v>
      </c>
      <c r="AZ49" s="95">
        <f t="shared" si="19"/>
        <v>0</v>
      </c>
      <c r="BA49" s="36">
        <f t="shared" si="33"/>
        <v>0</v>
      </c>
      <c r="BB49" s="2"/>
      <c r="BC49" s="53">
        <f t="shared" si="20"/>
        <v>0</v>
      </c>
      <c r="BD49" s="53" t="str">
        <f t="shared" si="34"/>
        <v>0</v>
      </c>
      <c r="BE49" s="95">
        <f t="shared" si="35"/>
        <v>0</v>
      </c>
      <c r="BF49" s="95">
        <f t="shared" si="21"/>
        <v>0</v>
      </c>
      <c r="BG49" s="36" t="str">
        <f t="shared" si="36"/>
        <v>0</v>
      </c>
      <c r="BV49" s="3"/>
      <c r="BW49" s="3"/>
    </row>
    <row r="50" spans="1:75" ht="12" hidden="1" customHeight="1" x14ac:dyDescent="0.3">
      <c r="A50" s="15">
        <v>46</v>
      </c>
      <c r="B50" s="15"/>
      <c r="C50" s="143"/>
      <c r="D50" s="144"/>
      <c r="E50" s="15"/>
      <c r="F50" s="143"/>
      <c r="G50" s="147"/>
      <c r="H50" s="52"/>
      <c r="I50" s="14"/>
      <c r="J50" s="36"/>
      <c r="K50" s="36"/>
      <c r="L50" s="13"/>
      <c r="M50" s="56"/>
      <c r="N50" s="145"/>
      <c r="O50" s="146"/>
      <c r="P50" s="57"/>
      <c r="Q50" s="36"/>
      <c r="R50" s="36"/>
      <c r="S50" s="36"/>
      <c r="T50" s="36"/>
      <c r="U50" s="36"/>
      <c r="V50" s="36"/>
      <c r="W50" s="36" t="s">
        <v>151</v>
      </c>
      <c r="X50" s="143"/>
      <c r="Y50" s="144"/>
      <c r="Z50" s="147"/>
      <c r="AA50" s="12"/>
      <c r="AB50" s="89"/>
      <c r="AC50" s="89"/>
      <c r="AD50" s="76"/>
      <c r="AE50" s="75"/>
      <c r="AF50" s="11">
        <f t="shared" si="22"/>
        <v>0</v>
      </c>
      <c r="AJ50" s="127">
        <f t="shared" si="23"/>
        <v>0</v>
      </c>
      <c r="AL50" s="53">
        <f t="shared" si="24"/>
        <v>0</v>
      </c>
      <c r="AM50" s="53">
        <f t="shared" si="25"/>
        <v>0</v>
      </c>
      <c r="AN50" s="53">
        <f t="shared" si="15"/>
        <v>0</v>
      </c>
      <c r="AO50" s="90">
        <f t="shared" si="26"/>
        <v>0</v>
      </c>
      <c r="AP50" s="90">
        <f t="shared" si="27"/>
        <v>0</v>
      </c>
      <c r="AQ50" s="29">
        <f t="shared" si="28"/>
        <v>0</v>
      </c>
      <c r="AR50" s="30">
        <f t="shared" si="29"/>
        <v>0</v>
      </c>
      <c r="AS50" s="29">
        <f t="shared" si="30"/>
        <v>0</v>
      </c>
      <c r="AT50" s="10">
        <f t="shared" si="16"/>
        <v>0</v>
      </c>
      <c r="AU50" s="10">
        <f t="shared" si="31"/>
        <v>0</v>
      </c>
      <c r="AV50" s="3"/>
      <c r="AW50" s="53">
        <f t="shared" si="17"/>
        <v>0</v>
      </c>
      <c r="AX50" s="53" t="str">
        <f t="shared" si="18"/>
        <v>0</v>
      </c>
      <c r="AY50" s="95">
        <f t="shared" si="32"/>
        <v>0</v>
      </c>
      <c r="AZ50" s="95">
        <f t="shared" si="19"/>
        <v>0</v>
      </c>
      <c r="BA50" s="36">
        <f t="shared" si="33"/>
        <v>0</v>
      </c>
      <c r="BB50" s="2"/>
      <c r="BC50" s="53">
        <f t="shared" si="20"/>
        <v>0</v>
      </c>
      <c r="BD50" s="53" t="str">
        <f t="shared" si="34"/>
        <v>0</v>
      </c>
      <c r="BE50" s="95">
        <f t="shared" si="35"/>
        <v>0</v>
      </c>
      <c r="BF50" s="95">
        <f t="shared" si="21"/>
        <v>0</v>
      </c>
      <c r="BG50" s="36" t="str">
        <f t="shared" si="36"/>
        <v>0</v>
      </c>
      <c r="BV50" s="3"/>
      <c r="BW50" s="3"/>
    </row>
    <row r="51" spans="1:75" ht="10.95" hidden="1" customHeight="1" x14ac:dyDescent="0.3">
      <c r="A51" s="15">
        <v>47</v>
      </c>
      <c r="B51" s="15"/>
      <c r="C51" s="143"/>
      <c r="D51" s="144"/>
      <c r="E51" s="15"/>
      <c r="F51" s="143"/>
      <c r="G51" s="147"/>
      <c r="H51" s="52"/>
      <c r="I51" s="14"/>
      <c r="J51" s="36"/>
      <c r="K51" s="36"/>
      <c r="L51" s="13"/>
      <c r="M51" s="56"/>
      <c r="N51" s="145"/>
      <c r="O51" s="146"/>
      <c r="P51" s="57"/>
      <c r="Q51" s="36"/>
      <c r="R51" s="36"/>
      <c r="S51" s="36"/>
      <c r="T51" s="36"/>
      <c r="U51" s="36"/>
      <c r="V51" s="36"/>
      <c r="W51" s="36" t="s">
        <v>151</v>
      </c>
      <c r="X51" s="143"/>
      <c r="Y51" s="144"/>
      <c r="Z51" s="147"/>
      <c r="AA51" s="12"/>
      <c r="AB51" s="89"/>
      <c r="AC51" s="89"/>
      <c r="AD51" s="76"/>
      <c r="AE51" s="75"/>
      <c r="AF51" s="11">
        <f t="shared" si="22"/>
        <v>0</v>
      </c>
      <c r="AJ51" s="127">
        <f t="shared" si="23"/>
        <v>0</v>
      </c>
      <c r="AL51" s="53">
        <f t="shared" si="24"/>
        <v>0</v>
      </c>
      <c r="AM51" s="53">
        <f t="shared" si="25"/>
        <v>0</v>
      </c>
      <c r="AN51" s="53">
        <f t="shared" si="15"/>
        <v>0</v>
      </c>
      <c r="AO51" s="90">
        <f t="shared" si="26"/>
        <v>0</v>
      </c>
      <c r="AP51" s="90">
        <f t="shared" si="27"/>
        <v>0</v>
      </c>
      <c r="AQ51" s="29">
        <f t="shared" si="28"/>
        <v>0</v>
      </c>
      <c r="AR51" s="30">
        <f t="shared" si="29"/>
        <v>0</v>
      </c>
      <c r="AS51" s="29">
        <f t="shared" si="30"/>
        <v>0</v>
      </c>
      <c r="AT51" s="10">
        <f t="shared" si="16"/>
        <v>0</v>
      </c>
      <c r="AU51" s="10">
        <f t="shared" si="31"/>
        <v>0</v>
      </c>
      <c r="AV51" s="3"/>
      <c r="AW51" s="53">
        <f t="shared" si="17"/>
        <v>0</v>
      </c>
      <c r="AX51" s="53" t="str">
        <f t="shared" si="18"/>
        <v>0</v>
      </c>
      <c r="AY51" s="95">
        <f t="shared" si="32"/>
        <v>0</v>
      </c>
      <c r="AZ51" s="95">
        <f t="shared" si="19"/>
        <v>0</v>
      </c>
      <c r="BA51" s="36">
        <f t="shared" si="33"/>
        <v>0</v>
      </c>
      <c r="BB51" s="2"/>
      <c r="BC51" s="53">
        <f t="shared" si="20"/>
        <v>0</v>
      </c>
      <c r="BD51" s="53" t="str">
        <f t="shared" si="34"/>
        <v>0</v>
      </c>
      <c r="BE51" s="95">
        <f t="shared" si="35"/>
        <v>0</v>
      </c>
      <c r="BF51" s="95">
        <f t="shared" si="21"/>
        <v>0</v>
      </c>
      <c r="BG51" s="36" t="str">
        <f t="shared" si="36"/>
        <v>0</v>
      </c>
      <c r="BV51" s="3"/>
      <c r="BW51" s="3"/>
    </row>
    <row r="52" spans="1:75" ht="10.95" hidden="1" customHeight="1" x14ac:dyDescent="0.3">
      <c r="A52" s="15">
        <v>48</v>
      </c>
      <c r="B52" s="15"/>
      <c r="C52" s="143"/>
      <c r="D52" s="144"/>
      <c r="E52" s="15"/>
      <c r="F52" s="143"/>
      <c r="G52" s="147"/>
      <c r="H52" s="52"/>
      <c r="I52" s="14"/>
      <c r="J52" s="36"/>
      <c r="K52" s="36"/>
      <c r="L52" s="13"/>
      <c r="M52" s="56"/>
      <c r="N52" s="145"/>
      <c r="O52" s="146"/>
      <c r="P52" s="57"/>
      <c r="Q52" s="36"/>
      <c r="R52" s="36"/>
      <c r="S52" s="36"/>
      <c r="T52" s="36"/>
      <c r="U52" s="36"/>
      <c r="V52" s="36"/>
      <c r="W52" s="36" t="s">
        <v>151</v>
      </c>
      <c r="X52" s="143"/>
      <c r="Y52" s="144"/>
      <c r="Z52" s="147"/>
      <c r="AA52" s="12"/>
      <c r="AB52" s="89"/>
      <c r="AC52" s="89"/>
      <c r="AD52" s="76"/>
      <c r="AE52" s="75"/>
      <c r="AF52" s="11">
        <f t="shared" si="22"/>
        <v>0</v>
      </c>
      <c r="AJ52" s="127">
        <f t="shared" si="23"/>
        <v>0</v>
      </c>
      <c r="AL52" s="53">
        <f t="shared" si="24"/>
        <v>0</v>
      </c>
      <c r="AM52" s="53">
        <f t="shared" si="25"/>
        <v>0</v>
      </c>
      <c r="AN52" s="53">
        <f t="shared" si="15"/>
        <v>0</v>
      </c>
      <c r="AO52" s="90">
        <f t="shared" si="26"/>
        <v>0</v>
      </c>
      <c r="AP52" s="90">
        <f t="shared" si="27"/>
        <v>0</v>
      </c>
      <c r="AQ52" s="29">
        <f t="shared" si="28"/>
        <v>0</v>
      </c>
      <c r="AR52" s="30">
        <f t="shared" si="29"/>
        <v>0</v>
      </c>
      <c r="AS52" s="29">
        <f t="shared" si="30"/>
        <v>0</v>
      </c>
      <c r="AT52" s="10">
        <f t="shared" si="16"/>
        <v>0</v>
      </c>
      <c r="AU52" s="10">
        <f t="shared" si="31"/>
        <v>0</v>
      </c>
      <c r="AV52" s="3"/>
      <c r="AW52" s="53">
        <f t="shared" si="17"/>
        <v>0</v>
      </c>
      <c r="AX52" s="53" t="str">
        <f t="shared" si="18"/>
        <v>0</v>
      </c>
      <c r="AY52" s="95">
        <f t="shared" si="32"/>
        <v>0</v>
      </c>
      <c r="AZ52" s="95">
        <f t="shared" si="19"/>
        <v>0</v>
      </c>
      <c r="BA52" s="36">
        <f t="shared" si="33"/>
        <v>0</v>
      </c>
      <c r="BB52" s="2"/>
      <c r="BC52" s="53">
        <f t="shared" si="20"/>
        <v>0</v>
      </c>
      <c r="BD52" s="53" t="str">
        <f t="shared" si="34"/>
        <v>0</v>
      </c>
      <c r="BE52" s="95">
        <f t="shared" si="35"/>
        <v>0</v>
      </c>
      <c r="BF52" s="95">
        <f t="shared" si="21"/>
        <v>0</v>
      </c>
      <c r="BG52" s="36" t="str">
        <f t="shared" si="36"/>
        <v>0</v>
      </c>
      <c r="BN52" s="5"/>
      <c r="BO52" s="5"/>
      <c r="BP52" s="5"/>
      <c r="BQ52" s="5"/>
      <c r="BR52" s="5"/>
      <c r="BS52" s="5"/>
      <c r="BT52" s="5"/>
      <c r="BU52" s="5"/>
      <c r="BV52" s="4"/>
      <c r="BW52" s="4"/>
    </row>
    <row r="53" spans="1:75" ht="10.95" hidden="1" customHeight="1" x14ac:dyDescent="0.3">
      <c r="A53" s="15">
        <v>49</v>
      </c>
      <c r="B53" s="15"/>
      <c r="C53" s="143"/>
      <c r="D53" s="144"/>
      <c r="E53" s="15"/>
      <c r="F53" s="143"/>
      <c r="G53" s="147"/>
      <c r="H53" s="52"/>
      <c r="I53" s="14"/>
      <c r="J53" s="36"/>
      <c r="K53" s="36"/>
      <c r="L53" s="13"/>
      <c r="M53" s="56"/>
      <c r="N53" s="145"/>
      <c r="O53" s="146"/>
      <c r="P53" s="57"/>
      <c r="Q53" s="36"/>
      <c r="R53" s="36"/>
      <c r="S53" s="36"/>
      <c r="T53" s="36"/>
      <c r="U53" s="36"/>
      <c r="V53" s="36"/>
      <c r="W53" s="36" t="s">
        <v>151</v>
      </c>
      <c r="X53" s="143"/>
      <c r="Y53" s="144"/>
      <c r="Z53" s="147"/>
      <c r="AA53" s="12"/>
      <c r="AB53" s="89"/>
      <c r="AC53" s="89"/>
      <c r="AD53" s="76"/>
      <c r="AE53" s="75"/>
      <c r="AF53" s="11">
        <f t="shared" si="22"/>
        <v>0</v>
      </c>
      <c r="AJ53" s="127">
        <f t="shared" si="23"/>
        <v>0</v>
      </c>
      <c r="AL53" s="53">
        <f t="shared" si="24"/>
        <v>0</v>
      </c>
      <c r="AM53" s="53">
        <f t="shared" si="25"/>
        <v>0</v>
      </c>
      <c r="AN53" s="53">
        <f t="shared" si="15"/>
        <v>0</v>
      </c>
      <c r="AO53" s="90">
        <f t="shared" si="26"/>
        <v>0</v>
      </c>
      <c r="AP53" s="90">
        <f t="shared" si="27"/>
        <v>0</v>
      </c>
      <c r="AQ53" s="29">
        <f t="shared" si="28"/>
        <v>0</v>
      </c>
      <c r="AR53" s="30">
        <f t="shared" si="29"/>
        <v>0</v>
      </c>
      <c r="AS53" s="29">
        <f t="shared" si="30"/>
        <v>0</v>
      </c>
      <c r="AT53" s="10">
        <f t="shared" si="16"/>
        <v>0</v>
      </c>
      <c r="AU53" s="10">
        <f t="shared" si="31"/>
        <v>0</v>
      </c>
      <c r="AV53" s="3"/>
      <c r="AW53" s="53">
        <f t="shared" si="17"/>
        <v>0</v>
      </c>
      <c r="AX53" s="53" t="str">
        <f t="shared" si="18"/>
        <v>0</v>
      </c>
      <c r="AY53" s="95">
        <f t="shared" si="32"/>
        <v>0</v>
      </c>
      <c r="AZ53" s="95">
        <f t="shared" si="19"/>
        <v>0</v>
      </c>
      <c r="BA53" s="36">
        <f t="shared" si="33"/>
        <v>0</v>
      </c>
      <c r="BB53" s="2"/>
      <c r="BC53" s="53">
        <f t="shared" si="20"/>
        <v>0</v>
      </c>
      <c r="BD53" s="53" t="str">
        <f t="shared" si="34"/>
        <v>0</v>
      </c>
      <c r="BE53" s="95">
        <f t="shared" si="35"/>
        <v>0</v>
      </c>
      <c r="BF53" s="95">
        <f t="shared" si="21"/>
        <v>0</v>
      </c>
      <c r="BG53" s="36" t="str">
        <f t="shared" si="36"/>
        <v>0</v>
      </c>
    </row>
    <row r="54" spans="1:75" ht="10.95" hidden="1" customHeight="1" x14ac:dyDescent="0.3">
      <c r="A54" s="15">
        <v>50</v>
      </c>
      <c r="B54" s="15"/>
      <c r="C54" s="143"/>
      <c r="D54" s="144"/>
      <c r="E54" s="15"/>
      <c r="F54" s="143"/>
      <c r="G54" s="147"/>
      <c r="H54" s="52"/>
      <c r="I54" s="14"/>
      <c r="J54" s="36"/>
      <c r="K54" s="36"/>
      <c r="L54" s="13"/>
      <c r="M54" s="56"/>
      <c r="N54" s="145"/>
      <c r="O54" s="146"/>
      <c r="P54" s="57"/>
      <c r="Q54" s="36"/>
      <c r="R54" s="36"/>
      <c r="S54" s="36"/>
      <c r="T54" s="36"/>
      <c r="U54" s="36"/>
      <c r="V54" s="36"/>
      <c r="W54" s="36" t="s">
        <v>151</v>
      </c>
      <c r="X54" s="143"/>
      <c r="Y54" s="144"/>
      <c r="Z54" s="147"/>
      <c r="AA54" s="12"/>
      <c r="AB54" s="89"/>
      <c r="AC54" s="89"/>
      <c r="AD54" s="76"/>
      <c r="AE54" s="75"/>
      <c r="AF54" s="11">
        <f t="shared" si="22"/>
        <v>0</v>
      </c>
      <c r="AJ54" s="127">
        <f t="shared" si="23"/>
        <v>0</v>
      </c>
      <c r="AL54" s="53">
        <f t="shared" si="24"/>
        <v>0</v>
      </c>
      <c r="AM54" s="53">
        <f t="shared" si="25"/>
        <v>0</v>
      </c>
      <c r="AN54" s="53">
        <f t="shared" ref="AN54:AN117" si="37">(AD54/60)*$AH$5</f>
        <v>0</v>
      </c>
      <c r="AO54" s="90">
        <f t="shared" si="26"/>
        <v>0</v>
      </c>
      <c r="AP54" s="90">
        <f t="shared" si="27"/>
        <v>0</v>
      </c>
      <c r="AQ54" s="29">
        <f t="shared" si="28"/>
        <v>0</v>
      </c>
      <c r="AR54" s="30">
        <f t="shared" si="29"/>
        <v>0</v>
      </c>
      <c r="AS54" s="29">
        <f t="shared" si="30"/>
        <v>0</v>
      </c>
      <c r="AT54" s="10">
        <f t="shared" ref="AT54:AT117" si="38">SUM(AM54+AW54+AN54+AO54+AP54+BC54+AX54+BD54)</f>
        <v>0</v>
      </c>
      <c r="AU54" s="10">
        <f t="shared" si="31"/>
        <v>0</v>
      </c>
      <c r="AV54" s="3"/>
      <c r="AW54" s="53">
        <f t="shared" si="17"/>
        <v>0</v>
      </c>
      <c r="AX54" s="53" t="str">
        <f t="shared" si="18"/>
        <v>0</v>
      </c>
      <c r="AY54" s="95">
        <f t="shared" si="32"/>
        <v>0</v>
      </c>
      <c r="AZ54" s="95">
        <f t="shared" si="19"/>
        <v>0</v>
      </c>
      <c r="BA54" s="36">
        <f t="shared" si="33"/>
        <v>0</v>
      </c>
      <c r="BB54" s="2"/>
      <c r="BC54" s="53">
        <f t="shared" si="20"/>
        <v>0</v>
      </c>
      <c r="BD54" s="53" t="str">
        <f t="shared" si="34"/>
        <v>0</v>
      </c>
      <c r="BE54" s="95">
        <f t="shared" si="35"/>
        <v>0</v>
      </c>
      <c r="BF54" s="95">
        <f t="shared" si="21"/>
        <v>0</v>
      </c>
      <c r="BG54" s="36" t="str">
        <f t="shared" si="36"/>
        <v>0</v>
      </c>
    </row>
    <row r="55" spans="1:75" ht="10.95" hidden="1" customHeight="1" x14ac:dyDescent="0.3">
      <c r="A55" s="15">
        <v>51</v>
      </c>
      <c r="B55" s="15"/>
      <c r="C55" s="143"/>
      <c r="D55" s="144"/>
      <c r="E55" s="15"/>
      <c r="F55" s="143"/>
      <c r="G55" s="147"/>
      <c r="H55" s="52"/>
      <c r="I55" s="14"/>
      <c r="J55" s="36"/>
      <c r="K55" s="36"/>
      <c r="L55" s="13"/>
      <c r="M55" s="56"/>
      <c r="N55" s="145"/>
      <c r="O55" s="146"/>
      <c r="P55" s="57"/>
      <c r="Q55" s="36"/>
      <c r="R55" s="36"/>
      <c r="S55" s="36"/>
      <c r="T55" s="36"/>
      <c r="U55" s="36"/>
      <c r="V55" s="36"/>
      <c r="W55" s="36" t="s">
        <v>151</v>
      </c>
      <c r="X55" s="143"/>
      <c r="Y55" s="144"/>
      <c r="Z55" s="147"/>
      <c r="AA55" s="12"/>
      <c r="AB55" s="89"/>
      <c r="AC55" s="89"/>
      <c r="AD55" s="76"/>
      <c r="AE55" s="75"/>
      <c r="AF55" s="11">
        <f t="shared" si="22"/>
        <v>0</v>
      </c>
      <c r="AJ55" s="127">
        <f t="shared" si="23"/>
        <v>0</v>
      </c>
      <c r="AL55" s="53">
        <f t="shared" si="24"/>
        <v>0</v>
      </c>
      <c r="AM55" s="53">
        <f t="shared" si="25"/>
        <v>0</v>
      </c>
      <c r="AN55" s="53">
        <f t="shared" si="37"/>
        <v>0</v>
      </c>
      <c r="AO55" s="90">
        <f t="shared" si="26"/>
        <v>0</v>
      </c>
      <c r="AP55" s="90">
        <f t="shared" si="27"/>
        <v>0</v>
      </c>
      <c r="AQ55" s="29">
        <f t="shared" si="28"/>
        <v>0</v>
      </c>
      <c r="AR55" s="30">
        <f t="shared" si="29"/>
        <v>0</v>
      </c>
      <c r="AS55" s="29">
        <f t="shared" si="30"/>
        <v>0</v>
      </c>
      <c r="AT55" s="10">
        <f t="shared" si="38"/>
        <v>0</v>
      </c>
      <c r="AU55" s="10">
        <f t="shared" si="31"/>
        <v>0</v>
      </c>
      <c r="AV55" s="3"/>
      <c r="AW55" s="53">
        <f t="shared" si="17"/>
        <v>0</v>
      </c>
      <c r="AX55" s="53" t="str">
        <f t="shared" si="18"/>
        <v>0</v>
      </c>
      <c r="AY55" s="95">
        <f t="shared" si="32"/>
        <v>0</v>
      </c>
      <c r="AZ55" s="95">
        <f t="shared" si="19"/>
        <v>0</v>
      </c>
      <c r="BA55" s="36">
        <f t="shared" si="33"/>
        <v>0</v>
      </c>
      <c r="BB55" s="2"/>
      <c r="BC55" s="53">
        <f t="shared" si="20"/>
        <v>0</v>
      </c>
      <c r="BD55" s="53" t="str">
        <f t="shared" si="34"/>
        <v>0</v>
      </c>
      <c r="BE55" s="95">
        <f t="shared" si="35"/>
        <v>0</v>
      </c>
      <c r="BF55" s="95">
        <f t="shared" si="21"/>
        <v>0</v>
      </c>
      <c r="BG55" s="36" t="str">
        <f t="shared" si="36"/>
        <v>0</v>
      </c>
    </row>
    <row r="56" spans="1:75" ht="10.95" hidden="1" customHeight="1" x14ac:dyDescent="0.3">
      <c r="A56" s="15">
        <v>52</v>
      </c>
      <c r="B56" s="15"/>
      <c r="C56" s="143"/>
      <c r="D56" s="144"/>
      <c r="E56" s="15"/>
      <c r="F56" s="143"/>
      <c r="G56" s="147"/>
      <c r="H56" s="52"/>
      <c r="I56" s="14"/>
      <c r="J56" s="36"/>
      <c r="K56" s="36"/>
      <c r="L56" s="13"/>
      <c r="M56" s="56"/>
      <c r="N56" s="145"/>
      <c r="O56" s="146"/>
      <c r="P56" s="57"/>
      <c r="Q56" s="36"/>
      <c r="R56" s="36"/>
      <c r="S56" s="36"/>
      <c r="T56" s="36"/>
      <c r="U56" s="36"/>
      <c r="V56" s="36"/>
      <c r="W56" s="36" t="s">
        <v>151</v>
      </c>
      <c r="X56" s="143"/>
      <c r="Y56" s="144"/>
      <c r="Z56" s="147"/>
      <c r="AA56" s="12"/>
      <c r="AB56" s="89"/>
      <c r="AC56" s="89"/>
      <c r="AD56" s="76"/>
      <c r="AE56" s="75"/>
      <c r="AF56" s="11">
        <f t="shared" si="22"/>
        <v>0</v>
      </c>
      <c r="AJ56" s="127">
        <f t="shared" si="23"/>
        <v>0</v>
      </c>
      <c r="AL56" s="53">
        <f t="shared" si="24"/>
        <v>0</v>
      </c>
      <c r="AM56" s="53">
        <f t="shared" si="25"/>
        <v>0</v>
      </c>
      <c r="AN56" s="53">
        <f t="shared" si="37"/>
        <v>0</v>
      </c>
      <c r="AO56" s="90">
        <f t="shared" si="26"/>
        <v>0</v>
      </c>
      <c r="AP56" s="90">
        <f t="shared" si="27"/>
        <v>0</v>
      </c>
      <c r="AQ56" s="29">
        <f t="shared" si="28"/>
        <v>0</v>
      </c>
      <c r="AR56" s="30">
        <f t="shared" si="29"/>
        <v>0</v>
      </c>
      <c r="AS56" s="29">
        <f t="shared" si="30"/>
        <v>0</v>
      </c>
      <c r="AT56" s="10">
        <f t="shared" si="38"/>
        <v>0</v>
      </c>
      <c r="AU56" s="10">
        <f t="shared" si="31"/>
        <v>0</v>
      </c>
      <c r="AV56" s="3"/>
      <c r="AW56" s="53">
        <f t="shared" si="17"/>
        <v>0</v>
      </c>
      <c r="AX56" s="53" t="str">
        <f t="shared" si="18"/>
        <v>0</v>
      </c>
      <c r="AY56" s="95">
        <f t="shared" si="32"/>
        <v>0</v>
      </c>
      <c r="AZ56" s="95">
        <f t="shared" si="19"/>
        <v>0</v>
      </c>
      <c r="BA56" s="36">
        <f t="shared" si="33"/>
        <v>0</v>
      </c>
      <c r="BB56" s="2"/>
      <c r="BC56" s="53">
        <f t="shared" si="20"/>
        <v>0</v>
      </c>
      <c r="BD56" s="53" t="str">
        <f t="shared" si="34"/>
        <v>0</v>
      </c>
      <c r="BE56" s="95">
        <f t="shared" si="35"/>
        <v>0</v>
      </c>
      <c r="BF56" s="95">
        <f t="shared" si="21"/>
        <v>0</v>
      </c>
      <c r="BG56" s="36" t="str">
        <f t="shared" si="36"/>
        <v>0</v>
      </c>
    </row>
    <row r="57" spans="1:75" ht="10.95" hidden="1" customHeight="1" x14ac:dyDescent="0.3">
      <c r="A57" s="15">
        <v>53</v>
      </c>
      <c r="B57" s="15"/>
      <c r="C57" s="143"/>
      <c r="D57" s="144"/>
      <c r="E57" s="15"/>
      <c r="F57" s="143"/>
      <c r="G57" s="147"/>
      <c r="H57" s="52"/>
      <c r="I57" s="14"/>
      <c r="J57" s="36"/>
      <c r="K57" s="36"/>
      <c r="L57" s="13"/>
      <c r="M57" s="56"/>
      <c r="N57" s="145"/>
      <c r="O57" s="146"/>
      <c r="P57" s="57"/>
      <c r="Q57" s="36"/>
      <c r="R57" s="36"/>
      <c r="S57" s="36"/>
      <c r="T57" s="36"/>
      <c r="U57" s="36"/>
      <c r="V57" s="36"/>
      <c r="W57" s="36" t="s">
        <v>151</v>
      </c>
      <c r="X57" s="143"/>
      <c r="Y57" s="144"/>
      <c r="Z57" s="147"/>
      <c r="AA57" s="12"/>
      <c r="AB57" s="89"/>
      <c r="AC57" s="89"/>
      <c r="AD57" s="76"/>
      <c r="AE57" s="75"/>
      <c r="AF57" s="11">
        <f t="shared" si="22"/>
        <v>0</v>
      </c>
      <c r="AJ57" s="127">
        <f t="shared" si="23"/>
        <v>0</v>
      </c>
      <c r="AL57" s="53">
        <f t="shared" si="24"/>
        <v>0</v>
      </c>
      <c r="AM57" s="53">
        <f t="shared" si="25"/>
        <v>0</v>
      </c>
      <c r="AN57" s="53">
        <f t="shared" si="37"/>
        <v>0</v>
      </c>
      <c r="AO57" s="90">
        <f t="shared" si="26"/>
        <v>0</v>
      </c>
      <c r="AP57" s="90">
        <f t="shared" si="27"/>
        <v>0</v>
      </c>
      <c r="AQ57" s="29">
        <f t="shared" si="28"/>
        <v>0</v>
      </c>
      <c r="AR57" s="30">
        <f t="shared" si="29"/>
        <v>0</v>
      </c>
      <c r="AS57" s="29">
        <f t="shared" si="30"/>
        <v>0</v>
      </c>
      <c r="AT57" s="10">
        <f t="shared" si="38"/>
        <v>0</v>
      </c>
      <c r="AU57" s="10">
        <f t="shared" si="31"/>
        <v>0</v>
      </c>
      <c r="AV57" s="3"/>
      <c r="AW57" s="53">
        <f t="shared" si="17"/>
        <v>0</v>
      </c>
      <c r="AX57" s="53" t="str">
        <f t="shared" si="18"/>
        <v>0</v>
      </c>
      <c r="AY57" s="95">
        <f t="shared" si="32"/>
        <v>0</v>
      </c>
      <c r="AZ57" s="95">
        <f t="shared" si="19"/>
        <v>0</v>
      </c>
      <c r="BA57" s="36">
        <f t="shared" si="33"/>
        <v>0</v>
      </c>
      <c r="BB57" s="2"/>
      <c r="BC57" s="53">
        <f t="shared" si="20"/>
        <v>0</v>
      </c>
      <c r="BD57" s="53" t="str">
        <f t="shared" si="34"/>
        <v>0</v>
      </c>
      <c r="BE57" s="95">
        <f t="shared" si="35"/>
        <v>0</v>
      </c>
      <c r="BF57" s="95">
        <f t="shared" si="21"/>
        <v>0</v>
      </c>
      <c r="BG57" s="36" t="str">
        <f t="shared" si="36"/>
        <v>0</v>
      </c>
    </row>
    <row r="58" spans="1:75" ht="10.95" hidden="1" customHeight="1" x14ac:dyDescent="0.3">
      <c r="A58" s="15">
        <v>54</v>
      </c>
      <c r="B58" s="15"/>
      <c r="C58" s="143"/>
      <c r="D58" s="144"/>
      <c r="E58" s="15"/>
      <c r="F58" s="143"/>
      <c r="G58" s="147"/>
      <c r="H58" s="52"/>
      <c r="I58" s="14"/>
      <c r="J58" s="36"/>
      <c r="K58" s="36"/>
      <c r="L58" s="13"/>
      <c r="M58" s="56"/>
      <c r="N58" s="145"/>
      <c r="O58" s="146"/>
      <c r="P58" s="57"/>
      <c r="Q58" s="36"/>
      <c r="R58" s="36"/>
      <c r="S58" s="36"/>
      <c r="T58" s="36"/>
      <c r="U58" s="36"/>
      <c r="V58" s="36"/>
      <c r="W58" s="36" t="s">
        <v>151</v>
      </c>
      <c r="X58" s="143"/>
      <c r="Y58" s="144"/>
      <c r="Z58" s="147"/>
      <c r="AA58" s="12"/>
      <c r="AB58" s="89"/>
      <c r="AC58" s="89"/>
      <c r="AD58" s="76"/>
      <c r="AE58" s="75"/>
      <c r="AF58" s="11">
        <f t="shared" si="22"/>
        <v>0</v>
      </c>
      <c r="AJ58" s="127">
        <f t="shared" si="23"/>
        <v>0</v>
      </c>
      <c r="AL58" s="53">
        <f t="shared" si="24"/>
        <v>0</v>
      </c>
      <c r="AM58" s="53">
        <f t="shared" si="25"/>
        <v>0</v>
      </c>
      <c r="AN58" s="53">
        <f t="shared" si="37"/>
        <v>0</v>
      </c>
      <c r="AO58" s="90">
        <f t="shared" si="26"/>
        <v>0</v>
      </c>
      <c r="AP58" s="90">
        <f t="shared" si="27"/>
        <v>0</v>
      </c>
      <c r="AQ58" s="29">
        <f t="shared" si="28"/>
        <v>0</v>
      </c>
      <c r="AR58" s="30">
        <f t="shared" si="29"/>
        <v>0</v>
      </c>
      <c r="AS58" s="29">
        <f t="shared" si="30"/>
        <v>0</v>
      </c>
      <c r="AT58" s="10">
        <f t="shared" si="38"/>
        <v>0</v>
      </c>
      <c r="AU58" s="10">
        <f t="shared" si="31"/>
        <v>0</v>
      </c>
      <c r="AV58" s="3"/>
      <c r="AW58" s="53">
        <f t="shared" si="17"/>
        <v>0</v>
      </c>
      <c r="AX58" s="53" t="str">
        <f t="shared" si="18"/>
        <v>0</v>
      </c>
      <c r="AY58" s="95">
        <f t="shared" si="32"/>
        <v>0</v>
      </c>
      <c r="AZ58" s="95">
        <f t="shared" si="19"/>
        <v>0</v>
      </c>
      <c r="BA58" s="36">
        <f t="shared" si="33"/>
        <v>0</v>
      </c>
      <c r="BB58" s="2"/>
      <c r="BC58" s="53">
        <f t="shared" si="20"/>
        <v>0</v>
      </c>
      <c r="BD58" s="53" t="str">
        <f t="shared" si="34"/>
        <v>0</v>
      </c>
      <c r="BE58" s="95">
        <f t="shared" si="35"/>
        <v>0</v>
      </c>
      <c r="BF58" s="95">
        <f t="shared" si="21"/>
        <v>0</v>
      </c>
      <c r="BG58" s="36" t="str">
        <f t="shared" si="36"/>
        <v>0</v>
      </c>
    </row>
    <row r="59" spans="1:75" ht="10.95" hidden="1" customHeight="1" x14ac:dyDescent="0.3">
      <c r="A59" s="15">
        <v>55</v>
      </c>
      <c r="B59" s="15"/>
      <c r="C59" s="143"/>
      <c r="D59" s="144"/>
      <c r="E59" s="15"/>
      <c r="F59" s="143"/>
      <c r="G59" s="147"/>
      <c r="H59" s="52"/>
      <c r="I59" s="14"/>
      <c r="J59" s="36"/>
      <c r="K59" s="36"/>
      <c r="L59" s="13"/>
      <c r="M59" s="56"/>
      <c r="N59" s="145"/>
      <c r="O59" s="146"/>
      <c r="P59" s="57"/>
      <c r="Q59" s="36"/>
      <c r="R59" s="36"/>
      <c r="S59" s="36"/>
      <c r="T59" s="36"/>
      <c r="U59" s="36"/>
      <c r="V59" s="36"/>
      <c r="W59" s="36" t="s">
        <v>151</v>
      </c>
      <c r="X59" s="143"/>
      <c r="Y59" s="144"/>
      <c r="Z59" s="147"/>
      <c r="AA59" s="12"/>
      <c r="AB59" s="89"/>
      <c r="AC59" s="89"/>
      <c r="AD59" s="76"/>
      <c r="AE59" s="75"/>
      <c r="AF59" s="11">
        <f t="shared" si="22"/>
        <v>0</v>
      </c>
      <c r="AJ59" s="127">
        <f t="shared" si="23"/>
        <v>0</v>
      </c>
      <c r="AL59" s="53">
        <f t="shared" si="24"/>
        <v>0</v>
      </c>
      <c r="AM59" s="53">
        <f t="shared" si="25"/>
        <v>0</v>
      </c>
      <c r="AN59" s="53">
        <f t="shared" si="37"/>
        <v>0</v>
      </c>
      <c r="AO59" s="90">
        <f t="shared" si="26"/>
        <v>0</v>
      </c>
      <c r="AP59" s="90">
        <f t="shared" si="27"/>
        <v>0</v>
      </c>
      <c r="AQ59" s="29">
        <f t="shared" si="28"/>
        <v>0</v>
      </c>
      <c r="AR59" s="30">
        <f t="shared" si="29"/>
        <v>0</v>
      </c>
      <c r="AS59" s="29">
        <f t="shared" si="30"/>
        <v>0</v>
      </c>
      <c r="AT59" s="10">
        <f t="shared" si="38"/>
        <v>0</v>
      </c>
      <c r="AU59" s="10">
        <f t="shared" si="31"/>
        <v>0</v>
      </c>
      <c r="AV59" s="3"/>
      <c r="AW59" s="53">
        <f t="shared" si="17"/>
        <v>0</v>
      </c>
      <c r="AX59" s="53" t="str">
        <f t="shared" si="18"/>
        <v>0</v>
      </c>
      <c r="AY59" s="95">
        <f t="shared" si="32"/>
        <v>0</v>
      </c>
      <c r="AZ59" s="95">
        <f t="shared" si="19"/>
        <v>0</v>
      </c>
      <c r="BA59" s="36">
        <f t="shared" si="33"/>
        <v>0</v>
      </c>
      <c r="BB59" s="2"/>
      <c r="BC59" s="53">
        <f t="shared" si="20"/>
        <v>0</v>
      </c>
      <c r="BD59" s="53" t="str">
        <f t="shared" si="34"/>
        <v>0</v>
      </c>
      <c r="BE59" s="95">
        <f t="shared" si="35"/>
        <v>0</v>
      </c>
      <c r="BF59" s="95">
        <f t="shared" si="21"/>
        <v>0</v>
      </c>
      <c r="BG59" s="36" t="str">
        <f t="shared" si="36"/>
        <v>0</v>
      </c>
    </row>
    <row r="60" spans="1:75" ht="10.95" hidden="1" customHeight="1" x14ac:dyDescent="0.3">
      <c r="A60" s="15">
        <v>56</v>
      </c>
      <c r="B60" s="15"/>
      <c r="C60" s="143"/>
      <c r="D60" s="144"/>
      <c r="E60" s="15"/>
      <c r="F60" s="143"/>
      <c r="G60" s="147"/>
      <c r="H60" s="52"/>
      <c r="I60" s="14"/>
      <c r="J60" s="36"/>
      <c r="K60" s="36"/>
      <c r="L60" s="13"/>
      <c r="M60" s="56"/>
      <c r="N60" s="145"/>
      <c r="O60" s="146"/>
      <c r="P60" s="57"/>
      <c r="Q60" s="36"/>
      <c r="R60" s="36"/>
      <c r="S60" s="36"/>
      <c r="T60" s="36"/>
      <c r="U60" s="36"/>
      <c r="V60" s="36"/>
      <c r="W60" s="36" t="s">
        <v>151</v>
      </c>
      <c r="X60" s="143"/>
      <c r="Y60" s="144"/>
      <c r="Z60" s="147"/>
      <c r="AA60" s="12"/>
      <c r="AB60" s="89"/>
      <c r="AC60" s="89"/>
      <c r="AD60" s="76"/>
      <c r="AE60" s="75"/>
      <c r="AF60" s="11">
        <f t="shared" si="22"/>
        <v>0</v>
      </c>
      <c r="AJ60" s="127">
        <f t="shared" si="23"/>
        <v>0</v>
      </c>
      <c r="AL60" s="53">
        <f t="shared" si="24"/>
        <v>0</v>
      </c>
      <c r="AM60" s="53">
        <f t="shared" si="25"/>
        <v>0</v>
      </c>
      <c r="AN60" s="53">
        <f t="shared" si="37"/>
        <v>0</v>
      </c>
      <c r="AO60" s="90">
        <f t="shared" si="26"/>
        <v>0</v>
      </c>
      <c r="AP60" s="90">
        <f t="shared" si="27"/>
        <v>0</v>
      </c>
      <c r="AQ60" s="29">
        <f t="shared" si="28"/>
        <v>0</v>
      </c>
      <c r="AR60" s="30">
        <f t="shared" si="29"/>
        <v>0</v>
      </c>
      <c r="AS60" s="29">
        <f t="shared" si="30"/>
        <v>0</v>
      </c>
      <c r="AT60" s="10">
        <f t="shared" si="38"/>
        <v>0</v>
      </c>
      <c r="AU60" s="10">
        <f t="shared" si="31"/>
        <v>0</v>
      </c>
      <c r="AV60" s="3"/>
      <c r="AW60" s="53">
        <f t="shared" si="17"/>
        <v>0</v>
      </c>
      <c r="AX60" s="53" t="str">
        <f t="shared" si="18"/>
        <v>0</v>
      </c>
      <c r="AY60" s="95">
        <f t="shared" si="32"/>
        <v>0</v>
      </c>
      <c r="AZ60" s="95">
        <f t="shared" si="19"/>
        <v>0</v>
      </c>
      <c r="BA60" s="36">
        <f t="shared" si="33"/>
        <v>0</v>
      </c>
      <c r="BB60" s="2"/>
      <c r="BC60" s="53">
        <f t="shared" si="20"/>
        <v>0</v>
      </c>
      <c r="BD60" s="53" t="str">
        <f t="shared" si="34"/>
        <v>0</v>
      </c>
      <c r="BE60" s="95">
        <f t="shared" si="35"/>
        <v>0</v>
      </c>
      <c r="BF60" s="95">
        <f t="shared" si="21"/>
        <v>0</v>
      </c>
      <c r="BG60" s="36" t="str">
        <f t="shared" si="36"/>
        <v>0</v>
      </c>
    </row>
    <row r="61" spans="1:75" ht="10.95" hidden="1" customHeight="1" x14ac:dyDescent="0.3">
      <c r="A61" s="15">
        <v>57</v>
      </c>
      <c r="B61" s="15"/>
      <c r="C61" s="143"/>
      <c r="D61" s="144"/>
      <c r="E61" s="15"/>
      <c r="F61" s="143"/>
      <c r="G61" s="147"/>
      <c r="H61" s="52"/>
      <c r="I61" s="14"/>
      <c r="J61" s="36"/>
      <c r="K61" s="36"/>
      <c r="L61" s="13"/>
      <c r="M61" s="56"/>
      <c r="N61" s="145"/>
      <c r="O61" s="146"/>
      <c r="P61" s="57"/>
      <c r="Q61" s="36"/>
      <c r="R61" s="36"/>
      <c r="S61" s="36"/>
      <c r="T61" s="36"/>
      <c r="U61" s="36"/>
      <c r="V61" s="36"/>
      <c r="W61" s="36" t="s">
        <v>151</v>
      </c>
      <c r="X61" s="143"/>
      <c r="Y61" s="144"/>
      <c r="Z61" s="147"/>
      <c r="AA61" s="12"/>
      <c r="AB61" s="89"/>
      <c r="AC61" s="89"/>
      <c r="AD61" s="76"/>
      <c r="AE61" s="75"/>
      <c r="AF61" s="11">
        <f t="shared" si="22"/>
        <v>0</v>
      </c>
      <c r="AJ61" s="127">
        <f t="shared" si="23"/>
        <v>0</v>
      </c>
      <c r="AL61" s="53">
        <f t="shared" si="24"/>
        <v>0</v>
      </c>
      <c r="AM61" s="53">
        <f t="shared" si="25"/>
        <v>0</v>
      </c>
      <c r="AN61" s="53">
        <f t="shared" si="37"/>
        <v>0</v>
      </c>
      <c r="AO61" s="90">
        <f t="shared" si="26"/>
        <v>0</v>
      </c>
      <c r="AP61" s="90">
        <f t="shared" si="27"/>
        <v>0</v>
      </c>
      <c r="AQ61" s="29">
        <f t="shared" si="28"/>
        <v>0</v>
      </c>
      <c r="AR61" s="30">
        <f t="shared" si="29"/>
        <v>0</v>
      </c>
      <c r="AS61" s="29">
        <f t="shared" si="30"/>
        <v>0</v>
      </c>
      <c r="AT61" s="10">
        <f t="shared" si="38"/>
        <v>0</v>
      </c>
      <c r="AU61" s="10">
        <f t="shared" si="31"/>
        <v>0</v>
      </c>
      <c r="AV61" s="3"/>
      <c r="AW61" s="53">
        <f t="shared" si="17"/>
        <v>0</v>
      </c>
      <c r="AX61" s="53" t="str">
        <f t="shared" si="18"/>
        <v>0</v>
      </c>
      <c r="AY61" s="95">
        <f t="shared" si="32"/>
        <v>0</v>
      </c>
      <c r="AZ61" s="95">
        <f t="shared" si="19"/>
        <v>0</v>
      </c>
      <c r="BA61" s="36">
        <f t="shared" si="33"/>
        <v>0</v>
      </c>
      <c r="BB61" s="2"/>
      <c r="BC61" s="53">
        <f t="shared" si="20"/>
        <v>0</v>
      </c>
      <c r="BD61" s="53" t="str">
        <f t="shared" si="34"/>
        <v>0</v>
      </c>
      <c r="BE61" s="95">
        <f t="shared" si="35"/>
        <v>0</v>
      </c>
      <c r="BF61" s="95">
        <f t="shared" si="21"/>
        <v>0</v>
      </c>
      <c r="BG61" s="36" t="str">
        <f t="shared" si="36"/>
        <v>0</v>
      </c>
    </row>
    <row r="62" spans="1:75" ht="10.95" hidden="1" customHeight="1" x14ac:dyDescent="0.3">
      <c r="A62" s="15">
        <v>58</v>
      </c>
      <c r="B62" s="15"/>
      <c r="C62" s="143"/>
      <c r="D62" s="144"/>
      <c r="E62" s="15"/>
      <c r="F62" s="143"/>
      <c r="G62" s="147"/>
      <c r="H62" s="52"/>
      <c r="I62" s="14"/>
      <c r="J62" s="36"/>
      <c r="K62" s="36"/>
      <c r="L62" s="13"/>
      <c r="M62" s="56"/>
      <c r="N62" s="145"/>
      <c r="O62" s="146"/>
      <c r="P62" s="57"/>
      <c r="Q62" s="36"/>
      <c r="R62" s="36"/>
      <c r="S62" s="36"/>
      <c r="T62" s="36"/>
      <c r="U62" s="36"/>
      <c r="V62" s="36"/>
      <c r="W62" s="36" t="s">
        <v>151</v>
      </c>
      <c r="X62" s="143"/>
      <c r="Y62" s="144"/>
      <c r="Z62" s="147"/>
      <c r="AA62" s="12"/>
      <c r="AB62" s="89"/>
      <c r="AC62" s="89"/>
      <c r="AD62" s="76"/>
      <c r="AE62" s="75"/>
      <c r="AF62" s="11">
        <f t="shared" si="22"/>
        <v>0</v>
      </c>
      <c r="AJ62" s="127">
        <f t="shared" si="23"/>
        <v>0</v>
      </c>
      <c r="AL62" s="53">
        <f t="shared" si="24"/>
        <v>0</v>
      </c>
      <c r="AM62" s="53">
        <f t="shared" si="25"/>
        <v>0</v>
      </c>
      <c r="AN62" s="53">
        <f t="shared" si="37"/>
        <v>0</v>
      </c>
      <c r="AO62" s="90">
        <f t="shared" si="26"/>
        <v>0</v>
      </c>
      <c r="AP62" s="90">
        <f t="shared" si="27"/>
        <v>0</v>
      </c>
      <c r="AQ62" s="29">
        <f t="shared" si="28"/>
        <v>0</v>
      </c>
      <c r="AR62" s="30">
        <f t="shared" si="29"/>
        <v>0</v>
      </c>
      <c r="AS62" s="29">
        <f t="shared" si="30"/>
        <v>0</v>
      </c>
      <c r="AT62" s="10">
        <f t="shared" si="38"/>
        <v>0</v>
      </c>
      <c r="AU62" s="10">
        <f t="shared" si="31"/>
        <v>0</v>
      </c>
      <c r="AV62" s="3"/>
      <c r="AW62" s="53">
        <f t="shared" si="17"/>
        <v>0</v>
      </c>
      <c r="AX62" s="53" t="str">
        <f t="shared" si="18"/>
        <v>0</v>
      </c>
      <c r="AY62" s="95">
        <f t="shared" si="32"/>
        <v>0</v>
      </c>
      <c r="AZ62" s="95">
        <f t="shared" si="19"/>
        <v>0</v>
      </c>
      <c r="BA62" s="36">
        <f t="shared" si="33"/>
        <v>0</v>
      </c>
      <c r="BB62" s="2"/>
      <c r="BC62" s="53">
        <f t="shared" si="20"/>
        <v>0</v>
      </c>
      <c r="BD62" s="53" t="str">
        <f t="shared" si="34"/>
        <v>0</v>
      </c>
      <c r="BE62" s="95">
        <f t="shared" si="35"/>
        <v>0</v>
      </c>
      <c r="BF62" s="95">
        <f t="shared" si="21"/>
        <v>0</v>
      </c>
      <c r="BG62" s="36" t="str">
        <f t="shared" si="36"/>
        <v>0</v>
      </c>
    </row>
    <row r="63" spans="1:75" ht="10.95" hidden="1" customHeight="1" x14ac:dyDescent="0.3">
      <c r="A63" s="15">
        <v>59</v>
      </c>
      <c r="B63" s="15"/>
      <c r="C63" s="143"/>
      <c r="D63" s="144"/>
      <c r="E63" s="15"/>
      <c r="F63" s="143"/>
      <c r="G63" s="147"/>
      <c r="H63" s="52"/>
      <c r="I63" s="14"/>
      <c r="J63" s="36"/>
      <c r="K63" s="36"/>
      <c r="L63" s="13"/>
      <c r="M63" s="56"/>
      <c r="N63" s="145"/>
      <c r="O63" s="146"/>
      <c r="P63" s="57"/>
      <c r="Q63" s="36"/>
      <c r="R63" s="36"/>
      <c r="S63" s="36"/>
      <c r="T63" s="36"/>
      <c r="U63" s="36"/>
      <c r="V63" s="36"/>
      <c r="W63" s="36" t="s">
        <v>151</v>
      </c>
      <c r="X63" s="143"/>
      <c r="Y63" s="144"/>
      <c r="Z63" s="147"/>
      <c r="AA63" s="12"/>
      <c r="AB63" s="89"/>
      <c r="AC63" s="89"/>
      <c r="AD63" s="76"/>
      <c r="AE63" s="75"/>
      <c r="AF63" s="11">
        <f t="shared" si="22"/>
        <v>0</v>
      </c>
      <c r="AJ63" s="127">
        <f t="shared" si="23"/>
        <v>0</v>
      </c>
      <c r="AL63" s="53">
        <f t="shared" si="24"/>
        <v>0</v>
      </c>
      <c r="AM63" s="53">
        <f t="shared" si="25"/>
        <v>0</v>
      </c>
      <c r="AN63" s="53">
        <f t="shared" si="37"/>
        <v>0</v>
      </c>
      <c r="AO63" s="90">
        <f t="shared" si="26"/>
        <v>0</v>
      </c>
      <c r="AP63" s="90">
        <f t="shared" si="27"/>
        <v>0</v>
      </c>
      <c r="AQ63" s="29">
        <f t="shared" si="28"/>
        <v>0</v>
      </c>
      <c r="AR63" s="30">
        <f t="shared" si="29"/>
        <v>0</v>
      </c>
      <c r="AS63" s="29">
        <f t="shared" si="30"/>
        <v>0</v>
      </c>
      <c r="AT63" s="10">
        <f t="shared" si="38"/>
        <v>0</v>
      </c>
      <c r="AU63" s="10">
        <f t="shared" si="31"/>
        <v>0</v>
      </c>
      <c r="AV63" s="3"/>
      <c r="AW63" s="53">
        <f t="shared" si="17"/>
        <v>0</v>
      </c>
      <c r="AX63" s="53" t="str">
        <f t="shared" si="18"/>
        <v>0</v>
      </c>
      <c r="AY63" s="95">
        <f t="shared" si="32"/>
        <v>0</v>
      </c>
      <c r="AZ63" s="95">
        <f t="shared" si="19"/>
        <v>0</v>
      </c>
      <c r="BA63" s="36">
        <f t="shared" si="33"/>
        <v>0</v>
      </c>
      <c r="BB63" s="2"/>
      <c r="BC63" s="53">
        <f t="shared" si="20"/>
        <v>0</v>
      </c>
      <c r="BD63" s="53" t="str">
        <f t="shared" si="34"/>
        <v>0</v>
      </c>
      <c r="BE63" s="95">
        <f t="shared" si="35"/>
        <v>0</v>
      </c>
      <c r="BF63" s="95">
        <f t="shared" si="21"/>
        <v>0</v>
      </c>
      <c r="BG63" s="36" t="str">
        <f t="shared" si="36"/>
        <v>0</v>
      </c>
    </row>
    <row r="64" spans="1:75" ht="10.95" hidden="1" customHeight="1" x14ac:dyDescent="0.3">
      <c r="A64" s="15">
        <v>60</v>
      </c>
      <c r="B64" s="15"/>
      <c r="C64" s="143"/>
      <c r="D64" s="144"/>
      <c r="E64" s="15"/>
      <c r="F64" s="143"/>
      <c r="G64" s="147"/>
      <c r="H64" s="52"/>
      <c r="I64" s="14"/>
      <c r="J64" s="36"/>
      <c r="K64" s="36"/>
      <c r="L64" s="13"/>
      <c r="M64" s="56"/>
      <c r="N64" s="145"/>
      <c r="O64" s="146"/>
      <c r="P64" s="57"/>
      <c r="Q64" s="36"/>
      <c r="R64" s="36"/>
      <c r="S64" s="36"/>
      <c r="T64" s="36"/>
      <c r="U64" s="36"/>
      <c r="V64" s="36"/>
      <c r="W64" s="36" t="s">
        <v>151</v>
      </c>
      <c r="X64" s="143"/>
      <c r="Y64" s="144"/>
      <c r="Z64" s="147"/>
      <c r="AA64" s="12"/>
      <c r="AB64" s="89"/>
      <c r="AC64" s="89"/>
      <c r="AD64" s="76"/>
      <c r="AE64" s="75"/>
      <c r="AF64" s="11">
        <f t="shared" si="22"/>
        <v>0</v>
      </c>
      <c r="AJ64" s="127">
        <f t="shared" si="23"/>
        <v>0</v>
      </c>
      <c r="AL64" s="53">
        <f t="shared" si="24"/>
        <v>0</v>
      </c>
      <c r="AM64" s="53">
        <f t="shared" si="25"/>
        <v>0</v>
      </c>
      <c r="AN64" s="53">
        <f t="shared" si="37"/>
        <v>0</v>
      </c>
      <c r="AO64" s="90">
        <f t="shared" si="26"/>
        <v>0</v>
      </c>
      <c r="AP64" s="90">
        <f t="shared" si="27"/>
        <v>0</v>
      </c>
      <c r="AQ64" s="29">
        <f t="shared" si="28"/>
        <v>0</v>
      </c>
      <c r="AR64" s="30">
        <f t="shared" si="29"/>
        <v>0</v>
      </c>
      <c r="AS64" s="29">
        <f t="shared" si="30"/>
        <v>0</v>
      </c>
      <c r="AT64" s="10">
        <f t="shared" si="38"/>
        <v>0</v>
      </c>
      <c r="AU64" s="10">
        <f t="shared" si="31"/>
        <v>0</v>
      </c>
      <c r="AV64" s="3"/>
      <c r="AW64" s="53">
        <f t="shared" si="17"/>
        <v>0</v>
      </c>
      <c r="AX64" s="53" t="str">
        <f t="shared" si="18"/>
        <v>0</v>
      </c>
      <c r="AY64" s="95">
        <f t="shared" si="32"/>
        <v>0</v>
      </c>
      <c r="AZ64" s="95">
        <f t="shared" si="19"/>
        <v>0</v>
      </c>
      <c r="BA64" s="36">
        <f t="shared" si="33"/>
        <v>0</v>
      </c>
      <c r="BB64" s="2"/>
      <c r="BC64" s="53">
        <f t="shared" si="20"/>
        <v>0</v>
      </c>
      <c r="BD64" s="53" t="str">
        <f t="shared" si="34"/>
        <v>0</v>
      </c>
      <c r="BE64" s="95">
        <f t="shared" si="35"/>
        <v>0</v>
      </c>
      <c r="BF64" s="95">
        <f t="shared" si="21"/>
        <v>0</v>
      </c>
      <c r="BG64" s="36" t="str">
        <f t="shared" si="36"/>
        <v>0</v>
      </c>
    </row>
    <row r="65" spans="1:59" ht="10.95" hidden="1" customHeight="1" x14ac:dyDescent="0.3">
      <c r="A65" s="15">
        <v>61</v>
      </c>
      <c r="B65" s="15"/>
      <c r="C65" s="143"/>
      <c r="D65" s="144"/>
      <c r="E65" s="15"/>
      <c r="F65" s="143"/>
      <c r="G65" s="147"/>
      <c r="H65" s="52"/>
      <c r="I65" s="14"/>
      <c r="J65" s="36"/>
      <c r="K65" s="36"/>
      <c r="L65" s="13"/>
      <c r="M65" s="56"/>
      <c r="N65" s="145"/>
      <c r="O65" s="146"/>
      <c r="P65" s="57"/>
      <c r="Q65" s="36"/>
      <c r="R65" s="36"/>
      <c r="S65" s="36"/>
      <c r="T65" s="36"/>
      <c r="U65" s="36"/>
      <c r="V65" s="36"/>
      <c r="W65" s="36" t="s">
        <v>151</v>
      </c>
      <c r="X65" s="143"/>
      <c r="Y65" s="144"/>
      <c r="Z65" s="147"/>
      <c r="AA65" s="12"/>
      <c r="AB65" s="89"/>
      <c r="AC65" s="89"/>
      <c r="AD65" s="76"/>
      <c r="AE65" s="75"/>
      <c r="AF65" s="11">
        <f t="shared" si="22"/>
        <v>0</v>
      </c>
      <c r="AJ65" s="127">
        <f t="shared" si="23"/>
        <v>0</v>
      </c>
      <c r="AL65" s="53">
        <f t="shared" si="24"/>
        <v>0</v>
      </c>
      <c r="AM65" s="53">
        <f t="shared" si="25"/>
        <v>0</v>
      </c>
      <c r="AN65" s="53">
        <f t="shared" si="37"/>
        <v>0</v>
      </c>
      <c r="AO65" s="90">
        <f t="shared" si="26"/>
        <v>0</v>
      </c>
      <c r="AP65" s="90">
        <f t="shared" si="27"/>
        <v>0</v>
      </c>
      <c r="AQ65" s="29">
        <f t="shared" si="28"/>
        <v>0</v>
      </c>
      <c r="AR65" s="30">
        <f t="shared" si="29"/>
        <v>0</v>
      </c>
      <c r="AS65" s="29">
        <f t="shared" si="30"/>
        <v>0</v>
      </c>
      <c r="AT65" s="10">
        <f t="shared" si="38"/>
        <v>0</v>
      </c>
      <c r="AU65" s="10">
        <f t="shared" si="31"/>
        <v>0</v>
      </c>
      <c r="AV65" s="3"/>
      <c r="AW65" s="53">
        <f t="shared" si="17"/>
        <v>0</v>
      </c>
      <c r="AX65" s="53" t="str">
        <f t="shared" si="18"/>
        <v>0</v>
      </c>
      <c r="AY65" s="95">
        <f t="shared" si="32"/>
        <v>0</v>
      </c>
      <c r="AZ65" s="95">
        <f t="shared" si="19"/>
        <v>0</v>
      </c>
      <c r="BA65" s="36">
        <f t="shared" si="33"/>
        <v>0</v>
      </c>
      <c r="BB65" s="2"/>
      <c r="BC65" s="53">
        <f t="shared" si="20"/>
        <v>0</v>
      </c>
      <c r="BD65" s="53" t="str">
        <f t="shared" si="34"/>
        <v>0</v>
      </c>
      <c r="BE65" s="95">
        <f t="shared" si="35"/>
        <v>0</v>
      </c>
      <c r="BF65" s="95">
        <f t="shared" si="21"/>
        <v>0</v>
      </c>
      <c r="BG65" s="36" t="str">
        <f t="shared" si="36"/>
        <v>0</v>
      </c>
    </row>
    <row r="66" spans="1:59" ht="10.95" hidden="1" customHeight="1" x14ac:dyDescent="0.3">
      <c r="A66" s="15">
        <v>62</v>
      </c>
      <c r="B66" s="15"/>
      <c r="C66" s="143"/>
      <c r="D66" s="144"/>
      <c r="E66" s="15"/>
      <c r="F66" s="143"/>
      <c r="G66" s="147"/>
      <c r="H66" s="52"/>
      <c r="I66" s="14"/>
      <c r="J66" s="36"/>
      <c r="K66" s="36"/>
      <c r="L66" s="13"/>
      <c r="M66" s="56"/>
      <c r="N66" s="145"/>
      <c r="O66" s="146"/>
      <c r="P66" s="57"/>
      <c r="Q66" s="36"/>
      <c r="R66" s="36"/>
      <c r="S66" s="36"/>
      <c r="T66" s="36"/>
      <c r="U66" s="36"/>
      <c r="V66" s="36"/>
      <c r="W66" s="36" t="s">
        <v>151</v>
      </c>
      <c r="X66" s="143"/>
      <c r="Y66" s="144"/>
      <c r="Z66" s="147"/>
      <c r="AA66" s="12"/>
      <c r="AB66" s="89"/>
      <c r="AC66" s="89"/>
      <c r="AD66" s="76"/>
      <c r="AE66" s="75"/>
      <c r="AF66" s="11">
        <f t="shared" si="22"/>
        <v>0</v>
      </c>
      <c r="AJ66" s="127">
        <f t="shared" si="23"/>
        <v>0</v>
      </c>
      <c r="AL66" s="53">
        <f t="shared" si="24"/>
        <v>0</v>
      </c>
      <c r="AM66" s="53">
        <f t="shared" si="25"/>
        <v>0</v>
      </c>
      <c r="AN66" s="53">
        <f t="shared" si="37"/>
        <v>0</v>
      </c>
      <c r="AO66" s="90">
        <f t="shared" si="26"/>
        <v>0</v>
      </c>
      <c r="AP66" s="90">
        <f t="shared" si="27"/>
        <v>0</v>
      </c>
      <c r="AQ66" s="29">
        <f t="shared" si="28"/>
        <v>0</v>
      </c>
      <c r="AR66" s="30">
        <f t="shared" si="29"/>
        <v>0</v>
      </c>
      <c r="AS66" s="29">
        <f t="shared" si="30"/>
        <v>0</v>
      </c>
      <c r="AT66" s="10">
        <f t="shared" si="38"/>
        <v>0</v>
      </c>
      <c r="AU66" s="10">
        <f t="shared" si="31"/>
        <v>0</v>
      </c>
      <c r="AV66" s="3"/>
      <c r="AW66" s="53">
        <f t="shared" si="17"/>
        <v>0</v>
      </c>
      <c r="AX66" s="53" t="str">
        <f t="shared" si="18"/>
        <v>0</v>
      </c>
      <c r="AY66" s="95">
        <f t="shared" si="32"/>
        <v>0</v>
      </c>
      <c r="AZ66" s="95">
        <f t="shared" si="19"/>
        <v>0</v>
      </c>
      <c r="BA66" s="36">
        <f t="shared" si="33"/>
        <v>0</v>
      </c>
      <c r="BB66" s="2"/>
      <c r="BC66" s="53">
        <f t="shared" si="20"/>
        <v>0</v>
      </c>
      <c r="BD66" s="53" t="str">
        <f t="shared" si="34"/>
        <v>0</v>
      </c>
      <c r="BE66" s="95">
        <f t="shared" si="35"/>
        <v>0</v>
      </c>
      <c r="BF66" s="95">
        <f t="shared" si="21"/>
        <v>0</v>
      </c>
      <c r="BG66" s="36" t="str">
        <f t="shared" si="36"/>
        <v>0</v>
      </c>
    </row>
    <row r="67" spans="1:59" ht="10.95" hidden="1" customHeight="1" x14ac:dyDescent="0.3">
      <c r="A67" s="15">
        <v>63</v>
      </c>
      <c r="B67" s="15"/>
      <c r="C67" s="143"/>
      <c r="D67" s="144"/>
      <c r="E67" s="15"/>
      <c r="F67" s="143"/>
      <c r="G67" s="147"/>
      <c r="H67" s="52"/>
      <c r="I67" s="14"/>
      <c r="J67" s="36"/>
      <c r="K67" s="36"/>
      <c r="L67" s="13"/>
      <c r="M67" s="56"/>
      <c r="N67" s="145"/>
      <c r="O67" s="146"/>
      <c r="P67" s="57"/>
      <c r="Q67" s="36"/>
      <c r="R67" s="36"/>
      <c r="S67" s="36"/>
      <c r="T67" s="36"/>
      <c r="U67" s="36"/>
      <c r="V67" s="36"/>
      <c r="W67" s="36" t="s">
        <v>151</v>
      </c>
      <c r="X67" s="143"/>
      <c r="Y67" s="144"/>
      <c r="Z67" s="147"/>
      <c r="AA67" s="12"/>
      <c r="AB67" s="89"/>
      <c r="AC67" s="89"/>
      <c r="AD67" s="76"/>
      <c r="AE67" s="75"/>
      <c r="AF67" s="11">
        <f t="shared" si="22"/>
        <v>0</v>
      </c>
      <c r="AJ67" s="127">
        <f t="shared" si="23"/>
        <v>0</v>
      </c>
      <c r="AL67" s="53">
        <f t="shared" si="24"/>
        <v>0</v>
      </c>
      <c r="AM67" s="53">
        <f t="shared" si="25"/>
        <v>0</v>
      </c>
      <c r="AN67" s="53">
        <f t="shared" si="37"/>
        <v>0</v>
      </c>
      <c r="AO67" s="90">
        <f t="shared" si="26"/>
        <v>0</v>
      </c>
      <c r="AP67" s="90">
        <f t="shared" si="27"/>
        <v>0</v>
      </c>
      <c r="AQ67" s="29">
        <f t="shared" si="28"/>
        <v>0</v>
      </c>
      <c r="AR67" s="30">
        <f t="shared" si="29"/>
        <v>0</v>
      </c>
      <c r="AS67" s="29">
        <f t="shared" si="30"/>
        <v>0</v>
      </c>
      <c r="AT67" s="10">
        <f t="shared" si="38"/>
        <v>0</v>
      </c>
      <c r="AU67" s="10">
        <f t="shared" si="31"/>
        <v>0</v>
      </c>
      <c r="AV67" s="3"/>
      <c r="AW67" s="53">
        <f t="shared" si="17"/>
        <v>0</v>
      </c>
      <c r="AX67" s="53" t="str">
        <f t="shared" si="18"/>
        <v>0</v>
      </c>
      <c r="AY67" s="95">
        <f t="shared" si="32"/>
        <v>0</v>
      </c>
      <c r="AZ67" s="95">
        <f t="shared" si="19"/>
        <v>0</v>
      </c>
      <c r="BA67" s="36">
        <f t="shared" si="33"/>
        <v>0</v>
      </c>
      <c r="BB67" s="2"/>
      <c r="BC67" s="53">
        <f t="shared" si="20"/>
        <v>0</v>
      </c>
      <c r="BD67" s="53" t="str">
        <f t="shared" si="34"/>
        <v>0</v>
      </c>
      <c r="BE67" s="95">
        <f t="shared" si="35"/>
        <v>0</v>
      </c>
      <c r="BF67" s="95">
        <f t="shared" si="21"/>
        <v>0</v>
      </c>
      <c r="BG67" s="36" t="str">
        <f t="shared" si="36"/>
        <v>0</v>
      </c>
    </row>
    <row r="68" spans="1:59" ht="10.95" hidden="1" customHeight="1" x14ac:dyDescent="0.3">
      <c r="A68" s="15">
        <v>64</v>
      </c>
      <c r="B68" s="15"/>
      <c r="C68" s="143"/>
      <c r="D68" s="144"/>
      <c r="E68" s="15"/>
      <c r="F68" s="143"/>
      <c r="G68" s="147"/>
      <c r="H68" s="52"/>
      <c r="I68" s="14"/>
      <c r="J68" s="36"/>
      <c r="K68" s="36"/>
      <c r="L68" s="13"/>
      <c r="M68" s="56"/>
      <c r="N68" s="145"/>
      <c r="O68" s="146"/>
      <c r="P68" s="57"/>
      <c r="Q68" s="36"/>
      <c r="R68" s="36"/>
      <c r="S68" s="36"/>
      <c r="T68" s="36"/>
      <c r="U68" s="36"/>
      <c r="V68" s="36"/>
      <c r="W68" s="36" t="s">
        <v>151</v>
      </c>
      <c r="X68" s="143"/>
      <c r="Y68" s="144"/>
      <c r="Z68" s="147"/>
      <c r="AA68" s="12"/>
      <c r="AB68" s="89"/>
      <c r="AC68" s="89"/>
      <c r="AD68" s="76"/>
      <c r="AE68" s="75"/>
      <c r="AF68" s="11">
        <f t="shared" si="22"/>
        <v>0</v>
      </c>
      <c r="AJ68" s="127">
        <f t="shared" si="23"/>
        <v>0</v>
      </c>
      <c r="AL68" s="53">
        <f t="shared" si="24"/>
        <v>0</v>
      </c>
      <c r="AM68" s="53">
        <f t="shared" si="25"/>
        <v>0</v>
      </c>
      <c r="AN68" s="53">
        <f t="shared" si="37"/>
        <v>0</v>
      </c>
      <c r="AO68" s="90">
        <f t="shared" si="26"/>
        <v>0</v>
      </c>
      <c r="AP68" s="90">
        <f t="shared" si="27"/>
        <v>0</v>
      </c>
      <c r="AQ68" s="29">
        <f t="shared" si="28"/>
        <v>0</v>
      </c>
      <c r="AR68" s="30">
        <f t="shared" si="29"/>
        <v>0</v>
      </c>
      <c r="AS68" s="29">
        <f t="shared" si="30"/>
        <v>0</v>
      </c>
      <c r="AT68" s="10">
        <f t="shared" si="38"/>
        <v>0</v>
      </c>
      <c r="AU68" s="10">
        <f t="shared" si="31"/>
        <v>0</v>
      </c>
      <c r="AV68" s="3"/>
      <c r="AW68" s="53">
        <f t="shared" si="17"/>
        <v>0</v>
      </c>
      <c r="AX68" s="53" t="str">
        <f t="shared" si="18"/>
        <v>0</v>
      </c>
      <c r="AY68" s="95">
        <f t="shared" si="32"/>
        <v>0</v>
      </c>
      <c r="AZ68" s="95">
        <f t="shared" si="19"/>
        <v>0</v>
      </c>
      <c r="BA68" s="36">
        <f t="shared" si="33"/>
        <v>0</v>
      </c>
      <c r="BB68" s="2"/>
      <c r="BC68" s="53">
        <f t="shared" si="20"/>
        <v>0</v>
      </c>
      <c r="BD68" s="53" t="str">
        <f t="shared" si="34"/>
        <v>0</v>
      </c>
      <c r="BE68" s="95">
        <f t="shared" si="35"/>
        <v>0</v>
      </c>
      <c r="BF68" s="95">
        <f t="shared" si="21"/>
        <v>0</v>
      </c>
      <c r="BG68" s="36" t="str">
        <f t="shared" si="36"/>
        <v>0</v>
      </c>
    </row>
    <row r="69" spans="1:59" ht="10.95" hidden="1" customHeight="1" x14ac:dyDescent="0.3">
      <c r="A69" s="15">
        <v>65</v>
      </c>
      <c r="B69" s="15"/>
      <c r="C69" s="143"/>
      <c r="D69" s="144"/>
      <c r="E69" s="15"/>
      <c r="F69" s="143"/>
      <c r="G69" s="147"/>
      <c r="H69" s="52"/>
      <c r="I69" s="14"/>
      <c r="J69" s="36"/>
      <c r="K69" s="36"/>
      <c r="L69" s="13"/>
      <c r="M69" s="56"/>
      <c r="N69" s="145"/>
      <c r="O69" s="146"/>
      <c r="P69" s="57"/>
      <c r="Q69" s="36"/>
      <c r="R69" s="36"/>
      <c r="S69" s="36"/>
      <c r="T69" s="36"/>
      <c r="U69" s="36"/>
      <c r="V69" s="36"/>
      <c r="W69" s="36" t="s">
        <v>151</v>
      </c>
      <c r="X69" s="143"/>
      <c r="Y69" s="144"/>
      <c r="Z69" s="147"/>
      <c r="AA69" s="12"/>
      <c r="AB69" s="89"/>
      <c r="AC69" s="89"/>
      <c r="AD69" s="76"/>
      <c r="AE69" s="75"/>
      <c r="AF69" s="11">
        <f t="shared" ref="AF69:AF100" si="39">SUM(AT69+AU69)</f>
        <v>0</v>
      </c>
      <c r="AJ69" s="127">
        <f t="shared" ref="AJ69:AJ100" si="40">(I69*H69)/12</f>
        <v>0</v>
      </c>
      <c r="AL69" s="53">
        <f t="shared" ref="AL69:AL100" si="41">IFERROR((AY69/$B$3)*$AA$2,0)</f>
        <v>0</v>
      </c>
      <c r="AM69" s="53">
        <f t="shared" ref="AM69:AM100" si="42">AA69+AL69</f>
        <v>0</v>
      </c>
      <c r="AN69" s="53">
        <f t="shared" si="37"/>
        <v>0</v>
      </c>
      <c r="AO69" s="90">
        <f t="shared" ref="AO69:AO100" si="43">IFERROR((AY69/$B$3)*($AD$2*$AH$5),0)</f>
        <v>0</v>
      </c>
      <c r="AP69" s="90">
        <f t="shared" ref="AP69:AP100" si="44">IF($S$3="Yes",(AY69/$B$3)*($AH$5*2),0)</f>
        <v>0</v>
      </c>
      <c r="AQ69" s="29">
        <f t="shared" ref="AQ69:AQ100" si="45">((AZ69+BF69))*$AH$8</f>
        <v>0</v>
      </c>
      <c r="AR69" s="30">
        <f t="shared" ref="AR69:AR100" si="46">AF69*$AC$210</f>
        <v>0</v>
      </c>
      <c r="AS69" s="29">
        <f t="shared" ref="AS69:AS100" si="47">AF69-AT69-AR69-AQ69</f>
        <v>0</v>
      </c>
      <c r="AT69" s="10">
        <f t="shared" si="38"/>
        <v>0</v>
      </c>
      <c r="AU69" s="10">
        <f t="shared" ref="AU69:AU100" si="48">AT69*$AC$214</f>
        <v>0</v>
      </c>
      <c r="AV69" s="3"/>
      <c r="AW69" s="53">
        <f t="shared" si="17"/>
        <v>0</v>
      </c>
      <c r="AX69" s="53" t="str">
        <f t="shared" si="18"/>
        <v>0</v>
      </c>
      <c r="AY69" s="95">
        <f t="shared" ref="AY69:AY100" si="49">(I69*J69*H69)/144</f>
        <v>0</v>
      </c>
      <c r="AZ69" s="95">
        <f t="shared" si="19"/>
        <v>0</v>
      </c>
      <c r="BA69" s="36">
        <f t="shared" ref="BA69:BA100" si="50">H69</f>
        <v>0</v>
      </c>
      <c r="BB69" s="2"/>
      <c r="BC69" s="53">
        <f t="shared" si="20"/>
        <v>0</v>
      </c>
      <c r="BD69" s="53" t="str">
        <f t="shared" ref="BD69:BD100" si="51">IF($V$3="Yes",(BC69*0.4),"0")</f>
        <v>0</v>
      </c>
      <c r="BE69" s="95">
        <f t="shared" ref="BE69:BE100" si="52">IF(W69="Yes",((I69*J69*H69)/144),0)</f>
        <v>0</v>
      </c>
      <c r="BF69" s="95">
        <f t="shared" si="21"/>
        <v>0</v>
      </c>
      <c r="BG69" s="36" t="str">
        <f t="shared" ref="BG69:BG100" si="53">IF(W69="Yes",H69,"0")</f>
        <v>0</v>
      </c>
    </row>
    <row r="70" spans="1:59" ht="10.95" hidden="1" customHeight="1" x14ac:dyDescent="0.3">
      <c r="A70" s="15">
        <v>66</v>
      </c>
      <c r="B70" s="15"/>
      <c r="C70" s="143"/>
      <c r="D70" s="144"/>
      <c r="E70" s="15"/>
      <c r="F70" s="143"/>
      <c r="G70" s="147"/>
      <c r="H70" s="52"/>
      <c r="I70" s="14"/>
      <c r="J70" s="36"/>
      <c r="K70" s="36"/>
      <c r="L70" s="13"/>
      <c r="M70" s="56"/>
      <c r="N70" s="145"/>
      <c r="O70" s="146"/>
      <c r="P70" s="57"/>
      <c r="Q70" s="36"/>
      <c r="R70" s="36"/>
      <c r="S70" s="36"/>
      <c r="T70" s="36"/>
      <c r="U70" s="36"/>
      <c r="V70" s="36"/>
      <c r="W70" s="36" t="s">
        <v>151</v>
      </c>
      <c r="X70" s="143"/>
      <c r="Y70" s="144"/>
      <c r="Z70" s="147"/>
      <c r="AA70" s="12"/>
      <c r="AB70" s="89"/>
      <c r="AC70" s="89"/>
      <c r="AD70" s="76"/>
      <c r="AE70" s="75"/>
      <c r="AF70" s="11">
        <f t="shared" si="39"/>
        <v>0</v>
      </c>
      <c r="AJ70" s="127">
        <f t="shared" si="40"/>
        <v>0</v>
      </c>
      <c r="AL70" s="53">
        <f t="shared" si="41"/>
        <v>0</v>
      </c>
      <c r="AM70" s="53">
        <f t="shared" si="42"/>
        <v>0</v>
      </c>
      <c r="AN70" s="53">
        <f t="shared" si="37"/>
        <v>0</v>
      </c>
      <c r="AO70" s="90">
        <f t="shared" si="43"/>
        <v>0</v>
      </c>
      <c r="AP70" s="90">
        <f t="shared" si="44"/>
        <v>0</v>
      </c>
      <c r="AQ70" s="29">
        <f t="shared" si="45"/>
        <v>0</v>
      </c>
      <c r="AR70" s="30">
        <f t="shared" si="46"/>
        <v>0</v>
      </c>
      <c r="AS70" s="29">
        <f t="shared" si="47"/>
        <v>0</v>
      </c>
      <c r="AT70" s="10">
        <f t="shared" si="38"/>
        <v>0</v>
      </c>
      <c r="AU70" s="10">
        <f t="shared" si="48"/>
        <v>0</v>
      </c>
      <c r="AV70" s="3"/>
      <c r="AW70" s="53">
        <f t="shared" ref="AW70:AW133" si="54">IF($X$3="No",((AB70*BA70)/60)*$AH$5,((AB70*BA70)/60)*$AH$11)</f>
        <v>0</v>
      </c>
      <c r="AX70" s="53" t="str">
        <f t="shared" ref="AX70:AX133" si="55">IF($V$3="Yes",((AW70+AN70+AO70)*0.4),"0")</f>
        <v>0</v>
      </c>
      <c r="AY70" s="95">
        <f t="shared" si="49"/>
        <v>0</v>
      </c>
      <c r="AZ70" s="95">
        <f t="shared" ref="AZ70:AZ133" si="56">IF($X$3="No",((AN70+AW70+AO70)/$AH$5),((AN70+AW70+AO70)/$AH$11))</f>
        <v>0</v>
      </c>
      <c r="BA70" s="36">
        <f t="shared" si="50"/>
        <v>0</v>
      </c>
      <c r="BB70" s="2"/>
      <c r="BC70" s="53">
        <f t="shared" ref="BC70:BC133" si="57">IF($X$3="No",((((AC70)*BG70)/60)*$AH$5),((((AC70)*BG70)/60)*$AH$11))</f>
        <v>0</v>
      </c>
      <c r="BD70" s="53" t="str">
        <f t="shared" si="51"/>
        <v>0</v>
      </c>
      <c r="BE70" s="95">
        <f t="shared" si="52"/>
        <v>0</v>
      </c>
      <c r="BF70" s="95">
        <f t="shared" ref="BF70:BF133" si="58">IF($X$3="No",(BC70/$AH$5),(BC70/$AH$11))</f>
        <v>0</v>
      </c>
      <c r="BG70" s="36" t="str">
        <f t="shared" si="53"/>
        <v>0</v>
      </c>
    </row>
    <row r="71" spans="1:59" ht="10.95" hidden="1" customHeight="1" x14ac:dyDescent="0.3">
      <c r="A71" s="15">
        <v>67</v>
      </c>
      <c r="B71" s="15"/>
      <c r="C71" s="143"/>
      <c r="D71" s="144"/>
      <c r="E71" s="15"/>
      <c r="F71" s="143"/>
      <c r="G71" s="147"/>
      <c r="H71" s="52"/>
      <c r="I71" s="14"/>
      <c r="J71" s="36"/>
      <c r="K71" s="36"/>
      <c r="L71" s="13"/>
      <c r="M71" s="56"/>
      <c r="N71" s="145"/>
      <c r="O71" s="146"/>
      <c r="P71" s="57"/>
      <c r="Q71" s="36"/>
      <c r="R71" s="36"/>
      <c r="S71" s="36"/>
      <c r="T71" s="36"/>
      <c r="U71" s="36"/>
      <c r="V71" s="36"/>
      <c r="W71" s="36" t="s">
        <v>151</v>
      </c>
      <c r="X71" s="143"/>
      <c r="Y71" s="144"/>
      <c r="Z71" s="147"/>
      <c r="AA71" s="12"/>
      <c r="AB71" s="89"/>
      <c r="AC71" s="89"/>
      <c r="AD71" s="76"/>
      <c r="AE71" s="75"/>
      <c r="AF71" s="11">
        <f t="shared" si="39"/>
        <v>0</v>
      </c>
      <c r="AJ71" s="127">
        <f t="shared" si="40"/>
        <v>0</v>
      </c>
      <c r="AL71" s="53">
        <f t="shared" si="41"/>
        <v>0</v>
      </c>
      <c r="AM71" s="53">
        <f t="shared" si="42"/>
        <v>0</v>
      </c>
      <c r="AN71" s="53">
        <f t="shared" si="37"/>
        <v>0</v>
      </c>
      <c r="AO71" s="90">
        <f t="shared" si="43"/>
        <v>0</v>
      </c>
      <c r="AP71" s="90">
        <f t="shared" si="44"/>
        <v>0</v>
      </c>
      <c r="AQ71" s="29">
        <f t="shared" si="45"/>
        <v>0</v>
      </c>
      <c r="AR71" s="30">
        <f t="shared" si="46"/>
        <v>0</v>
      </c>
      <c r="AS71" s="29">
        <f t="shared" si="47"/>
        <v>0</v>
      </c>
      <c r="AT71" s="10">
        <f t="shared" si="38"/>
        <v>0</v>
      </c>
      <c r="AU71" s="10">
        <f t="shared" si="48"/>
        <v>0</v>
      </c>
      <c r="AV71" s="3"/>
      <c r="AW71" s="53">
        <f t="shared" si="54"/>
        <v>0</v>
      </c>
      <c r="AX71" s="53" t="str">
        <f t="shared" si="55"/>
        <v>0</v>
      </c>
      <c r="AY71" s="95">
        <f t="shared" si="49"/>
        <v>0</v>
      </c>
      <c r="AZ71" s="95">
        <f t="shared" si="56"/>
        <v>0</v>
      </c>
      <c r="BA71" s="36">
        <f t="shared" si="50"/>
        <v>0</v>
      </c>
      <c r="BB71" s="2"/>
      <c r="BC71" s="53">
        <f t="shared" si="57"/>
        <v>0</v>
      </c>
      <c r="BD71" s="53" t="str">
        <f t="shared" si="51"/>
        <v>0</v>
      </c>
      <c r="BE71" s="95">
        <f t="shared" si="52"/>
        <v>0</v>
      </c>
      <c r="BF71" s="95">
        <f t="shared" si="58"/>
        <v>0</v>
      </c>
      <c r="BG71" s="36" t="str">
        <f t="shared" si="53"/>
        <v>0</v>
      </c>
    </row>
    <row r="72" spans="1:59" ht="10.95" hidden="1" customHeight="1" x14ac:dyDescent="0.3">
      <c r="A72" s="15">
        <v>68</v>
      </c>
      <c r="B72" s="15"/>
      <c r="C72" s="143"/>
      <c r="D72" s="144"/>
      <c r="E72" s="15"/>
      <c r="F72" s="143"/>
      <c r="G72" s="147"/>
      <c r="H72" s="52"/>
      <c r="I72" s="14"/>
      <c r="J72" s="36"/>
      <c r="K72" s="36"/>
      <c r="L72" s="13"/>
      <c r="M72" s="56"/>
      <c r="N72" s="145"/>
      <c r="O72" s="146"/>
      <c r="P72" s="57"/>
      <c r="Q72" s="36"/>
      <c r="R72" s="36"/>
      <c r="S72" s="36"/>
      <c r="T72" s="36"/>
      <c r="U72" s="36"/>
      <c r="V72" s="36"/>
      <c r="W72" s="36" t="s">
        <v>151</v>
      </c>
      <c r="X72" s="143"/>
      <c r="Y72" s="144"/>
      <c r="Z72" s="147"/>
      <c r="AA72" s="12"/>
      <c r="AB72" s="89"/>
      <c r="AC72" s="89"/>
      <c r="AD72" s="76"/>
      <c r="AE72" s="75"/>
      <c r="AF72" s="11">
        <f t="shared" si="39"/>
        <v>0</v>
      </c>
      <c r="AJ72" s="127">
        <f t="shared" si="40"/>
        <v>0</v>
      </c>
      <c r="AL72" s="53">
        <f t="shared" si="41"/>
        <v>0</v>
      </c>
      <c r="AM72" s="53">
        <f t="shared" si="42"/>
        <v>0</v>
      </c>
      <c r="AN72" s="53">
        <f t="shared" si="37"/>
        <v>0</v>
      </c>
      <c r="AO72" s="90">
        <f t="shared" si="43"/>
        <v>0</v>
      </c>
      <c r="AP72" s="90">
        <f t="shared" si="44"/>
        <v>0</v>
      </c>
      <c r="AQ72" s="29">
        <f t="shared" si="45"/>
        <v>0</v>
      </c>
      <c r="AR72" s="30">
        <f t="shared" si="46"/>
        <v>0</v>
      </c>
      <c r="AS72" s="29">
        <f t="shared" si="47"/>
        <v>0</v>
      </c>
      <c r="AT72" s="10">
        <f t="shared" si="38"/>
        <v>0</v>
      </c>
      <c r="AU72" s="10">
        <f t="shared" si="48"/>
        <v>0</v>
      </c>
      <c r="AV72" s="3"/>
      <c r="AW72" s="53">
        <f t="shared" si="54"/>
        <v>0</v>
      </c>
      <c r="AX72" s="53" t="str">
        <f t="shared" si="55"/>
        <v>0</v>
      </c>
      <c r="AY72" s="95">
        <f t="shared" si="49"/>
        <v>0</v>
      </c>
      <c r="AZ72" s="95">
        <f t="shared" si="56"/>
        <v>0</v>
      </c>
      <c r="BA72" s="36">
        <f t="shared" si="50"/>
        <v>0</v>
      </c>
      <c r="BB72" s="2"/>
      <c r="BC72" s="53">
        <f t="shared" si="57"/>
        <v>0</v>
      </c>
      <c r="BD72" s="53" t="str">
        <f t="shared" si="51"/>
        <v>0</v>
      </c>
      <c r="BE72" s="95">
        <f t="shared" si="52"/>
        <v>0</v>
      </c>
      <c r="BF72" s="95">
        <f t="shared" si="58"/>
        <v>0</v>
      </c>
      <c r="BG72" s="36" t="str">
        <f t="shared" si="53"/>
        <v>0</v>
      </c>
    </row>
    <row r="73" spans="1:59" ht="10.95" hidden="1" customHeight="1" x14ac:dyDescent="0.3">
      <c r="A73" s="15">
        <v>69</v>
      </c>
      <c r="B73" s="15"/>
      <c r="C73" s="143"/>
      <c r="D73" s="144"/>
      <c r="E73" s="15"/>
      <c r="F73" s="143"/>
      <c r="G73" s="147"/>
      <c r="H73" s="52"/>
      <c r="I73" s="14"/>
      <c r="J73" s="36"/>
      <c r="K73" s="36"/>
      <c r="L73" s="13"/>
      <c r="M73" s="56"/>
      <c r="N73" s="145"/>
      <c r="O73" s="146"/>
      <c r="P73" s="57"/>
      <c r="Q73" s="36"/>
      <c r="R73" s="36"/>
      <c r="S73" s="36"/>
      <c r="T73" s="36"/>
      <c r="U73" s="36"/>
      <c r="V73" s="36"/>
      <c r="W73" s="36" t="s">
        <v>151</v>
      </c>
      <c r="X73" s="143"/>
      <c r="Y73" s="144"/>
      <c r="Z73" s="147"/>
      <c r="AA73" s="12"/>
      <c r="AB73" s="89"/>
      <c r="AC73" s="89"/>
      <c r="AD73" s="76"/>
      <c r="AE73" s="75"/>
      <c r="AF73" s="11">
        <f t="shared" si="39"/>
        <v>0</v>
      </c>
      <c r="AJ73" s="127">
        <f t="shared" si="40"/>
        <v>0</v>
      </c>
      <c r="AL73" s="53">
        <f t="shared" si="41"/>
        <v>0</v>
      </c>
      <c r="AM73" s="53">
        <f t="shared" si="42"/>
        <v>0</v>
      </c>
      <c r="AN73" s="53">
        <f t="shared" si="37"/>
        <v>0</v>
      </c>
      <c r="AO73" s="90">
        <f t="shared" si="43"/>
        <v>0</v>
      </c>
      <c r="AP73" s="90">
        <f t="shared" si="44"/>
        <v>0</v>
      </c>
      <c r="AQ73" s="29">
        <f t="shared" si="45"/>
        <v>0</v>
      </c>
      <c r="AR73" s="30">
        <f t="shared" si="46"/>
        <v>0</v>
      </c>
      <c r="AS73" s="29">
        <f t="shared" si="47"/>
        <v>0</v>
      </c>
      <c r="AT73" s="10">
        <f t="shared" si="38"/>
        <v>0</v>
      </c>
      <c r="AU73" s="10">
        <f t="shared" si="48"/>
        <v>0</v>
      </c>
      <c r="AV73" s="3"/>
      <c r="AW73" s="53">
        <f t="shared" si="54"/>
        <v>0</v>
      </c>
      <c r="AX73" s="53" t="str">
        <f t="shared" si="55"/>
        <v>0</v>
      </c>
      <c r="AY73" s="95">
        <f t="shared" si="49"/>
        <v>0</v>
      </c>
      <c r="AZ73" s="95">
        <f t="shared" si="56"/>
        <v>0</v>
      </c>
      <c r="BA73" s="36">
        <f t="shared" si="50"/>
        <v>0</v>
      </c>
      <c r="BB73" s="2"/>
      <c r="BC73" s="53">
        <f t="shared" si="57"/>
        <v>0</v>
      </c>
      <c r="BD73" s="53" t="str">
        <f t="shared" si="51"/>
        <v>0</v>
      </c>
      <c r="BE73" s="95">
        <f t="shared" si="52"/>
        <v>0</v>
      </c>
      <c r="BF73" s="95">
        <f t="shared" si="58"/>
        <v>0</v>
      </c>
      <c r="BG73" s="36" t="str">
        <f t="shared" si="53"/>
        <v>0</v>
      </c>
    </row>
    <row r="74" spans="1:59" ht="10.95" hidden="1" customHeight="1" x14ac:dyDescent="0.3">
      <c r="A74" s="15">
        <v>70</v>
      </c>
      <c r="B74" s="15"/>
      <c r="C74" s="143"/>
      <c r="D74" s="144"/>
      <c r="E74" s="15"/>
      <c r="F74" s="143"/>
      <c r="G74" s="147"/>
      <c r="H74" s="52"/>
      <c r="I74" s="14"/>
      <c r="J74" s="36"/>
      <c r="K74" s="36"/>
      <c r="L74" s="13"/>
      <c r="M74" s="56"/>
      <c r="N74" s="145"/>
      <c r="O74" s="146"/>
      <c r="P74" s="57"/>
      <c r="Q74" s="36"/>
      <c r="R74" s="36"/>
      <c r="S74" s="36"/>
      <c r="T74" s="36"/>
      <c r="U74" s="36"/>
      <c r="V74" s="36"/>
      <c r="W74" s="36" t="s">
        <v>151</v>
      </c>
      <c r="X74" s="143"/>
      <c r="Y74" s="144"/>
      <c r="Z74" s="147"/>
      <c r="AA74" s="12"/>
      <c r="AB74" s="89"/>
      <c r="AC74" s="89"/>
      <c r="AD74" s="76"/>
      <c r="AE74" s="75"/>
      <c r="AF74" s="11">
        <f t="shared" si="39"/>
        <v>0</v>
      </c>
      <c r="AJ74" s="127">
        <f t="shared" si="40"/>
        <v>0</v>
      </c>
      <c r="AL74" s="53">
        <f t="shared" si="41"/>
        <v>0</v>
      </c>
      <c r="AM74" s="53">
        <f t="shared" si="42"/>
        <v>0</v>
      </c>
      <c r="AN74" s="53">
        <f t="shared" si="37"/>
        <v>0</v>
      </c>
      <c r="AO74" s="90">
        <f t="shared" si="43"/>
        <v>0</v>
      </c>
      <c r="AP74" s="90">
        <f t="shared" si="44"/>
        <v>0</v>
      </c>
      <c r="AQ74" s="29">
        <f t="shared" si="45"/>
        <v>0</v>
      </c>
      <c r="AR74" s="30">
        <f t="shared" si="46"/>
        <v>0</v>
      </c>
      <c r="AS74" s="29">
        <f t="shared" si="47"/>
        <v>0</v>
      </c>
      <c r="AT74" s="10">
        <f t="shared" si="38"/>
        <v>0</v>
      </c>
      <c r="AU74" s="10">
        <f t="shared" si="48"/>
        <v>0</v>
      </c>
      <c r="AV74" s="3"/>
      <c r="AW74" s="53">
        <f t="shared" si="54"/>
        <v>0</v>
      </c>
      <c r="AX74" s="53" t="str">
        <f t="shared" si="55"/>
        <v>0</v>
      </c>
      <c r="AY74" s="95">
        <f t="shared" si="49"/>
        <v>0</v>
      </c>
      <c r="AZ74" s="95">
        <f t="shared" si="56"/>
        <v>0</v>
      </c>
      <c r="BA74" s="36">
        <f t="shared" si="50"/>
        <v>0</v>
      </c>
      <c r="BB74" s="2"/>
      <c r="BC74" s="53">
        <f t="shared" si="57"/>
        <v>0</v>
      </c>
      <c r="BD74" s="53" t="str">
        <f t="shared" si="51"/>
        <v>0</v>
      </c>
      <c r="BE74" s="95">
        <f t="shared" si="52"/>
        <v>0</v>
      </c>
      <c r="BF74" s="95">
        <f t="shared" si="58"/>
        <v>0</v>
      </c>
      <c r="BG74" s="36" t="str">
        <f t="shared" si="53"/>
        <v>0</v>
      </c>
    </row>
    <row r="75" spans="1:59" ht="10.95" hidden="1" customHeight="1" x14ac:dyDescent="0.3">
      <c r="A75" s="15">
        <v>71</v>
      </c>
      <c r="B75" s="15"/>
      <c r="C75" s="143"/>
      <c r="D75" s="144"/>
      <c r="E75" s="15"/>
      <c r="F75" s="143"/>
      <c r="G75" s="147"/>
      <c r="H75" s="52"/>
      <c r="I75" s="14"/>
      <c r="J75" s="36"/>
      <c r="K75" s="36"/>
      <c r="L75" s="13"/>
      <c r="M75" s="56"/>
      <c r="N75" s="145"/>
      <c r="O75" s="146"/>
      <c r="P75" s="57"/>
      <c r="Q75" s="36"/>
      <c r="R75" s="36"/>
      <c r="S75" s="36"/>
      <c r="T75" s="36"/>
      <c r="U75" s="36"/>
      <c r="V75" s="36"/>
      <c r="W75" s="36" t="s">
        <v>151</v>
      </c>
      <c r="X75" s="143"/>
      <c r="Y75" s="144"/>
      <c r="Z75" s="147"/>
      <c r="AA75" s="12"/>
      <c r="AB75" s="89"/>
      <c r="AC75" s="89"/>
      <c r="AD75" s="76"/>
      <c r="AE75" s="75"/>
      <c r="AF75" s="11">
        <f t="shared" si="39"/>
        <v>0</v>
      </c>
      <c r="AJ75" s="127">
        <f t="shared" si="40"/>
        <v>0</v>
      </c>
      <c r="AL75" s="53">
        <f t="shared" si="41"/>
        <v>0</v>
      </c>
      <c r="AM75" s="53">
        <f t="shared" si="42"/>
        <v>0</v>
      </c>
      <c r="AN75" s="53">
        <f t="shared" si="37"/>
        <v>0</v>
      </c>
      <c r="AO75" s="90">
        <f t="shared" si="43"/>
        <v>0</v>
      </c>
      <c r="AP75" s="90">
        <f t="shared" si="44"/>
        <v>0</v>
      </c>
      <c r="AQ75" s="29">
        <f t="shared" si="45"/>
        <v>0</v>
      </c>
      <c r="AR75" s="30">
        <f t="shared" si="46"/>
        <v>0</v>
      </c>
      <c r="AS75" s="29">
        <f t="shared" si="47"/>
        <v>0</v>
      </c>
      <c r="AT75" s="10">
        <f t="shared" si="38"/>
        <v>0</v>
      </c>
      <c r="AU75" s="10">
        <f t="shared" si="48"/>
        <v>0</v>
      </c>
      <c r="AV75" s="3"/>
      <c r="AW75" s="53">
        <f t="shared" si="54"/>
        <v>0</v>
      </c>
      <c r="AX75" s="53" t="str">
        <f t="shared" si="55"/>
        <v>0</v>
      </c>
      <c r="AY75" s="95">
        <f t="shared" si="49"/>
        <v>0</v>
      </c>
      <c r="AZ75" s="95">
        <f t="shared" si="56"/>
        <v>0</v>
      </c>
      <c r="BA75" s="36">
        <f t="shared" si="50"/>
        <v>0</v>
      </c>
      <c r="BB75" s="2"/>
      <c r="BC75" s="53">
        <f t="shared" si="57"/>
        <v>0</v>
      </c>
      <c r="BD75" s="53" t="str">
        <f t="shared" si="51"/>
        <v>0</v>
      </c>
      <c r="BE75" s="95">
        <f t="shared" si="52"/>
        <v>0</v>
      </c>
      <c r="BF75" s="95">
        <f t="shared" si="58"/>
        <v>0</v>
      </c>
      <c r="BG75" s="36" t="str">
        <f t="shared" si="53"/>
        <v>0</v>
      </c>
    </row>
    <row r="76" spans="1:59" ht="10.95" hidden="1" customHeight="1" x14ac:dyDescent="0.3">
      <c r="A76" s="15">
        <v>72</v>
      </c>
      <c r="B76" s="15"/>
      <c r="C76" s="143"/>
      <c r="D76" s="144"/>
      <c r="E76" s="15"/>
      <c r="F76" s="143"/>
      <c r="G76" s="147"/>
      <c r="H76" s="52"/>
      <c r="I76" s="14"/>
      <c r="J76" s="36"/>
      <c r="K76" s="36"/>
      <c r="L76" s="13"/>
      <c r="M76" s="56"/>
      <c r="N76" s="145"/>
      <c r="O76" s="146"/>
      <c r="P76" s="57"/>
      <c r="Q76" s="36"/>
      <c r="R76" s="36"/>
      <c r="S76" s="36"/>
      <c r="T76" s="36"/>
      <c r="U76" s="36"/>
      <c r="V76" s="36"/>
      <c r="W76" s="36" t="s">
        <v>151</v>
      </c>
      <c r="X76" s="143"/>
      <c r="Y76" s="144"/>
      <c r="Z76" s="147"/>
      <c r="AA76" s="12"/>
      <c r="AB76" s="89"/>
      <c r="AC76" s="89"/>
      <c r="AD76" s="76"/>
      <c r="AE76" s="75"/>
      <c r="AF76" s="11">
        <f t="shared" si="39"/>
        <v>0</v>
      </c>
      <c r="AJ76" s="127">
        <f t="shared" si="40"/>
        <v>0</v>
      </c>
      <c r="AL76" s="53">
        <f t="shared" si="41"/>
        <v>0</v>
      </c>
      <c r="AM76" s="53">
        <f t="shared" si="42"/>
        <v>0</v>
      </c>
      <c r="AN76" s="53">
        <f t="shared" si="37"/>
        <v>0</v>
      </c>
      <c r="AO76" s="90">
        <f t="shared" si="43"/>
        <v>0</v>
      </c>
      <c r="AP76" s="90">
        <f t="shared" si="44"/>
        <v>0</v>
      </c>
      <c r="AQ76" s="29">
        <f t="shared" si="45"/>
        <v>0</v>
      </c>
      <c r="AR76" s="30">
        <f t="shared" si="46"/>
        <v>0</v>
      </c>
      <c r="AS76" s="29">
        <f t="shared" si="47"/>
        <v>0</v>
      </c>
      <c r="AT76" s="10">
        <f t="shared" si="38"/>
        <v>0</v>
      </c>
      <c r="AU76" s="10">
        <f t="shared" si="48"/>
        <v>0</v>
      </c>
      <c r="AV76" s="3"/>
      <c r="AW76" s="53">
        <f t="shared" si="54"/>
        <v>0</v>
      </c>
      <c r="AX76" s="53" t="str">
        <f t="shared" si="55"/>
        <v>0</v>
      </c>
      <c r="AY76" s="95">
        <f t="shared" si="49"/>
        <v>0</v>
      </c>
      <c r="AZ76" s="95">
        <f t="shared" si="56"/>
        <v>0</v>
      </c>
      <c r="BA76" s="36">
        <f t="shared" si="50"/>
        <v>0</v>
      </c>
      <c r="BB76" s="2"/>
      <c r="BC76" s="53">
        <f t="shared" si="57"/>
        <v>0</v>
      </c>
      <c r="BD76" s="53" t="str">
        <f t="shared" si="51"/>
        <v>0</v>
      </c>
      <c r="BE76" s="95">
        <f t="shared" si="52"/>
        <v>0</v>
      </c>
      <c r="BF76" s="95">
        <f t="shared" si="58"/>
        <v>0</v>
      </c>
      <c r="BG76" s="36" t="str">
        <f t="shared" si="53"/>
        <v>0</v>
      </c>
    </row>
    <row r="77" spans="1:59" ht="10.95" hidden="1" customHeight="1" x14ac:dyDescent="0.3">
      <c r="A77" s="15">
        <v>73</v>
      </c>
      <c r="B77" s="15"/>
      <c r="C77" s="143"/>
      <c r="D77" s="144"/>
      <c r="E77" s="15"/>
      <c r="F77" s="143"/>
      <c r="G77" s="147"/>
      <c r="H77" s="52"/>
      <c r="I77" s="14"/>
      <c r="J77" s="36"/>
      <c r="K77" s="36"/>
      <c r="L77" s="13"/>
      <c r="M77" s="56"/>
      <c r="N77" s="145"/>
      <c r="O77" s="146"/>
      <c r="P77" s="57"/>
      <c r="Q77" s="36"/>
      <c r="R77" s="36"/>
      <c r="S77" s="36"/>
      <c r="T77" s="36"/>
      <c r="U77" s="36"/>
      <c r="V77" s="36"/>
      <c r="W77" s="36" t="s">
        <v>151</v>
      </c>
      <c r="X77" s="143"/>
      <c r="Y77" s="144"/>
      <c r="Z77" s="147"/>
      <c r="AA77" s="12"/>
      <c r="AB77" s="89"/>
      <c r="AC77" s="89"/>
      <c r="AD77" s="76"/>
      <c r="AE77" s="75"/>
      <c r="AF77" s="11">
        <f t="shared" si="39"/>
        <v>0</v>
      </c>
      <c r="AJ77" s="127">
        <f t="shared" si="40"/>
        <v>0</v>
      </c>
      <c r="AL77" s="53">
        <f t="shared" si="41"/>
        <v>0</v>
      </c>
      <c r="AM77" s="53">
        <f t="shared" si="42"/>
        <v>0</v>
      </c>
      <c r="AN77" s="53">
        <f t="shared" si="37"/>
        <v>0</v>
      </c>
      <c r="AO77" s="90">
        <f t="shared" si="43"/>
        <v>0</v>
      </c>
      <c r="AP77" s="90">
        <f t="shared" si="44"/>
        <v>0</v>
      </c>
      <c r="AQ77" s="29">
        <f t="shared" si="45"/>
        <v>0</v>
      </c>
      <c r="AR77" s="30">
        <f t="shared" si="46"/>
        <v>0</v>
      </c>
      <c r="AS77" s="29">
        <f t="shared" si="47"/>
        <v>0</v>
      </c>
      <c r="AT77" s="10">
        <f t="shared" si="38"/>
        <v>0</v>
      </c>
      <c r="AU77" s="10">
        <f t="shared" si="48"/>
        <v>0</v>
      </c>
      <c r="AV77" s="3"/>
      <c r="AW77" s="53">
        <f t="shared" si="54"/>
        <v>0</v>
      </c>
      <c r="AX77" s="53" t="str">
        <f t="shared" si="55"/>
        <v>0</v>
      </c>
      <c r="AY77" s="95">
        <f t="shared" si="49"/>
        <v>0</v>
      </c>
      <c r="AZ77" s="95">
        <f t="shared" si="56"/>
        <v>0</v>
      </c>
      <c r="BA77" s="36">
        <f t="shared" si="50"/>
        <v>0</v>
      </c>
      <c r="BB77" s="2"/>
      <c r="BC77" s="53">
        <f t="shared" si="57"/>
        <v>0</v>
      </c>
      <c r="BD77" s="53" t="str">
        <f t="shared" si="51"/>
        <v>0</v>
      </c>
      <c r="BE77" s="95">
        <f t="shared" si="52"/>
        <v>0</v>
      </c>
      <c r="BF77" s="95">
        <f t="shared" si="58"/>
        <v>0</v>
      </c>
      <c r="BG77" s="36" t="str">
        <f t="shared" si="53"/>
        <v>0</v>
      </c>
    </row>
    <row r="78" spans="1:59" ht="10.95" hidden="1" customHeight="1" x14ac:dyDescent="0.3">
      <c r="A78" s="15">
        <v>74</v>
      </c>
      <c r="B78" s="15"/>
      <c r="C78" s="143"/>
      <c r="D78" s="144"/>
      <c r="E78" s="15"/>
      <c r="F78" s="143"/>
      <c r="G78" s="147"/>
      <c r="H78" s="52"/>
      <c r="I78" s="14"/>
      <c r="J78" s="36"/>
      <c r="K78" s="36"/>
      <c r="L78" s="13"/>
      <c r="M78" s="56"/>
      <c r="N78" s="145"/>
      <c r="O78" s="146"/>
      <c r="P78" s="57"/>
      <c r="Q78" s="36"/>
      <c r="R78" s="36"/>
      <c r="S78" s="36"/>
      <c r="T78" s="36"/>
      <c r="U78" s="36"/>
      <c r="V78" s="36"/>
      <c r="W78" s="36" t="s">
        <v>151</v>
      </c>
      <c r="X78" s="143"/>
      <c r="Y78" s="144"/>
      <c r="Z78" s="147"/>
      <c r="AA78" s="12"/>
      <c r="AB78" s="89"/>
      <c r="AC78" s="89"/>
      <c r="AD78" s="76"/>
      <c r="AE78" s="75"/>
      <c r="AF78" s="11">
        <f t="shared" si="39"/>
        <v>0</v>
      </c>
      <c r="AJ78" s="127">
        <f t="shared" si="40"/>
        <v>0</v>
      </c>
      <c r="AL78" s="53">
        <f t="shared" si="41"/>
        <v>0</v>
      </c>
      <c r="AM78" s="53">
        <f t="shared" si="42"/>
        <v>0</v>
      </c>
      <c r="AN78" s="53">
        <f t="shared" si="37"/>
        <v>0</v>
      </c>
      <c r="AO78" s="90">
        <f t="shared" si="43"/>
        <v>0</v>
      </c>
      <c r="AP78" s="90">
        <f t="shared" si="44"/>
        <v>0</v>
      </c>
      <c r="AQ78" s="29">
        <f t="shared" si="45"/>
        <v>0</v>
      </c>
      <c r="AR78" s="30">
        <f t="shared" si="46"/>
        <v>0</v>
      </c>
      <c r="AS78" s="29">
        <f t="shared" si="47"/>
        <v>0</v>
      </c>
      <c r="AT78" s="10">
        <f t="shared" si="38"/>
        <v>0</v>
      </c>
      <c r="AU78" s="10">
        <f t="shared" si="48"/>
        <v>0</v>
      </c>
      <c r="AV78" s="3"/>
      <c r="AW78" s="53">
        <f t="shared" si="54"/>
        <v>0</v>
      </c>
      <c r="AX78" s="53" t="str">
        <f t="shared" si="55"/>
        <v>0</v>
      </c>
      <c r="AY78" s="95">
        <f t="shared" si="49"/>
        <v>0</v>
      </c>
      <c r="AZ78" s="95">
        <f t="shared" si="56"/>
        <v>0</v>
      </c>
      <c r="BA78" s="36">
        <f t="shared" si="50"/>
        <v>0</v>
      </c>
      <c r="BB78" s="2"/>
      <c r="BC78" s="53">
        <f t="shared" si="57"/>
        <v>0</v>
      </c>
      <c r="BD78" s="53" t="str">
        <f t="shared" si="51"/>
        <v>0</v>
      </c>
      <c r="BE78" s="95">
        <f t="shared" si="52"/>
        <v>0</v>
      </c>
      <c r="BF78" s="95">
        <f t="shared" si="58"/>
        <v>0</v>
      </c>
      <c r="BG78" s="36" t="str">
        <f t="shared" si="53"/>
        <v>0</v>
      </c>
    </row>
    <row r="79" spans="1:59" ht="10.95" hidden="1" customHeight="1" x14ac:dyDescent="0.3">
      <c r="A79" s="15">
        <v>75</v>
      </c>
      <c r="B79" s="15"/>
      <c r="C79" s="143"/>
      <c r="D79" s="144"/>
      <c r="E79" s="15"/>
      <c r="F79" s="143"/>
      <c r="G79" s="147"/>
      <c r="H79" s="52"/>
      <c r="I79" s="14"/>
      <c r="J79" s="36"/>
      <c r="K79" s="36"/>
      <c r="L79" s="13"/>
      <c r="M79" s="56"/>
      <c r="N79" s="145"/>
      <c r="O79" s="146"/>
      <c r="P79" s="57"/>
      <c r="Q79" s="36"/>
      <c r="R79" s="36"/>
      <c r="S79" s="36"/>
      <c r="T79" s="36"/>
      <c r="U79" s="36"/>
      <c r="V79" s="36"/>
      <c r="W79" s="36" t="s">
        <v>151</v>
      </c>
      <c r="X79" s="143"/>
      <c r="Y79" s="144"/>
      <c r="Z79" s="147"/>
      <c r="AA79" s="12"/>
      <c r="AB79" s="89"/>
      <c r="AC79" s="89"/>
      <c r="AD79" s="76"/>
      <c r="AE79" s="75"/>
      <c r="AF79" s="11">
        <f t="shared" si="39"/>
        <v>0</v>
      </c>
      <c r="AJ79" s="127">
        <f t="shared" si="40"/>
        <v>0</v>
      </c>
      <c r="AL79" s="53">
        <f t="shared" si="41"/>
        <v>0</v>
      </c>
      <c r="AM79" s="53">
        <f t="shared" si="42"/>
        <v>0</v>
      </c>
      <c r="AN79" s="53">
        <f t="shared" si="37"/>
        <v>0</v>
      </c>
      <c r="AO79" s="90">
        <f t="shared" si="43"/>
        <v>0</v>
      </c>
      <c r="AP79" s="90">
        <f t="shared" si="44"/>
        <v>0</v>
      </c>
      <c r="AQ79" s="29">
        <f t="shared" si="45"/>
        <v>0</v>
      </c>
      <c r="AR79" s="30">
        <f t="shared" si="46"/>
        <v>0</v>
      </c>
      <c r="AS79" s="29">
        <f t="shared" si="47"/>
        <v>0</v>
      </c>
      <c r="AT79" s="10">
        <f t="shared" si="38"/>
        <v>0</v>
      </c>
      <c r="AU79" s="10">
        <f t="shared" si="48"/>
        <v>0</v>
      </c>
      <c r="AV79" s="3"/>
      <c r="AW79" s="53">
        <f t="shared" si="54"/>
        <v>0</v>
      </c>
      <c r="AX79" s="53" t="str">
        <f t="shared" si="55"/>
        <v>0</v>
      </c>
      <c r="AY79" s="95">
        <f t="shared" si="49"/>
        <v>0</v>
      </c>
      <c r="AZ79" s="95">
        <f t="shared" si="56"/>
        <v>0</v>
      </c>
      <c r="BA79" s="36">
        <f t="shared" si="50"/>
        <v>0</v>
      </c>
      <c r="BB79" s="2"/>
      <c r="BC79" s="53">
        <f t="shared" si="57"/>
        <v>0</v>
      </c>
      <c r="BD79" s="53" t="str">
        <f t="shared" si="51"/>
        <v>0</v>
      </c>
      <c r="BE79" s="95">
        <f t="shared" si="52"/>
        <v>0</v>
      </c>
      <c r="BF79" s="95">
        <f t="shared" si="58"/>
        <v>0</v>
      </c>
      <c r="BG79" s="36" t="str">
        <f t="shared" si="53"/>
        <v>0</v>
      </c>
    </row>
    <row r="80" spans="1:59" ht="10.95" hidden="1" customHeight="1" x14ac:dyDescent="0.3">
      <c r="A80" s="15">
        <v>76</v>
      </c>
      <c r="B80" s="15"/>
      <c r="C80" s="143"/>
      <c r="D80" s="144"/>
      <c r="E80" s="15"/>
      <c r="F80" s="143"/>
      <c r="G80" s="147"/>
      <c r="H80" s="52"/>
      <c r="I80" s="14"/>
      <c r="J80" s="36"/>
      <c r="K80" s="36"/>
      <c r="L80" s="13"/>
      <c r="M80" s="56"/>
      <c r="N80" s="145"/>
      <c r="O80" s="146"/>
      <c r="P80" s="57"/>
      <c r="Q80" s="36"/>
      <c r="R80" s="36"/>
      <c r="S80" s="36"/>
      <c r="T80" s="36"/>
      <c r="U80" s="36"/>
      <c r="V80" s="36"/>
      <c r="W80" s="36" t="s">
        <v>151</v>
      </c>
      <c r="X80" s="143"/>
      <c r="Y80" s="144"/>
      <c r="Z80" s="147"/>
      <c r="AA80" s="12"/>
      <c r="AB80" s="89"/>
      <c r="AC80" s="89"/>
      <c r="AD80" s="76"/>
      <c r="AE80" s="75"/>
      <c r="AF80" s="11">
        <f t="shared" si="39"/>
        <v>0</v>
      </c>
      <c r="AJ80" s="127">
        <f t="shared" si="40"/>
        <v>0</v>
      </c>
      <c r="AL80" s="53">
        <f t="shared" si="41"/>
        <v>0</v>
      </c>
      <c r="AM80" s="53">
        <f t="shared" si="42"/>
        <v>0</v>
      </c>
      <c r="AN80" s="53">
        <f t="shared" si="37"/>
        <v>0</v>
      </c>
      <c r="AO80" s="90">
        <f t="shared" si="43"/>
        <v>0</v>
      </c>
      <c r="AP80" s="90">
        <f t="shared" si="44"/>
        <v>0</v>
      </c>
      <c r="AQ80" s="29">
        <f t="shared" si="45"/>
        <v>0</v>
      </c>
      <c r="AR80" s="30">
        <f t="shared" si="46"/>
        <v>0</v>
      </c>
      <c r="AS80" s="29">
        <f t="shared" si="47"/>
        <v>0</v>
      </c>
      <c r="AT80" s="10">
        <f t="shared" si="38"/>
        <v>0</v>
      </c>
      <c r="AU80" s="10">
        <f t="shared" si="48"/>
        <v>0</v>
      </c>
      <c r="AV80" s="3"/>
      <c r="AW80" s="53">
        <f t="shared" si="54"/>
        <v>0</v>
      </c>
      <c r="AX80" s="53" t="str">
        <f t="shared" si="55"/>
        <v>0</v>
      </c>
      <c r="AY80" s="95">
        <f t="shared" si="49"/>
        <v>0</v>
      </c>
      <c r="AZ80" s="95">
        <f t="shared" si="56"/>
        <v>0</v>
      </c>
      <c r="BA80" s="36">
        <f t="shared" si="50"/>
        <v>0</v>
      </c>
      <c r="BB80" s="2"/>
      <c r="BC80" s="53">
        <f t="shared" si="57"/>
        <v>0</v>
      </c>
      <c r="BD80" s="53" t="str">
        <f t="shared" si="51"/>
        <v>0</v>
      </c>
      <c r="BE80" s="95">
        <f t="shared" si="52"/>
        <v>0</v>
      </c>
      <c r="BF80" s="95">
        <f t="shared" si="58"/>
        <v>0</v>
      </c>
      <c r="BG80" s="36" t="str">
        <f t="shared" si="53"/>
        <v>0</v>
      </c>
    </row>
    <row r="81" spans="1:59" ht="10.95" hidden="1" customHeight="1" x14ac:dyDescent="0.3">
      <c r="A81" s="15">
        <v>77</v>
      </c>
      <c r="B81" s="15"/>
      <c r="C81" s="143"/>
      <c r="D81" s="144"/>
      <c r="E81" s="15"/>
      <c r="F81" s="143"/>
      <c r="G81" s="147"/>
      <c r="H81" s="52"/>
      <c r="I81" s="14"/>
      <c r="J81" s="36"/>
      <c r="K81" s="36"/>
      <c r="L81" s="13"/>
      <c r="M81" s="56"/>
      <c r="N81" s="145"/>
      <c r="O81" s="146"/>
      <c r="P81" s="57"/>
      <c r="Q81" s="36"/>
      <c r="R81" s="36"/>
      <c r="S81" s="36"/>
      <c r="T81" s="36"/>
      <c r="U81" s="36"/>
      <c r="V81" s="36"/>
      <c r="W81" s="36" t="s">
        <v>151</v>
      </c>
      <c r="X81" s="143"/>
      <c r="Y81" s="144"/>
      <c r="Z81" s="147"/>
      <c r="AA81" s="12"/>
      <c r="AB81" s="89"/>
      <c r="AC81" s="89"/>
      <c r="AD81" s="76"/>
      <c r="AE81" s="75"/>
      <c r="AF81" s="11">
        <f t="shared" si="39"/>
        <v>0</v>
      </c>
      <c r="AJ81" s="127">
        <f t="shared" si="40"/>
        <v>0</v>
      </c>
      <c r="AL81" s="53">
        <f t="shared" si="41"/>
        <v>0</v>
      </c>
      <c r="AM81" s="53">
        <f t="shared" si="42"/>
        <v>0</v>
      </c>
      <c r="AN81" s="53">
        <f t="shared" si="37"/>
        <v>0</v>
      </c>
      <c r="AO81" s="90">
        <f t="shared" si="43"/>
        <v>0</v>
      </c>
      <c r="AP81" s="90">
        <f t="shared" si="44"/>
        <v>0</v>
      </c>
      <c r="AQ81" s="29">
        <f t="shared" si="45"/>
        <v>0</v>
      </c>
      <c r="AR81" s="30">
        <f t="shared" si="46"/>
        <v>0</v>
      </c>
      <c r="AS81" s="29">
        <f t="shared" si="47"/>
        <v>0</v>
      </c>
      <c r="AT81" s="10">
        <f t="shared" si="38"/>
        <v>0</v>
      </c>
      <c r="AU81" s="10">
        <f t="shared" si="48"/>
        <v>0</v>
      </c>
      <c r="AV81" s="3"/>
      <c r="AW81" s="53">
        <f t="shared" si="54"/>
        <v>0</v>
      </c>
      <c r="AX81" s="53" t="str">
        <f t="shared" si="55"/>
        <v>0</v>
      </c>
      <c r="AY81" s="95">
        <f t="shared" si="49"/>
        <v>0</v>
      </c>
      <c r="AZ81" s="95">
        <f t="shared" si="56"/>
        <v>0</v>
      </c>
      <c r="BA81" s="36">
        <f t="shared" si="50"/>
        <v>0</v>
      </c>
      <c r="BB81" s="2"/>
      <c r="BC81" s="53">
        <f t="shared" si="57"/>
        <v>0</v>
      </c>
      <c r="BD81" s="53" t="str">
        <f t="shared" si="51"/>
        <v>0</v>
      </c>
      <c r="BE81" s="95">
        <f t="shared" si="52"/>
        <v>0</v>
      </c>
      <c r="BF81" s="95">
        <f t="shared" si="58"/>
        <v>0</v>
      </c>
      <c r="BG81" s="36" t="str">
        <f t="shared" si="53"/>
        <v>0</v>
      </c>
    </row>
    <row r="82" spans="1:59" ht="10.95" hidden="1" customHeight="1" x14ac:dyDescent="0.3">
      <c r="A82" s="15">
        <v>78</v>
      </c>
      <c r="B82" s="15"/>
      <c r="C82" s="143"/>
      <c r="D82" s="144"/>
      <c r="E82" s="15"/>
      <c r="F82" s="143"/>
      <c r="G82" s="147"/>
      <c r="H82" s="52"/>
      <c r="I82" s="14"/>
      <c r="J82" s="36"/>
      <c r="K82" s="36"/>
      <c r="L82" s="13"/>
      <c r="M82" s="56"/>
      <c r="N82" s="145"/>
      <c r="O82" s="146"/>
      <c r="P82" s="57"/>
      <c r="Q82" s="36"/>
      <c r="R82" s="36"/>
      <c r="S82" s="36"/>
      <c r="T82" s="36"/>
      <c r="U82" s="36"/>
      <c r="V82" s="36"/>
      <c r="W82" s="36" t="s">
        <v>151</v>
      </c>
      <c r="X82" s="143"/>
      <c r="Y82" s="144"/>
      <c r="Z82" s="147"/>
      <c r="AA82" s="12"/>
      <c r="AB82" s="89"/>
      <c r="AC82" s="89"/>
      <c r="AD82" s="76"/>
      <c r="AE82" s="75"/>
      <c r="AF82" s="11">
        <f t="shared" si="39"/>
        <v>0</v>
      </c>
      <c r="AJ82" s="127">
        <f t="shared" si="40"/>
        <v>0</v>
      </c>
      <c r="AL82" s="53">
        <f t="shared" si="41"/>
        <v>0</v>
      </c>
      <c r="AM82" s="53">
        <f t="shared" si="42"/>
        <v>0</v>
      </c>
      <c r="AN82" s="53">
        <f t="shared" si="37"/>
        <v>0</v>
      </c>
      <c r="AO82" s="90">
        <f t="shared" si="43"/>
        <v>0</v>
      </c>
      <c r="AP82" s="90">
        <f t="shared" si="44"/>
        <v>0</v>
      </c>
      <c r="AQ82" s="29">
        <f t="shared" si="45"/>
        <v>0</v>
      </c>
      <c r="AR82" s="30">
        <f t="shared" si="46"/>
        <v>0</v>
      </c>
      <c r="AS82" s="29">
        <f t="shared" si="47"/>
        <v>0</v>
      </c>
      <c r="AT82" s="10">
        <f t="shared" si="38"/>
        <v>0</v>
      </c>
      <c r="AU82" s="10">
        <f t="shared" si="48"/>
        <v>0</v>
      </c>
      <c r="AV82" s="3"/>
      <c r="AW82" s="53">
        <f t="shared" si="54"/>
        <v>0</v>
      </c>
      <c r="AX82" s="53" t="str">
        <f t="shared" si="55"/>
        <v>0</v>
      </c>
      <c r="AY82" s="95">
        <f t="shared" si="49"/>
        <v>0</v>
      </c>
      <c r="AZ82" s="95">
        <f t="shared" si="56"/>
        <v>0</v>
      </c>
      <c r="BA82" s="36">
        <f t="shared" si="50"/>
        <v>0</v>
      </c>
      <c r="BB82" s="2"/>
      <c r="BC82" s="53">
        <f t="shared" si="57"/>
        <v>0</v>
      </c>
      <c r="BD82" s="53" t="str">
        <f t="shared" si="51"/>
        <v>0</v>
      </c>
      <c r="BE82" s="95">
        <f t="shared" si="52"/>
        <v>0</v>
      </c>
      <c r="BF82" s="95">
        <f t="shared" si="58"/>
        <v>0</v>
      </c>
      <c r="BG82" s="36" t="str">
        <f t="shared" si="53"/>
        <v>0</v>
      </c>
    </row>
    <row r="83" spans="1:59" ht="10.95" hidden="1" customHeight="1" x14ac:dyDescent="0.3">
      <c r="A83" s="15">
        <v>79</v>
      </c>
      <c r="B83" s="15"/>
      <c r="C83" s="143"/>
      <c r="D83" s="144"/>
      <c r="E83" s="15"/>
      <c r="F83" s="143"/>
      <c r="G83" s="147"/>
      <c r="H83" s="52"/>
      <c r="I83" s="14"/>
      <c r="J83" s="36"/>
      <c r="K83" s="36"/>
      <c r="L83" s="13"/>
      <c r="M83" s="56"/>
      <c r="N83" s="145"/>
      <c r="O83" s="146"/>
      <c r="P83" s="57"/>
      <c r="Q83" s="36"/>
      <c r="R83" s="36"/>
      <c r="S83" s="36"/>
      <c r="T83" s="36"/>
      <c r="U83" s="36"/>
      <c r="V83" s="36"/>
      <c r="W83" s="36" t="s">
        <v>151</v>
      </c>
      <c r="X83" s="143"/>
      <c r="Y83" s="144"/>
      <c r="Z83" s="147"/>
      <c r="AA83" s="12"/>
      <c r="AB83" s="89"/>
      <c r="AC83" s="89"/>
      <c r="AD83" s="76"/>
      <c r="AE83" s="75"/>
      <c r="AF83" s="11">
        <f t="shared" si="39"/>
        <v>0</v>
      </c>
      <c r="AJ83" s="127">
        <f t="shared" si="40"/>
        <v>0</v>
      </c>
      <c r="AL83" s="53">
        <f t="shared" si="41"/>
        <v>0</v>
      </c>
      <c r="AM83" s="53">
        <f t="shared" si="42"/>
        <v>0</v>
      </c>
      <c r="AN83" s="53">
        <f t="shared" si="37"/>
        <v>0</v>
      </c>
      <c r="AO83" s="90">
        <f t="shared" si="43"/>
        <v>0</v>
      </c>
      <c r="AP83" s="90">
        <f t="shared" si="44"/>
        <v>0</v>
      </c>
      <c r="AQ83" s="29">
        <f t="shared" si="45"/>
        <v>0</v>
      </c>
      <c r="AR83" s="30">
        <f t="shared" si="46"/>
        <v>0</v>
      </c>
      <c r="AS83" s="29">
        <f t="shared" si="47"/>
        <v>0</v>
      </c>
      <c r="AT83" s="10">
        <f t="shared" si="38"/>
        <v>0</v>
      </c>
      <c r="AU83" s="10">
        <f t="shared" si="48"/>
        <v>0</v>
      </c>
      <c r="AV83" s="3"/>
      <c r="AW83" s="53">
        <f t="shared" si="54"/>
        <v>0</v>
      </c>
      <c r="AX83" s="53" t="str">
        <f t="shared" si="55"/>
        <v>0</v>
      </c>
      <c r="AY83" s="95">
        <f t="shared" si="49"/>
        <v>0</v>
      </c>
      <c r="AZ83" s="95">
        <f t="shared" si="56"/>
        <v>0</v>
      </c>
      <c r="BA83" s="36">
        <f t="shared" si="50"/>
        <v>0</v>
      </c>
      <c r="BB83" s="2"/>
      <c r="BC83" s="53">
        <f t="shared" si="57"/>
        <v>0</v>
      </c>
      <c r="BD83" s="53" t="str">
        <f t="shared" si="51"/>
        <v>0</v>
      </c>
      <c r="BE83" s="95">
        <f t="shared" si="52"/>
        <v>0</v>
      </c>
      <c r="BF83" s="95">
        <f t="shared" si="58"/>
        <v>0</v>
      </c>
      <c r="BG83" s="36" t="str">
        <f t="shared" si="53"/>
        <v>0</v>
      </c>
    </row>
    <row r="84" spans="1:59" ht="10.95" hidden="1" customHeight="1" x14ac:dyDescent="0.3">
      <c r="A84" s="15">
        <v>80</v>
      </c>
      <c r="B84" s="15"/>
      <c r="C84" s="143"/>
      <c r="D84" s="144"/>
      <c r="E84" s="15"/>
      <c r="F84" s="143"/>
      <c r="G84" s="147"/>
      <c r="H84" s="52"/>
      <c r="I84" s="14"/>
      <c r="J84" s="36"/>
      <c r="K84" s="36"/>
      <c r="L84" s="13"/>
      <c r="M84" s="56"/>
      <c r="N84" s="145"/>
      <c r="O84" s="146"/>
      <c r="P84" s="57"/>
      <c r="Q84" s="36"/>
      <c r="R84" s="36"/>
      <c r="S84" s="36"/>
      <c r="T84" s="36"/>
      <c r="U84" s="36"/>
      <c r="V84" s="36"/>
      <c r="W84" s="36" t="s">
        <v>151</v>
      </c>
      <c r="X84" s="143"/>
      <c r="Y84" s="144"/>
      <c r="Z84" s="147"/>
      <c r="AA84" s="12"/>
      <c r="AB84" s="89"/>
      <c r="AC84" s="89"/>
      <c r="AD84" s="76"/>
      <c r="AE84" s="75"/>
      <c r="AF84" s="11">
        <f t="shared" si="39"/>
        <v>0</v>
      </c>
      <c r="AJ84" s="127">
        <f t="shared" si="40"/>
        <v>0</v>
      </c>
      <c r="AL84" s="53">
        <f t="shared" si="41"/>
        <v>0</v>
      </c>
      <c r="AM84" s="53">
        <f t="shared" si="42"/>
        <v>0</v>
      </c>
      <c r="AN84" s="53">
        <f t="shared" si="37"/>
        <v>0</v>
      </c>
      <c r="AO84" s="90">
        <f t="shared" si="43"/>
        <v>0</v>
      </c>
      <c r="AP84" s="90">
        <f t="shared" si="44"/>
        <v>0</v>
      </c>
      <c r="AQ84" s="29">
        <f t="shared" si="45"/>
        <v>0</v>
      </c>
      <c r="AR84" s="30">
        <f t="shared" si="46"/>
        <v>0</v>
      </c>
      <c r="AS84" s="29">
        <f t="shared" si="47"/>
        <v>0</v>
      </c>
      <c r="AT84" s="10">
        <f t="shared" si="38"/>
        <v>0</v>
      </c>
      <c r="AU84" s="10">
        <f t="shared" si="48"/>
        <v>0</v>
      </c>
      <c r="AV84" s="3"/>
      <c r="AW84" s="53">
        <f t="shared" si="54"/>
        <v>0</v>
      </c>
      <c r="AX84" s="53" t="str">
        <f t="shared" si="55"/>
        <v>0</v>
      </c>
      <c r="AY84" s="95">
        <f t="shared" si="49"/>
        <v>0</v>
      </c>
      <c r="AZ84" s="95">
        <f t="shared" si="56"/>
        <v>0</v>
      </c>
      <c r="BA84" s="36">
        <f t="shared" si="50"/>
        <v>0</v>
      </c>
      <c r="BB84" s="2"/>
      <c r="BC84" s="53">
        <f t="shared" si="57"/>
        <v>0</v>
      </c>
      <c r="BD84" s="53" t="str">
        <f t="shared" si="51"/>
        <v>0</v>
      </c>
      <c r="BE84" s="95">
        <f t="shared" si="52"/>
        <v>0</v>
      </c>
      <c r="BF84" s="95">
        <f t="shared" si="58"/>
        <v>0</v>
      </c>
      <c r="BG84" s="36" t="str">
        <f t="shared" si="53"/>
        <v>0</v>
      </c>
    </row>
    <row r="85" spans="1:59" ht="10.95" hidden="1" customHeight="1" x14ac:dyDescent="0.3">
      <c r="A85" s="15">
        <v>81</v>
      </c>
      <c r="B85" s="15"/>
      <c r="C85" s="143"/>
      <c r="D85" s="144"/>
      <c r="E85" s="15"/>
      <c r="F85" s="143"/>
      <c r="G85" s="147"/>
      <c r="H85" s="52"/>
      <c r="I85" s="14"/>
      <c r="J85" s="36"/>
      <c r="K85" s="36"/>
      <c r="L85" s="13"/>
      <c r="M85" s="56"/>
      <c r="N85" s="145"/>
      <c r="O85" s="146"/>
      <c r="P85" s="57"/>
      <c r="Q85" s="36"/>
      <c r="R85" s="36"/>
      <c r="S85" s="36"/>
      <c r="T85" s="36"/>
      <c r="U85" s="36"/>
      <c r="V85" s="36"/>
      <c r="W85" s="36" t="s">
        <v>151</v>
      </c>
      <c r="X85" s="143"/>
      <c r="Y85" s="144"/>
      <c r="Z85" s="147"/>
      <c r="AA85" s="12"/>
      <c r="AB85" s="89"/>
      <c r="AC85" s="89"/>
      <c r="AD85" s="76"/>
      <c r="AE85" s="75"/>
      <c r="AF85" s="11">
        <f t="shared" si="39"/>
        <v>0</v>
      </c>
      <c r="AJ85" s="127">
        <f t="shared" si="40"/>
        <v>0</v>
      </c>
      <c r="AL85" s="53">
        <f t="shared" si="41"/>
        <v>0</v>
      </c>
      <c r="AM85" s="53">
        <f t="shared" si="42"/>
        <v>0</v>
      </c>
      <c r="AN85" s="53">
        <f t="shared" si="37"/>
        <v>0</v>
      </c>
      <c r="AO85" s="90">
        <f t="shared" si="43"/>
        <v>0</v>
      </c>
      <c r="AP85" s="90">
        <f t="shared" si="44"/>
        <v>0</v>
      </c>
      <c r="AQ85" s="29">
        <f t="shared" si="45"/>
        <v>0</v>
      </c>
      <c r="AR85" s="30">
        <f t="shared" si="46"/>
        <v>0</v>
      </c>
      <c r="AS85" s="29">
        <f t="shared" si="47"/>
        <v>0</v>
      </c>
      <c r="AT85" s="10">
        <f t="shared" si="38"/>
        <v>0</v>
      </c>
      <c r="AU85" s="10">
        <f t="shared" si="48"/>
        <v>0</v>
      </c>
      <c r="AV85" s="3"/>
      <c r="AW85" s="53">
        <f t="shared" si="54"/>
        <v>0</v>
      </c>
      <c r="AX85" s="53" t="str">
        <f t="shared" si="55"/>
        <v>0</v>
      </c>
      <c r="AY85" s="95">
        <f t="shared" si="49"/>
        <v>0</v>
      </c>
      <c r="AZ85" s="95">
        <f t="shared" si="56"/>
        <v>0</v>
      </c>
      <c r="BA85" s="36">
        <f t="shared" si="50"/>
        <v>0</v>
      </c>
      <c r="BB85" s="2"/>
      <c r="BC85" s="53">
        <f t="shared" si="57"/>
        <v>0</v>
      </c>
      <c r="BD85" s="53" t="str">
        <f t="shared" si="51"/>
        <v>0</v>
      </c>
      <c r="BE85" s="95">
        <f t="shared" si="52"/>
        <v>0</v>
      </c>
      <c r="BF85" s="95">
        <f t="shared" si="58"/>
        <v>0</v>
      </c>
      <c r="BG85" s="36" t="str">
        <f t="shared" si="53"/>
        <v>0</v>
      </c>
    </row>
    <row r="86" spans="1:59" ht="10.95" hidden="1" customHeight="1" x14ac:dyDescent="0.3">
      <c r="A86" s="15">
        <v>82</v>
      </c>
      <c r="B86" s="15"/>
      <c r="C86" s="143"/>
      <c r="D86" s="144"/>
      <c r="E86" s="15"/>
      <c r="F86" s="143"/>
      <c r="G86" s="147"/>
      <c r="H86" s="52"/>
      <c r="I86" s="14"/>
      <c r="J86" s="36"/>
      <c r="K86" s="36"/>
      <c r="L86" s="13"/>
      <c r="M86" s="56"/>
      <c r="N86" s="145"/>
      <c r="O86" s="146"/>
      <c r="P86" s="57"/>
      <c r="Q86" s="36"/>
      <c r="R86" s="36"/>
      <c r="S86" s="36"/>
      <c r="T86" s="36"/>
      <c r="U86" s="36"/>
      <c r="V86" s="36"/>
      <c r="W86" s="36" t="s">
        <v>151</v>
      </c>
      <c r="X86" s="143"/>
      <c r="Y86" s="144"/>
      <c r="Z86" s="147"/>
      <c r="AA86" s="12"/>
      <c r="AB86" s="89"/>
      <c r="AC86" s="89"/>
      <c r="AD86" s="76"/>
      <c r="AE86" s="75"/>
      <c r="AF86" s="11">
        <f t="shared" si="39"/>
        <v>0</v>
      </c>
      <c r="AJ86" s="127">
        <f t="shared" si="40"/>
        <v>0</v>
      </c>
      <c r="AL86" s="53">
        <f t="shared" si="41"/>
        <v>0</v>
      </c>
      <c r="AM86" s="53">
        <f t="shared" si="42"/>
        <v>0</v>
      </c>
      <c r="AN86" s="53">
        <f t="shared" si="37"/>
        <v>0</v>
      </c>
      <c r="AO86" s="90">
        <f t="shared" si="43"/>
        <v>0</v>
      </c>
      <c r="AP86" s="90">
        <f t="shared" si="44"/>
        <v>0</v>
      </c>
      <c r="AQ86" s="29">
        <f t="shared" si="45"/>
        <v>0</v>
      </c>
      <c r="AR86" s="30">
        <f t="shared" si="46"/>
        <v>0</v>
      </c>
      <c r="AS86" s="29">
        <f t="shared" si="47"/>
        <v>0</v>
      </c>
      <c r="AT86" s="10">
        <f t="shared" si="38"/>
        <v>0</v>
      </c>
      <c r="AU86" s="10">
        <f t="shared" si="48"/>
        <v>0</v>
      </c>
      <c r="AV86" s="3"/>
      <c r="AW86" s="53">
        <f t="shared" si="54"/>
        <v>0</v>
      </c>
      <c r="AX86" s="53" t="str">
        <f t="shared" si="55"/>
        <v>0</v>
      </c>
      <c r="AY86" s="95">
        <f t="shared" si="49"/>
        <v>0</v>
      </c>
      <c r="AZ86" s="95">
        <f t="shared" si="56"/>
        <v>0</v>
      </c>
      <c r="BA86" s="36">
        <f t="shared" si="50"/>
        <v>0</v>
      </c>
      <c r="BB86" s="2"/>
      <c r="BC86" s="53">
        <f t="shared" si="57"/>
        <v>0</v>
      </c>
      <c r="BD86" s="53" t="str">
        <f t="shared" si="51"/>
        <v>0</v>
      </c>
      <c r="BE86" s="95">
        <f t="shared" si="52"/>
        <v>0</v>
      </c>
      <c r="BF86" s="95">
        <f t="shared" si="58"/>
        <v>0</v>
      </c>
      <c r="BG86" s="36" t="str">
        <f t="shared" si="53"/>
        <v>0</v>
      </c>
    </row>
    <row r="87" spans="1:59" ht="10.95" hidden="1" customHeight="1" x14ac:dyDescent="0.3">
      <c r="A87" s="15">
        <v>83</v>
      </c>
      <c r="B87" s="15"/>
      <c r="C87" s="143"/>
      <c r="D87" s="144"/>
      <c r="E87" s="15"/>
      <c r="F87" s="143"/>
      <c r="G87" s="147"/>
      <c r="H87" s="52"/>
      <c r="I87" s="14"/>
      <c r="J87" s="36"/>
      <c r="K87" s="36"/>
      <c r="L87" s="13"/>
      <c r="M87" s="56"/>
      <c r="N87" s="145"/>
      <c r="O87" s="146"/>
      <c r="P87" s="57"/>
      <c r="Q87" s="36"/>
      <c r="R87" s="36"/>
      <c r="S87" s="36"/>
      <c r="T87" s="36"/>
      <c r="U87" s="36"/>
      <c r="V87" s="36"/>
      <c r="W87" s="36" t="s">
        <v>151</v>
      </c>
      <c r="X87" s="143"/>
      <c r="Y87" s="144"/>
      <c r="Z87" s="147"/>
      <c r="AA87" s="12"/>
      <c r="AB87" s="89"/>
      <c r="AC87" s="89"/>
      <c r="AD87" s="76"/>
      <c r="AE87" s="75"/>
      <c r="AF87" s="11">
        <f t="shared" si="39"/>
        <v>0</v>
      </c>
      <c r="AJ87" s="127">
        <f t="shared" si="40"/>
        <v>0</v>
      </c>
      <c r="AL87" s="53">
        <f t="shared" si="41"/>
        <v>0</v>
      </c>
      <c r="AM87" s="53">
        <f t="shared" si="42"/>
        <v>0</v>
      </c>
      <c r="AN87" s="53">
        <f t="shared" si="37"/>
        <v>0</v>
      </c>
      <c r="AO87" s="90">
        <f t="shared" si="43"/>
        <v>0</v>
      </c>
      <c r="AP87" s="90">
        <f t="shared" si="44"/>
        <v>0</v>
      </c>
      <c r="AQ87" s="29">
        <f t="shared" si="45"/>
        <v>0</v>
      </c>
      <c r="AR87" s="30">
        <f t="shared" si="46"/>
        <v>0</v>
      </c>
      <c r="AS87" s="29">
        <f t="shared" si="47"/>
        <v>0</v>
      </c>
      <c r="AT87" s="10">
        <f t="shared" si="38"/>
        <v>0</v>
      </c>
      <c r="AU87" s="10">
        <f t="shared" si="48"/>
        <v>0</v>
      </c>
      <c r="AV87" s="3"/>
      <c r="AW87" s="53">
        <f t="shared" si="54"/>
        <v>0</v>
      </c>
      <c r="AX87" s="53" t="str">
        <f t="shared" si="55"/>
        <v>0</v>
      </c>
      <c r="AY87" s="95">
        <f t="shared" si="49"/>
        <v>0</v>
      </c>
      <c r="AZ87" s="95">
        <f t="shared" si="56"/>
        <v>0</v>
      </c>
      <c r="BA87" s="36">
        <f t="shared" si="50"/>
        <v>0</v>
      </c>
      <c r="BB87" s="2"/>
      <c r="BC87" s="53">
        <f t="shared" si="57"/>
        <v>0</v>
      </c>
      <c r="BD87" s="53" t="str">
        <f t="shared" si="51"/>
        <v>0</v>
      </c>
      <c r="BE87" s="95">
        <f t="shared" si="52"/>
        <v>0</v>
      </c>
      <c r="BF87" s="95">
        <f t="shared" si="58"/>
        <v>0</v>
      </c>
      <c r="BG87" s="36" t="str">
        <f t="shared" si="53"/>
        <v>0</v>
      </c>
    </row>
    <row r="88" spans="1:59" ht="10.95" hidden="1" customHeight="1" x14ac:dyDescent="0.3">
      <c r="A88" s="15">
        <v>84</v>
      </c>
      <c r="B88" s="15"/>
      <c r="C88" s="143"/>
      <c r="D88" s="144"/>
      <c r="E88" s="15"/>
      <c r="F88" s="143"/>
      <c r="G88" s="147"/>
      <c r="H88" s="52"/>
      <c r="I88" s="14"/>
      <c r="J88" s="36"/>
      <c r="K88" s="36"/>
      <c r="L88" s="13"/>
      <c r="M88" s="56"/>
      <c r="N88" s="145"/>
      <c r="O88" s="146"/>
      <c r="P88" s="57"/>
      <c r="Q88" s="36"/>
      <c r="R88" s="36"/>
      <c r="S88" s="36"/>
      <c r="T88" s="36"/>
      <c r="U88" s="36"/>
      <c r="V88" s="36"/>
      <c r="W88" s="36" t="s">
        <v>151</v>
      </c>
      <c r="X88" s="143"/>
      <c r="Y88" s="144"/>
      <c r="Z88" s="147"/>
      <c r="AA88" s="12"/>
      <c r="AB88" s="89"/>
      <c r="AC88" s="89"/>
      <c r="AD88" s="76"/>
      <c r="AE88" s="75"/>
      <c r="AF88" s="11">
        <f t="shared" si="39"/>
        <v>0</v>
      </c>
      <c r="AJ88" s="127">
        <f t="shared" si="40"/>
        <v>0</v>
      </c>
      <c r="AL88" s="53">
        <f t="shared" si="41"/>
        <v>0</v>
      </c>
      <c r="AM88" s="53">
        <f t="shared" si="42"/>
        <v>0</v>
      </c>
      <c r="AN88" s="53">
        <f t="shared" si="37"/>
        <v>0</v>
      </c>
      <c r="AO88" s="90">
        <f t="shared" si="43"/>
        <v>0</v>
      </c>
      <c r="AP88" s="90">
        <f t="shared" si="44"/>
        <v>0</v>
      </c>
      <c r="AQ88" s="29">
        <f t="shared" si="45"/>
        <v>0</v>
      </c>
      <c r="AR88" s="30">
        <f t="shared" si="46"/>
        <v>0</v>
      </c>
      <c r="AS88" s="29">
        <f t="shared" si="47"/>
        <v>0</v>
      </c>
      <c r="AT88" s="10">
        <f t="shared" si="38"/>
        <v>0</v>
      </c>
      <c r="AU88" s="10">
        <f t="shared" si="48"/>
        <v>0</v>
      </c>
      <c r="AV88" s="3"/>
      <c r="AW88" s="53">
        <f t="shared" si="54"/>
        <v>0</v>
      </c>
      <c r="AX88" s="53" t="str">
        <f t="shared" si="55"/>
        <v>0</v>
      </c>
      <c r="AY88" s="95">
        <f t="shared" si="49"/>
        <v>0</v>
      </c>
      <c r="AZ88" s="95">
        <f t="shared" si="56"/>
        <v>0</v>
      </c>
      <c r="BA88" s="36">
        <f t="shared" si="50"/>
        <v>0</v>
      </c>
      <c r="BB88" s="2"/>
      <c r="BC88" s="53">
        <f t="shared" si="57"/>
        <v>0</v>
      </c>
      <c r="BD88" s="53" t="str">
        <f t="shared" si="51"/>
        <v>0</v>
      </c>
      <c r="BE88" s="95">
        <f t="shared" si="52"/>
        <v>0</v>
      </c>
      <c r="BF88" s="95">
        <f t="shared" si="58"/>
        <v>0</v>
      </c>
      <c r="BG88" s="36" t="str">
        <f t="shared" si="53"/>
        <v>0</v>
      </c>
    </row>
    <row r="89" spans="1:59" ht="10.95" hidden="1" customHeight="1" x14ac:dyDescent="0.3">
      <c r="A89" s="15">
        <v>85</v>
      </c>
      <c r="B89" s="15"/>
      <c r="C89" s="143"/>
      <c r="D89" s="144"/>
      <c r="E89" s="15"/>
      <c r="F89" s="143"/>
      <c r="G89" s="147"/>
      <c r="H89" s="52"/>
      <c r="I89" s="14"/>
      <c r="J89" s="36"/>
      <c r="K89" s="36"/>
      <c r="L89" s="13"/>
      <c r="M89" s="56"/>
      <c r="N89" s="145"/>
      <c r="O89" s="146"/>
      <c r="P89" s="57"/>
      <c r="Q89" s="36"/>
      <c r="R89" s="36"/>
      <c r="S89" s="36"/>
      <c r="T89" s="36"/>
      <c r="U89" s="36"/>
      <c r="V89" s="36"/>
      <c r="W89" s="36" t="s">
        <v>151</v>
      </c>
      <c r="X89" s="143"/>
      <c r="Y89" s="144"/>
      <c r="Z89" s="147"/>
      <c r="AA89" s="12"/>
      <c r="AB89" s="89"/>
      <c r="AC89" s="89"/>
      <c r="AD89" s="76"/>
      <c r="AE89" s="75"/>
      <c r="AF89" s="11">
        <f t="shared" si="39"/>
        <v>0</v>
      </c>
      <c r="AJ89" s="127">
        <f t="shared" si="40"/>
        <v>0</v>
      </c>
      <c r="AL89" s="53">
        <f t="shared" si="41"/>
        <v>0</v>
      </c>
      <c r="AM89" s="53">
        <f t="shared" si="42"/>
        <v>0</v>
      </c>
      <c r="AN89" s="53">
        <f t="shared" si="37"/>
        <v>0</v>
      </c>
      <c r="AO89" s="90">
        <f t="shared" si="43"/>
        <v>0</v>
      </c>
      <c r="AP89" s="90">
        <f t="shared" si="44"/>
        <v>0</v>
      </c>
      <c r="AQ89" s="29">
        <f t="shared" si="45"/>
        <v>0</v>
      </c>
      <c r="AR89" s="30">
        <f t="shared" si="46"/>
        <v>0</v>
      </c>
      <c r="AS89" s="29">
        <f t="shared" si="47"/>
        <v>0</v>
      </c>
      <c r="AT89" s="10">
        <f t="shared" si="38"/>
        <v>0</v>
      </c>
      <c r="AU89" s="10">
        <f t="shared" si="48"/>
        <v>0</v>
      </c>
      <c r="AV89" s="3"/>
      <c r="AW89" s="53">
        <f t="shared" si="54"/>
        <v>0</v>
      </c>
      <c r="AX89" s="53" t="str">
        <f t="shared" si="55"/>
        <v>0</v>
      </c>
      <c r="AY89" s="95">
        <f t="shared" si="49"/>
        <v>0</v>
      </c>
      <c r="AZ89" s="95">
        <f t="shared" si="56"/>
        <v>0</v>
      </c>
      <c r="BA89" s="36">
        <f t="shared" si="50"/>
        <v>0</v>
      </c>
      <c r="BB89" s="2"/>
      <c r="BC89" s="53">
        <f t="shared" si="57"/>
        <v>0</v>
      </c>
      <c r="BD89" s="53" t="str">
        <f t="shared" si="51"/>
        <v>0</v>
      </c>
      <c r="BE89" s="95">
        <f t="shared" si="52"/>
        <v>0</v>
      </c>
      <c r="BF89" s="95">
        <f t="shared" si="58"/>
        <v>0</v>
      </c>
      <c r="BG89" s="36" t="str">
        <f t="shared" si="53"/>
        <v>0</v>
      </c>
    </row>
    <row r="90" spans="1:59" ht="10.95" hidden="1" customHeight="1" x14ac:dyDescent="0.3">
      <c r="A90" s="15">
        <v>86</v>
      </c>
      <c r="B90" s="15"/>
      <c r="C90" s="143"/>
      <c r="D90" s="144"/>
      <c r="E90" s="15"/>
      <c r="F90" s="143"/>
      <c r="G90" s="147"/>
      <c r="H90" s="52"/>
      <c r="I90" s="14"/>
      <c r="J90" s="36"/>
      <c r="K90" s="36"/>
      <c r="L90" s="13"/>
      <c r="M90" s="56"/>
      <c r="N90" s="145"/>
      <c r="O90" s="146"/>
      <c r="P90" s="57"/>
      <c r="Q90" s="36"/>
      <c r="R90" s="36"/>
      <c r="S90" s="36"/>
      <c r="T90" s="36"/>
      <c r="U90" s="36"/>
      <c r="V90" s="36"/>
      <c r="W90" s="36" t="s">
        <v>151</v>
      </c>
      <c r="X90" s="143"/>
      <c r="Y90" s="144"/>
      <c r="Z90" s="147"/>
      <c r="AA90" s="12"/>
      <c r="AB90" s="89"/>
      <c r="AC90" s="89"/>
      <c r="AD90" s="76"/>
      <c r="AE90" s="75"/>
      <c r="AF90" s="11">
        <f t="shared" si="39"/>
        <v>0</v>
      </c>
      <c r="AJ90" s="127">
        <f t="shared" si="40"/>
        <v>0</v>
      </c>
      <c r="AL90" s="53">
        <f t="shared" si="41"/>
        <v>0</v>
      </c>
      <c r="AM90" s="53">
        <f t="shared" si="42"/>
        <v>0</v>
      </c>
      <c r="AN90" s="53">
        <f t="shared" si="37"/>
        <v>0</v>
      </c>
      <c r="AO90" s="90">
        <f t="shared" si="43"/>
        <v>0</v>
      </c>
      <c r="AP90" s="90">
        <f t="shared" si="44"/>
        <v>0</v>
      </c>
      <c r="AQ90" s="29">
        <f t="shared" si="45"/>
        <v>0</v>
      </c>
      <c r="AR90" s="30">
        <f t="shared" si="46"/>
        <v>0</v>
      </c>
      <c r="AS90" s="29">
        <f t="shared" si="47"/>
        <v>0</v>
      </c>
      <c r="AT90" s="10">
        <f t="shared" si="38"/>
        <v>0</v>
      </c>
      <c r="AU90" s="10">
        <f t="shared" si="48"/>
        <v>0</v>
      </c>
      <c r="AV90" s="3"/>
      <c r="AW90" s="53">
        <f t="shared" si="54"/>
        <v>0</v>
      </c>
      <c r="AX90" s="53" t="str">
        <f t="shared" si="55"/>
        <v>0</v>
      </c>
      <c r="AY90" s="95">
        <f t="shared" si="49"/>
        <v>0</v>
      </c>
      <c r="AZ90" s="95">
        <f t="shared" si="56"/>
        <v>0</v>
      </c>
      <c r="BA90" s="36">
        <f t="shared" si="50"/>
        <v>0</v>
      </c>
      <c r="BB90" s="2"/>
      <c r="BC90" s="53">
        <f t="shared" si="57"/>
        <v>0</v>
      </c>
      <c r="BD90" s="53" t="str">
        <f t="shared" si="51"/>
        <v>0</v>
      </c>
      <c r="BE90" s="95">
        <f t="shared" si="52"/>
        <v>0</v>
      </c>
      <c r="BF90" s="95">
        <f t="shared" si="58"/>
        <v>0</v>
      </c>
      <c r="BG90" s="36" t="str">
        <f t="shared" si="53"/>
        <v>0</v>
      </c>
    </row>
    <row r="91" spans="1:59" ht="10.95" hidden="1" customHeight="1" x14ac:dyDescent="0.3">
      <c r="A91" s="15">
        <v>87</v>
      </c>
      <c r="B91" s="15"/>
      <c r="C91" s="143"/>
      <c r="D91" s="144"/>
      <c r="E91" s="15"/>
      <c r="F91" s="143"/>
      <c r="G91" s="147"/>
      <c r="H91" s="52"/>
      <c r="I91" s="14"/>
      <c r="J91" s="36"/>
      <c r="K91" s="36"/>
      <c r="L91" s="13"/>
      <c r="M91" s="56"/>
      <c r="N91" s="145"/>
      <c r="O91" s="146"/>
      <c r="P91" s="57"/>
      <c r="Q91" s="36"/>
      <c r="R91" s="36"/>
      <c r="S91" s="36"/>
      <c r="T91" s="36"/>
      <c r="U91" s="36"/>
      <c r="V91" s="36"/>
      <c r="W91" s="36" t="s">
        <v>151</v>
      </c>
      <c r="X91" s="143"/>
      <c r="Y91" s="144"/>
      <c r="Z91" s="147"/>
      <c r="AA91" s="12"/>
      <c r="AB91" s="89"/>
      <c r="AC91" s="89"/>
      <c r="AD91" s="76"/>
      <c r="AE91" s="75"/>
      <c r="AF91" s="11">
        <f t="shared" si="39"/>
        <v>0</v>
      </c>
      <c r="AJ91" s="127">
        <f t="shared" si="40"/>
        <v>0</v>
      </c>
      <c r="AL91" s="53">
        <f t="shared" si="41"/>
        <v>0</v>
      </c>
      <c r="AM91" s="53">
        <f t="shared" si="42"/>
        <v>0</v>
      </c>
      <c r="AN91" s="53">
        <f t="shared" si="37"/>
        <v>0</v>
      </c>
      <c r="AO91" s="90">
        <f t="shared" si="43"/>
        <v>0</v>
      </c>
      <c r="AP91" s="90">
        <f t="shared" si="44"/>
        <v>0</v>
      </c>
      <c r="AQ91" s="29">
        <f t="shared" si="45"/>
        <v>0</v>
      </c>
      <c r="AR91" s="30">
        <f t="shared" si="46"/>
        <v>0</v>
      </c>
      <c r="AS91" s="29">
        <f t="shared" si="47"/>
        <v>0</v>
      </c>
      <c r="AT91" s="10">
        <f t="shared" si="38"/>
        <v>0</v>
      </c>
      <c r="AU91" s="10">
        <f t="shared" si="48"/>
        <v>0</v>
      </c>
      <c r="AV91" s="3"/>
      <c r="AW91" s="53">
        <f t="shared" si="54"/>
        <v>0</v>
      </c>
      <c r="AX91" s="53" t="str">
        <f t="shared" si="55"/>
        <v>0</v>
      </c>
      <c r="AY91" s="95">
        <f t="shared" si="49"/>
        <v>0</v>
      </c>
      <c r="AZ91" s="95">
        <f t="shared" si="56"/>
        <v>0</v>
      </c>
      <c r="BA91" s="36">
        <f t="shared" si="50"/>
        <v>0</v>
      </c>
      <c r="BB91" s="2"/>
      <c r="BC91" s="53">
        <f t="shared" si="57"/>
        <v>0</v>
      </c>
      <c r="BD91" s="53" t="str">
        <f t="shared" si="51"/>
        <v>0</v>
      </c>
      <c r="BE91" s="95">
        <f t="shared" si="52"/>
        <v>0</v>
      </c>
      <c r="BF91" s="95">
        <f t="shared" si="58"/>
        <v>0</v>
      </c>
      <c r="BG91" s="36" t="str">
        <f t="shared" si="53"/>
        <v>0</v>
      </c>
    </row>
    <row r="92" spans="1:59" ht="10.95" hidden="1" customHeight="1" x14ac:dyDescent="0.3">
      <c r="A92" s="15">
        <v>88</v>
      </c>
      <c r="B92" s="15"/>
      <c r="C92" s="143"/>
      <c r="D92" s="144"/>
      <c r="E92" s="15"/>
      <c r="F92" s="143"/>
      <c r="G92" s="147"/>
      <c r="H92" s="52"/>
      <c r="I92" s="14"/>
      <c r="J92" s="36"/>
      <c r="K92" s="36"/>
      <c r="L92" s="13"/>
      <c r="M92" s="56"/>
      <c r="N92" s="145"/>
      <c r="O92" s="146"/>
      <c r="P92" s="57"/>
      <c r="Q92" s="36"/>
      <c r="R92" s="36"/>
      <c r="S92" s="36"/>
      <c r="T92" s="36"/>
      <c r="U92" s="36"/>
      <c r="V92" s="36"/>
      <c r="W92" s="36" t="s">
        <v>151</v>
      </c>
      <c r="X92" s="143"/>
      <c r="Y92" s="144"/>
      <c r="Z92" s="147"/>
      <c r="AA92" s="12"/>
      <c r="AB92" s="89"/>
      <c r="AC92" s="89"/>
      <c r="AD92" s="76"/>
      <c r="AE92" s="75"/>
      <c r="AF92" s="11">
        <f t="shared" si="39"/>
        <v>0</v>
      </c>
      <c r="AJ92" s="127">
        <f t="shared" si="40"/>
        <v>0</v>
      </c>
      <c r="AL92" s="53">
        <f t="shared" si="41"/>
        <v>0</v>
      </c>
      <c r="AM92" s="53">
        <f t="shared" si="42"/>
        <v>0</v>
      </c>
      <c r="AN92" s="53">
        <f t="shared" si="37"/>
        <v>0</v>
      </c>
      <c r="AO92" s="90">
        <f t="shared" si="43"/>
        <v>0</v>
      </c>
      <c r="AP92" s="90">
        <f t="shared" si="44"/>
        <v>0</v>
      </c>
      <c r="AQ92" s="29">
        <f t="shared" si="45"/>
        <v>0</v>
      </c>
      <c r="AR92" s="30">
        <f t="shared" si="46"/>
        <v>0</v>
      </c>
      <c r="AS92" s="29">
        <f t="shared" si="47"/>
        <v>0</v>
      </c>
      <c r="AT92" s="10">
        <f t="shared" si="38"/>
        <v>0</v>
      </c>
      <c r="AU92" s="10">
        <f t="shared" si="48"/>
        <v>0</v>
      </c>
      <c r="AV92" s="3"/>
      <c r="AW92" s="53">
        <f t="shared" si="54"/>
        <v>0</v>
      </c>
      <c r="AX92" s="53" t="str">
        <f t="shared" si="55"/>
        <v>0</v>
      </c>
      <c r="AY92" s="95">
        <f t="shared" si="49"/>
        <v>0</v>
      </c>
      <c r="AZ92" s="95">
        <f t="shared" si="56"/>
        <v>0</v>
      </c>
      <c r="BA92" s="36">
        <f t="shared" si="50"/>
        <v>0</v>
      </c>
      <c r="BB92" s="2"/>
      <c r="BC92" s="53">
        <f t="shared" si="57"/>
        <v>0</v>
      </c>
      <c r="BD92" s="53" t="str">
        <f t="shared" si="51"/>
        <v>0</v>
      </c>
      <c r="BE92" s="95">
        <f t="shared" si="52"/>
        <v>0</v>
      </c>
      <c r="BF92" s="95">
        <f t="shared" si="58"/>
        <v>0</v>
      </c>
      <c r="BG92" s="36" t="str">
        <f t="shared" si="53"/>
        <v>0</v>
      </c>
    </row>
    <row r="93" spans="1:59" ht="10.95" hidden="1" customHeight="1" x14ac:dyDescent="0.3">
      <c r="A93" s="15">
        <v>89</v>
      </c>
      <c r="B93" s="15"/>
      <c r="C93" s="143"/>
      <c r="D93" s="144"/>
      <c r="E93" s="15"/>
      <c r="F93" s="143"/>
      <c r="G93" s="147"/>
      <c r="H93" s="52"/>
      <c r="I93" s="14"/>
      <c r="J93" s="36"/>
      <c r="K93" s="36"/>
      <c r="L93" s="13"/>
      <c r="M93" s="56"/>
      <c r="N93" s="145"/>
      <c r="O93" s="146"/>
      <c r="P93" s="57"/>
      <c r="Q93" s="36"/>
      <c r="R93" s="36"/>
      <c r="S93" s="36"/>
      <c r="T93" s="36"/>
      <c r="U93" s="36"/>
      <c r="V93" s="36"/>
      <c r="W93" s="36" t="s">
        <v>151</v>
      </c>
      <c r="X93" s="143"/>
      <c r="Y93" s="144"/>
      <c r="Z93" s="147"/>
      <c r="AA93" s="12"/>
      <c r="AB93" s="89"/>
      <c r="AC93" s="89"/>
      <c r="AD93" s="76"/>
      <c r="AE93" s="75"/>
      <c r="AF93" s="11">
        <f t="shared" si="39"/>
        <v>0</v>
      </c>
      <c r="AJ93" s="127">
        <f t="shared" si="40"/>
        <v>0</v>
      </c>
      <c r="AL93" s="53">
        <f t="shared" si="41"/>
        <v>0</v>
      </c>
      <c r="AM93" s="53">
        <f t="shared" si="42"/>
        <v>0</v>
      </c>
      <c r="AN93" s="53">
        <f t="shared" si="37"/>
        <v>0</v>
      </c>
      <c r="AO93" s="90">
        <f t="shared" si="43"/>
        <v>0</v>
      </c>
      <c r="AP93" s="90">
        <f t="shared" si="44"/>
        <v>0</v>
      </c>
      <c r="AQ93" s="29">
        <f t="shared" si="45"/>
        <v>0</v>
      </c>
      <c r="AR93" s="30">
        <f t="shared" si="46"/>
        <v>0</v>
      </c>
      <c r="AS93" s="29">
        <f t="shared" si="47"/>
        <v>0</v>
      </c>
      <c r="AT93" s="10">
        <f t="shared" si="38"/>
        <v>0</v>
      </c>
      <c r="AU93" s="10">
        <f t="shared" si="48"/>
        <v>0</v>
      </c>
      <c r="AV93" s="3"/>
      <c r="AW93" s="53">
        <f t="shared" si="54"/>
        <v>0</v>
      </c>
      <c r="AX93" s="53" t="str">
        <f t="shared" si="55"/>
        <v>0</v>
      </c>
      <c r="AY93" s="95">
        <f t="shared" si="49"/>
        <v>0</v>
      </c>
      <c r="AZ93" s="95">
        <f t="shared" si="56"/>
        <v>0</v>
      </c>
      <c r="BA93" s="36">
        <f t="shared" si="50"/>
        <v>0</v>
      </c>
      <c r="BB93" s="2"/>
      <c r="BC93" s="53">
        <f t="shared" si="57"/>
        <v>0</v>
      </c>
      <c r="BD93" s="53" t="str">
        <f t="shared" si="51"/>
        <v>0</v>
      </c>
      <c r="BE93" s="95">
        <f t="shared" si="52"/>
        <v>0</v>
      </c>
      <c r="BF93" s="95">
        <f t="shared" si="58"/>
        <v>0</v>
      </c>
      <c r="BG93" s="36" t="str">
        <f t="shared" si="53"/>
        <v>0</v>
      </c>
    </row>
    <row r="94" spans="1:59" ht="10.95" hidden="1" customHeight="1" x14ac:dyDescent="0.3">
      <c r="A94" s="15">
        <v>90</v>
      </c>
      <c r="B94" s="15"/>
      <c r="C94" s="143"/>
      <c r="D94" s="144"/>
      <c r="E94" s="15"/>
      <c r="F94" s="143"/>
      <c r="G94" s="147"/>
      <c r="H94" s="52"/>
      <c r="I94" s="14"/>
      <c r="J94" s="36"/>
      <c r="K94" s="36"/>
      <c r="L94" s="13"/>
      <c r="M94" s="56"/>
      <c r="N94" s="145"/>
      <c r="O94" s="146"/>
      <c r="P94" s="57"/>
      <c r="Q94" s="36"/>
      <c r="R94" s="36"/>
      <c r="S94" s="36"/>
      <c r="T94" s="36"/>
      <c r="U94" s="36"/>
      <c r="V94" s="36"/>
      <c r="W94" s="36" t="s">
        <v>151</v>
      </c>
      <c r="X94" s="143"/>
      <c r="Y94" s="144"/>
      <c r="Z94" s="147"/>
      <c r="AA94" s="12"/>
      <c r="AB94" s="89"/>
      <c r="AC94" s="89"/>
      <c r="AD94" s="76"/>
      <c r="AE94" s="75"/>
      <c r="AF94" s="11">
        <f t="shared" si="39"/>
        <v>0</v>
      </c>
      <c r="AJ94" s="127">
        <f t="shared" si="40"/>
        <v>0</v>
      </c>
      <c r="AL94" s="53">
        <f t="shared" si="41"/>
        <v>0</v>
      </c>
      <c r="AM94" s="53">
        <f t="shared" si="42"/>
        <v>0</v>
      </c>
      <c r="AN94" s="53">
        <f t="shared" si="37"/>
        <v>0</v>
      </c>
      <c r="AO94" s="90">
        <f t="shared" si="43"/>
        <v>0</v>
      </c>
      <c r="AP94" s="90">
        <f t="shared" si="44"/>
        <v>0</v>
      </c>
      <c r="AQ94" s="29">
        <f t="shared" si="45"/>
        <v>0</v>
      </c>
      <c r="AR94" s="30">
        <f t="shared" si="46"/>
        <v>0</v>
      </c>
      <c r="AS94" s="29">
        <f t="shared" si="47"/>
        <v>0</v>
      </c>
      <c r="AT94" s="10">
        <f t="shared" si="38"/>
        <v>0</v>
      </c>
      <c r="AU94" s="10">
        <f t="shared" si="48"/>
        <v>0</v>
      </c>
      <c r="AV94" s="3"/>
      <c r="AW94" s="53">
        <f t="shared" si="54"/>
        <v>0</v>
      </c>
      <c r="AX94" s="53" t="str">
        <f t="shared" si="55"/>
        <v>0</v>
      </c>
      <c r="AY94" s="95">
        <f t="shared" si="49"/>
        <v>0</v>
      </c>
      <c r="AZ94" s="95">
        <f t="shared" si="56"/>
        <v>0</v>
      </c>
      <c r="BA94" s="36">
        <f t="shared" si="50"/>
        <v>0</v>
      </c>
      <c r="BB94" s="2"/>
      <c r="BC94" s="53">
        <f t="shared" si="57"/>
        <v>0</v>
      </c>
      <c r="BD94" s="53" t="str">
        <f t="shared" si="51"/>
        <v>0</v>
      </c>
      <c r="BE94" s="95">
        <f t="shared" si="52"/>
        <v>0</v>
      </c>
      <c r="BF94" s="95">
        <f t="shared" si="58"/>
        <v>0</v>
      </c>
      <c r="BG94" s="36" t="str">
        <f t="shared" si="53"/>
        <v>0</v>
      </c>
    </row>
    <row r="95" spans="1:59" ht="10.95" hidden="1" customHeight="1" x14ac:dyDescent="0.3">
      <c r="A95" s="15">
        <v>91</v>
      </c>
      <c r="B95" s="15"/>
      <c r="C95" s="143"/>
      <c r="D95" s="144"/>
      <c r="E95" s="15"/>
      <c r="F95" s="143"/>
      <c r="G95" s="147"/>
      <c r="H95" s="52"/>
      <c r="I95" s="14"/>
      <c r="J95" s="36"/>
      <c r="K95" s="36"/>
      <c r="L95" s="13"/>
      <c r="M95" s="56"/>
      <c r="N95" s="145"/>
      <c r="O95" s="146"/>
      <c r="P95" s="57"/>
      <c r="Q95" s="36"/>
      <c r="R95" s="36"/>
      <c r="S95" s="36"/>
      <c r="T95" s="36"/>
      <c r="U95" s="36"/>
      <c r="V95" s="36"/>
      <c r="W95" s="36" t="s">
        <v>151</v>
      </c>
      <c r="X95" s="143"/>
      <c r="Y95" s="144"/>
      <c r="Z95" s="147"/>
      <c r="AA95" s="12"/>
      <c r="AB95" s="89"/>
      <c r="AC95" s="89"/>
      <c r="AD95" s="76"/>
      <c r="AE95" s="75"/>
      <c r="AF95" s="11">
        <f t="shared" si="39"/>
        <v>0</v>
      </c>
      <c r="AJ95" s="127">
        <f t="shared" si="40"/>
        <v>0</v>
      </c>
      <c r="AL95" s="53">
        <f t="shared" si="41"/>
        <v>0</v>
      </c>
      <c r="AM95" s="53">
        <f t="shared" si="42"/>
        <v>0</v>
      </c>
      <c r="AN95" s="53">
        <f t="shared" si="37"/>
        <v>0</v>
      </c>
      <c r="AO95" s="90">
        <f t="shared" si="43"/>
        <v>0</v>
      </c>
      <c r="AP95" s="90">
        <f t="shared" si="44"/>
        <v>0</v>
      </c>
      <c r="AQ95" s="29">
        <f t="shared" si="45"/>
        <v>0</v>
      </c>
      <c r="AR95" s="30">
        <f t="shared" si="46"/>
        <v>0</v>
      </c>
      <c r="AS95" s="29">
        <f t="shared" si="47"/>
        <v>0</v>
      </c>
      <c r="AT95" s="10">
        <f t="shared" si="38"/>
        <v>0</v>
      </c>
      <c r="AU95" s="10">
        <f t="shared" si="48"/>
        <v>0</v>
      </c>
      <c r="AV95" s="3"/>
      <c r="AW95" s="53">
        <f t="shared" si="54"/>
        <v>0</v>
      </c>
      <c r="AX95" s="53" t="str">
        <f t="shared" si="55"/>
        <v>0</v>
      </c>
      <c r="AY95" s="95">
        <f t="shared" si="49"/>
        <v>0</v>
      </c>
      <c r="AZ95" s="95">
        <f t="shared" si="56"/>
        <v>0</v>
      </c>
      <c r="BA95" s="36">
        <f t="shared" si="50"/>
        <v>0</v>
      </c>
      <c r="BB95" s="2"/>
      <c r="BC95" s="53">
        <f t="shared" si="57"/>
        <v>0</v>
      </c>
      <c r="BD95" s="53" t="str">
        <f t="shared" si="51"/>
        <v>0</v>
      </c>
      <c r="BE95" s="95">
        <f t="shared" si="52"/>
        <v>0</v>
      </c>
      <c r="BF95" s="95">
        <f t="shared" si="58"/>
        <v>0</v>
      </c>
      <c r="BG95" s="36" t="str">
        <f t="shared" si="53"/>
        <v>0</v>
      </c>
    </row>
    <row r="96" spans="1:59" ht="10.95" hidden="1" customHeight="1" x14ac:dyDescent="0.3">
      <c r="A96" s="15">
        <v>92</v>
      </c>
      <c r="B96" s="15"/>
      <c r="C96" s="143"/>
      <c r="D96" s="144"/>
      <c r="E96" s="15"/>
      <c r="F96" s="143"/>
      <c r="G96" s="147"/>
      <c r="H96" s="52"/>
      <c r="I96" s="14"/>
      <c r="J96" s="36"/>
      <c r="K96" s="36"/>
      <c r="L96" s="13"/>
      <c r="M96" s="56"/>
      <c r="N96" s="145"/>
      <c r="O96" s="146"/>
      <c r="P96" s="57"/>
      <c r="Q96" s="36"/>
      <c r="R96" s="36"/>
      <c r="S96" s="36"/>
      <c r="T96" s="36"/>
      <c r="U96" s="36"/>
      <c r="V96" s="36"/>
      <c r="W96" s="36" t="s">
        <v>151</v>
      </c>
      <c r="X96" s="143"/>
      <c r="Y96" s="144"/>
      <c r="Z96" s="147"/>
      <c r="AA96" s="12"/>
      <c r="AB96" s="89"/>
      <c r="AC96" s="89"/>
      <c r="AD96" s="76"/>
      <c r="AE96" s="75"/>
      <c r="AF96" s="11">
        <f t="shared" si="39"/>
        <v>0</v>
      </c>
      <c r="AJ96" s="127">
        <f t="shared" si="40"/>
        <v>0</v>
      </c>
      <c r="AL96" s="53">
        <f t="shared" si="41"/>
        <v>0</v>
      </c>
      <c r="AM96" s="53">
        <f t="shared" si="42"/>
        <v>0</v>
      </c>
      <c r="AN96" s="53">
        <f t="shared" si="37"/>
        <v>0</v>
      </c>
      <c r="AO96" s="90">
        <f t="shared" si="43"/>
        <v>0</v>
      </c>
      <c r="AP96" s="90">
        <f t="shared" si="44"/>
        <v>0</v>
      </c>
      <c r="AQ96" s="29">
        <f t="shared" si="45"/>
        <v>0</v>
      </c>
      <c r="AR96" s="30">
        <f t="shared" si="46"/>
        <v>0</v>
      </c>
      <c r="AS96" s="29">
        <f t="shared" si="47"/>
        <v>0</v>
      </c>
      <c r="AT96" s="10">
        <f t="shared" si="38"/>
        <v>0</v>
      </c>
      <c r="AU96" s="10">
        <f t="shared" si="48"/>
        <v>0</v>
      </c>
      <c r="AV96" s="3"/>
      <c r="AW96" s="53">
        <f t="shared" si="54"/>
        <v>0</v>
      </c>
      <c r="AX96" s="53" t="str">
        <f t="shared" si="55"/>
        <v>0</v>
      </c>
      <c r="AY96" s="95">
        <f t="shared" si="49"/>
        <v>0</v>
      </c>
      <c r="AZ96" s="95">
        <f t="shared" si="56"/>
        <v>0</v>
      </c>
      <c r="BA96" s="36">
        <f t="shared" si="50"/>
        <v>0</v>
      </c>
      <c r="BB96" s="2"/>
      <c r="BC96" s="53">
        <f t="shared" si="57"/>
        <v>0</v>
      </c>
      <c r="BD96" s="53" t="str">
        <f t="shared" si="51"/>
        <v>0</v>
      </c>
      <c r="BE96" s="95">
        <f t="shared" si="52"/>
        <v>0</v>
      </c>
      <c r="BF96" s="95">
        <f t="shared" si="58"/>
        <v>0</v>
      </c>
      <c r="BG96" s="36" t="str">
        <f t="shared" si="53"/>
        <v>0</v>
      </c>
    </row>
    <row r="97" spans="1:59" ht="10.95" hidden="1" customHeight="1" x14ac:dyDescent="0.3">
      <c r="A97" s="15">
        <v>93</v>
      </c>
      <c r="B97" s="15"/>
      <c r="C97" s="143"/>
      <c r="D97" s="144"/>
      <c r="E97" s="15"/>
      <c r="F97" s="143"/>
      <c r="G97" s="147"/>
      <c r="H97" s="52"/>
      <c r="I97" s="14"/>
      <c r="J97" s="36"/>
      <c r="K97" s="36"/>
      <c r="L97" s="13"/>
      <c r="M97" s="56"/>
      <c r="N97" s="145"/>
      <c r="O97" s="146"/>
      <c r="P97" s="57"/>
      <c r="Q97" s="36"/>
      <c r="R97" s="36"/>
      <c r="S97" s="36"/>
      <c r="T97" s="36"/>
      <c r="U97" s="36"/>
      <c r="V97" s="36"/>
      <c r="W97" s="36" t="s">
        <v>151</v>
      </c>
      <c r="X97" s="143"/>
      <c r="Y97" s="144"/>
      <c r="Z97" s="147"/>
      <c r="AA97" s="12"/>
      <c r="AB97" s="89"/>
      <c r="AC97" s="89"/>
      <c r="AD97" s="76"/>
      <c r="AE97" s="75"/>
      <c r="AF97" s="11">
        <f t="shared" si="39"/>
        <v>0</v>
      </c>
      <c r="AJ97" s="127">
        <f t="shared" si="40"/>
        <v>0</v>
      </c>
      <c r="AL97" s="53">
        <f t="shared" si="41"/>
        <v>0</v>
      </c>
      <c r="AM97" s="53">
        <f t="shared" si="42"/>
        <v>0</v>
      </c>
      <c r="AN97" s="53">
        <f t="shared" si="37"/>
        <v>0</v>
      </c>
      <c r="AO97" s="90">
        <f t="shared" si="43"/>
        <v>0</v>
      </c>
      <c r="AP97" s="90">
        <f t="shared" si="44"/>
        <v>0</v>
      </c>
      <c r="AQ97" s="29">
        <f t="shared" si="45"/>
        <v>0</v>
      </c>
      <c r="AR97" s="30">
        <f t="shared" si="46"/>
        <v>0</v>
      </c>
      <c r="AS97" s="29">
        <f t="shared" si="47"/>
        <v>0</v>
      </c>
      <c r="AT97" s="10">
        <f t="shared" si="38"/>
        <v>0</v>
      </c>
      <c r="AU97" s="10">
        <f t="shared" si="48"/>
        <v>0</v>
      </c>
      <c r="AV97" s="3"/>
      <c r="AW97" s="53">
        <f t="shared" si="54"/>
        <v>0</v>
      </c>
      <c r="AX97" s="53" t="str">
        <f t="shared" si="55"/>
        <v>0</v>
      </c>
      <c r="AY97" s="95">
        <f t="shared" si="49"/>
        <v>0</v>
      </c>
      <c r="AZ97" s="95">
        <f t="shared" si="56"/>
        <v>0</v>
      </c>
      <c r="BA97" s="36">
        <f t="shared" si="50"/>
        <v>0</v>
      </c>
      <c r="BB97" s="2"/>
      <c r="BC97" s="53">
        <f t="shared" si="57"/>
        <v>0</v>
      </c>
      <c r="BD97" s="53" t="str">
        <f t="shared" si="51"/>
        <v>0</v>
      </c>
      <c r="BE97" s="95">
        <f t="shared" si="52"/>
        <v>0</v>
      </c>
      <c r="BF97" s="95">
        <f t="shared" si="58"/>
        <v>0</v>
      </c>
      <c r="BG97" s="36" t="str">
        <f t="shared" si="53"/>
        <v>0</v>
      </c>
    </row>
    <row r="98" spans="1:59" ht="10.95" hidden="1" customHeight="1" x14ac:dyDescent="0.3">
      <c r="A98" s="15">
        <v>94</v>
      </c>
      <c r="B98" s="15"/>
      <c r="C98" s="143"/>
      <c r="D98" s="144"/>
      <c r="E98" s="15"/>
      <c r="F98" s="143"/>
      <c r="G98" s="147"/>
      <c r="H98" s="52"/>
      <c r="I98" s="14"/>
      <c r="J98" s="36"/>
      <c r="K98" s="36"/>
      <c r="L98" s="13"/>
      <c r="M98" s="56"/>
      <c r="N98" s="145"/>
      <c r="O98" s="146"/>
      <c r="P98" s="57"/>
      <c r="Q98" s="36"/>
      <c r="R98" s="36"/>
      <c r="S98" s="36"/>
      <c r="T98" s="36"/>
      <c r="U98" s="36"/>
      <c r="V98" s="36"/>
      <c r="W98" s="36" t="s">
        <v>151</v>
      </c>
      <c r="X98" s="143"/>
      <c r="Y98" s="144"/>
      <c r="Z98" s="147"/>
      <c r="AA98" s="12"/>
      <c r="AB98" s="89"/>
      <c r="AC98" s="89"/>
      <c r="AD98" s="76"/>
      <c r="AE98" s="75"/>
      <c r="AF98" s="11">
        <f t="shared" si="39"/>
        <v>0</v>
      </c>
      <c r="AJ98" s="127">
        <f t="shared" si="40"/>
        <v>0</v>
      </c>
      <c r="AL98" s="53">
        <f t="shared" si="41"/>
        <v>0</v>
      </c>
      <c r="AM98" s="53">
        <f t="shared" si="42"/>
        <v>0</v>
      </c>
      <c r="AN98" s="53">
        <f t="shared" si="37"/>
        <v>0</v>
      </c>
      <c r="AO98" s="90">
        <f t="shared" si="43"/>
        <v>0</v>
      </c>
      <c r="AP98" s="90">
        <f t="shared" si="44"/>
        <v>0</v>
      </c>
      <c r="AQ98" s="29">
        <f t="shared" si="45"/>
        <v>0</v>
      </c>
      <c r="AR98" s="30">
        <f t="shared" si="46"/>
        <v>0</v>
      </c>
      <c r="AS98" s="29">
        <f t="shared" si="47"/>
        <v>0</v>
      </c>
      <c r="AT98" s="10">
        <f t="shared" si="38"/>
        <v>0</v>
      </c>
      <c r="AU98" s="10">
        <f t="shared" si="48"/>
        <v>0</v>
      </c>
      <c r="AV98" s="3"/>
      <c r="AW98" s="53">
        <f t="shared" si="54"/>
        <v>0</v>
      </c>
      <c r="AX98" s="53" t="str">
        <f t="shared" si="55"/>
        <v>0</v>
      </c>
      <c r="AY98" s="95">
        <f t="shared" si="49"/>
        <v>0</v>
      </c>
      <c r="AZ98" s="95">
        <f t="shared" si="56"/>
        <v>0</v>
      </c>
      <c r="BA98" s="36">
        <f t="shared" si="50"/>
        <v>0</v>
      </c>
      <c r="BB98" s="2"/>
      <c r="BC98" s="53">
        <f t="shared" si="57"/>
        <v>0</v>
      </c>
      <c r="BD98" s="53" t="str">
        <f t="shared" si="51"/>
        <v>0</v>
      </c>
      <c r="BE98" s="95">
        <f t="shared" si="52"/>
        <v>0</v>
      </c>
      <c r="BF98" s="95">
        <f t="shared" si="58"/>
        <v>0</v>
      </c>
      <c r="BG98" s="36" t="str">
        <f t="shared" si="53"/>
        <v>0</v>
      </c>
    </row>
    <row r="99" spans="1:59" ht="10.95" hidden="1" customHeight="1" x14ac:dyDescent="0.3">
      <c r="A99" s="15">
        <v>95</v>
      </c>
      <c r="B99" s="15"/>
      <c r="C99" s="143"/>
      <c r="D99" s="144"/>
      <c r="E99" s="15"/>
      <c r="F99" s="143"/>
      <c r="G99" s="147"/>
      <c r="H99" s="52"/>
      <c r="I99" s="14"/>
      <c r="J99" s="36"/>
      <c r="K99" s="36"/>
      <c r="L99" s="13"/>
      <c r="M99" s="56"/>
      <c r="N99" s="145"/>
      <c r="O99" s="146"/>
      <c r="P99" s="57"/>
      <c r="Q99" s="36"/>
      <c r="R99" s="36"/>
      <c r="S99" s="36"/>
      <c r="T99" s="36"/>
      <c r="U99" s="36"/>
      <c r="V99" s="36"/>
      <c r="W99" s="36" t="s">
        <v>151</v>
      </c>
      <c r="X99" s="143"/>
      <c r="Y99" s="144"/>
      <c r="Z99" s="147"/>
      <c r="AA99" s="12"/>
      <c r="AB99" s="89"/>
      <c r="AC99" s="89"/>
      <c r="AD99" s="76"/>
      <c r="AE99" s="75"/>
      <c r="AF99" s="11">
        <f t="shared" si="39"/>
        <v>0</v>
      </c>
      <c r="AJ99" s="127">
        <f t="shared" si="40"/>
        <v>0</v>
      </c>
      <c r="AL99" s="53">
        <f t="shared" si="41"/>
        <v>0</v>
      </c>
      <c r="AM99" s="53">
        <f t="shared" si="42"/>
        <v>0</v>
      </c>
      <c r="AN99" s="53">
        <f t="shared" si="37"/>
        <v>0</v>
      </c>
      <c r="AO99" s="90">
        <f t="shared" si="43"/>
        <v>0</v>
      </c>
      <c r="AP99" s="90">
        <f t="shared" si="44"/>
        <v>0</v>
      </c>
      <c r="AQ99" s="29">
        <f t="shared" si="45"/>
        <v>0</v>
      </c>
      <c r="AR99" s="30">
        <f t="shared" si="46"/>
        <v>0</v>
      </c>
      <c r="AS99" s="29">
        <f t="shared" si="47"/>
        <v>0</v>
      </c>
      <c r="AT99" s="10">
        <f t="shared" si="38"/>
        <v>0</v>
      </c>
      <c r="AU99" s="10">
        <f t="shared" si="48"/>
        <v>0</v>
      </c>
      <c r="AV99" s="3"/>
      <c r="AW99" s="53">
        <f t="shared" si="54"/>
        <v>0</v>
      </c>
      <c r="AX99" s="53" t="str">
        <f t="shared" si="55"/>
        <v>0</v>
      </c>
      <c r="AY99" s="95">
        <f t="shared" si="49"/>
        <v>0</v>
      </c>
      <c r="AZ99" s="95">
        <f t="shared" si="56"/>
        <v>0</v>
      </c>
      <c r="BA99" s="36">
        <f t="shared" si="50"/>
        <v>0</v>
      </c>
      <c r="BB99" s="2"/>
      <c r="BC99" s="53">
        <f t="shared" si="57"/>
        <v>0</v>
      </c>
      <c r="BD99" s="53" t="str">
        <f t="shared" si="51"/>
        <v>0</v>
      </c>
      <c r="BE99" s="95">
        <f t="shared" si="52"/>
        <v>0</v>
      </c>
      <c r="BF99" s="95">
        <f t="shared" si="58"/>
        <v>0</v>
      </c>
      <c r="BG99" s="36" t="str">
        <f t="shared" si="53"/>
        <v>0</v>
      </c>
    </row>
    <row r="100" spans="1:59" ht="10.95" hidden="1" customHeight="1" x14ac:dyDescent="0.3">
      <c r="A100" s="15">
        <v>96</v>
      </c>
      <c r="B100" s="15"/>
      <c r="C100" s="143"/>
      <c r="D100" s="144"/>
      <c r="E100" s="15"/>
      <c r="F100" s="143"/>
      <c r="G100" s="147"/>
      <c r="H100" s="52"/>
      <c r="I100" s="14"/>
      <c r="J100" s="36"/>
      <c r="K100" s="36"/>
      <c r="L100" s="13"/>
      <c r="M100" s="56"/>
      <c r="N100" s="145"/>
      <c r="O100" s="146"/>
      <c r="P100" s="57"/>
      <c r="Q100" s="36"/>
      <c r="R100" s="36"/>
      <c r="S100" s="36"/>
      <c r="T100" s="36"/>
      <c r="U100" s="36"/>
      <c r="V100" s="36"/>
      <c r="W100" s="36" t="s">
        <v>151</v>
      </c>
      <c r="X100" s="143"/>
      <c r="Y100" s="144"/>
      <c r="Z100" s="147"/>
      <c r="AA100" s="12"/>
      <c r="AB100" s="89"/>
      <c r="AC100" s="89"/>
      <c r="AD100" s="76"/>
      <c r="AE100" s="75"/>
      <c r="AF100" s="11">
        <f t="shared" si="39"/>
        <v>0</v>
      </c>
      <c r="AJ100" s="127">
        <f t="shared" si="40"/>
        <v>0</v>
      </c>
      <c r="AL100" s="53">
        <f t="shared" si="41"/>
        <v>0</v>
      </c>
      <c r="AM100" s="53">
        <f t="shared" si="42"/>
        <v>0</v>
      </c>
      <c r="AN100" s="53">
        <f t="shared" si="37"/>
        <v>0</v>
      </c>
      <c r="AO100" s="90">
        <f t="shared" si="43"/>
        <v>0</v>
      </c>
      <c r="AP100" s="90">
        <f t="shared" si="44"/>
        <v>0</v>
      </c>
      <c r="AQ100" s="29">
        <f t="shared" si="45"/>
        <v>0</v>
      </c>
      <c r="AR100" s="30">
        <f t="shared" si="46"/>
        <v>0</v>
      </c>
      <c r="AS100" s="29">
        <f t="shared" si="47"/>
        <v>0</v>
      </c>
      <c r="AT100" s="10">
        <f t="shared" si="38"/>
        <v>0</v>
      </c>
      <c r="AU100" s="10">
        <f t="shared" si="48"/>
        <v>0</v>
      </c>
      <c r="AV100" s="3"/>
      <c r="AW100" s="53">
        <f t="shared" si="54"/>
        <v>0</v>
      </c>
      <c r="AX100" s="53" t="str">
        <f t="shared" si="55"/>
        <v>0</v>
      </c>
      <c r="AY100" s="95">
        <f t="shared" si="49"/>
        <v>0</v>
      </c>
      <c r="AZ100" s="95">
        <f t="shared" si="56"/>
        <v>0</v>
      </c>
      <c r="BA100" s="36">
        <f t="shared" si="50"/>
        <v>0</v>
      </c>
      <c r="BB100" s="2"/>
      <c r="BC100" s="53">
        <f t="shared" si="57"/>
        <v>0</v>
      </c>
      <c r="BD100" s="53" t="str">
        <f t="shared" si="51"/>
        <v>0</v>
      </c>
      <c r="BE100" s="95">
        <f t="shared" si="52"/>
        <v>0</v>
      </c>
      <c r="BF100" s="95">
        <f t="shared" si="58"/>
        <v>0</v>
      </c>
      <c r="BG100" s="36" t="str">
        <f t="shared" si="53"/>
        <v>0</v>
      </c>
    </row>
    <row r="101" spans="1:59" ht="10.95" hidden="1" customHeight="1" x14ac:dyDescent="0.3">
      <c r="A101" s="15">
        <v>97</v>
      </c>
      <c r="B101" s="15"/>
      <c r="C101" s="143"/>
      <c r="D101" s="144"/>
      <c r="E101" s="15"/>
      <c r="F101" s="143"/>
      <c r="G101" s="147"/>
      <c r="H101" s="52"/>
      <c r="I101" s="14"/>
      <c r="J101" s="36"/>
      <c r="K101" s="36"/>
      <c r="L101" s="13"/>
      <c r="M101" s="56"/>
      <c r="N101" s="145"/>
      <c r="O101" s="146"/>
      <c r="P101" s="57"/>
      <c r="Q101" s="36"/>
      <c r="R101" s="36"/>
      <c r="S101" s="36"/>
      <c r="T101" s="36"/>
      <c r="U101" s="36"/>
      <c r="V101" s="36"/>
      <c r="W101" s="36" t="s">
        <v>151</v>
      </c>
      <c r="X101" s="143"/>
      <c r="Y101" s="144"/>
      <c r="Z101" s="147"/>
      <c r="AA101" s="12"/>
      <c r="AB101" s="89"/>
      <c r="AC101" s="89"/>
      <c r="AD101" s="76"/>
      <c r="AE101" s="75"/>
      <c r="AF101" s="11">
        <f t="shared" ref="AF101:AF132" si="59">SUM(AT101+AU101)</f>
        <v>0</v>
      </c>
      <c r="AJ101" s="127">
        <f t="shared" ref="AJ101:AJ132" si="60">(I101*H101)/12</f>
        <v>0</v>
      </c>
      <c r="AL101" s="53">
        <f t="shared" ref="AL101:AL132" si="61">IFERROR((AY101/$B$3)*$AA$2,0)</f>
        <v>0</v>
      </c>
      <c r="AM101" s="53">
        <f t="shared" ref="AM101:AM132" si="62">AA101+AL101</f>
        <v>0</v>
      </c>
      <c r="AN101" s="53">
        <f t="shared" si="37"/>
        <v>0</v>
      </c>
      <c r="AO101" s="90">
        <f t="shared" ref="AO101:AO132" si="63">IFERROR((AY101/$B$3)*($AD$2*$AH$5),0)</f>
        <v>0</v>
      </c>
      <c r="AP101" s="90">
        <f t="shared" ref="AP101:AP132" si="64">IF($S$3="Yes",(AY101/$B$3)*($AH$5*2),0)</f>
        <v>0</v>
      </c>
      <c r="AQ101" s="29">
        <f t="shared" ref="AQ101:AQ132" si="65">((AZ101+BF101))*$AH$8</f>
        <v>0</v>
      </c>
      <c r="AR101" s="30">
        <f t="shared" ref="AR101:AR132" si="66">AF101*$AC$210</f>
        <v>0</v>
      </c>
      <c r="AS101" s="29">
        <f t="shared" ref="AS101:AS132" si="67">AF101-AT101-AR101-AQ101</f>
        <v>0</v>
      </c>
      <c r="AT101" s="10">
        <f t="shared" si="38"/>
        <v>0</v>
      </c>
      <c r="AU101" s="10">
        <f t="shared" ref="AU101:AU132" si="68">AT101*$AC$214</f>
        <v>0</v>
      </c>
      <c r="AV101" s="3"/>
      <c r="AW101" s="53">
        <f t="shared" si="54"/>
        <v>0</v>
      </c>
      <c r="AX101" s="53" t="str">
        <f t="shared" si="55"/>
        <v>0</v>
      </c>
      <c r="AY101" s="95">
        <f t="shared" ref="AY101:AY132" si="69">(I101*J101*H101)/144</f>
        <v>0</v>
      </c>
      <c r="AZ101" s="95">
        <f t="shared" si="56"/>
        <v>0</v>
      </c>
      <c r="BA101" s="36">
        <f t="shared" ref="BA101:BA132" si="70">H101</f>
        <v>0</v>
      </c>
      <c r="BB101" s="2"/>
      <c r="BC101" s="53">
        <f t="shared" si="57"/>
        <v>0</v>
      </c>
      <c r="BD101" s="53" t="str">
        <f t="shared" ref="BD101:BD132" si="71">IF($V$3="Yes",(BC101*0.4),"0")</f>
        <v>0</v>
      </c>
      <c r="BE101" s="95">
        <f t="shared" ref="BE101:BE132" si="72">IF(W101="Yes",((I101*J101*H101)/144),0)</f>
        <v>0</v>
      </c>
      <c r="BF101" s="95">
        <f t="shared" si="58"/>
        <v>0</v>
      </c>
      <c r="BG101" s="36" t="str">
        <f t="shared" ref="BG101:BG132" si="73">IF(W101="Yes",H101,"0")</f>
        <v>0</v>
      </c>
    </row>
    <row r="102" spans="1:59" ht="10.95" hidden="1" customHeight="1" x14ac:dyDescent="0.3">
      <c r="A102" s="15">
        <v>98</v>
      </c>
      <c r="B102" s="15"/>
      <c r="C102" s="143"/>
      <c r="D102" s="144"/>
      <c r="E102" s="15"/>
      <c r="F102" s="143"/>
      <c r="G102" s="147"/>
      <c r="H102" s="52"/>
      <c r="I102" s="14"/>
      <c r="J102" s="36"/>
      <c r="K102" s="36"/>
      <c r="L102" s="13"/>
      <c r="M102" s="56"/>
      <c r="N102" s="145"/>
      <c r="O102" s="146"/>
      <c r="P102" s="57"/>
      <c r="Q102" s="36"/>
      <c r="R102" s="36"/>
      <c r="S102" s="36"/>
      <c r="T102" s="36"/>
      <c r="U102" s="36"/>
      <c r="V102" s="36"/>
      <c r="W102" s="36" t="s">
        <v>151</v>
      </c>
      <c r="X102" s="143"/>
      <c r="Y102" s="144"/>
      <c r="Z102" s="147"/>
      <c r="AA102" s="12"/>
      <c r="AB102" s="89"/>
      <c r="AC102" s="89"/>
      <c r="AD102" s="76"/>
      <c r="AE102" s="75"/>
      <c r="AF102" s="11">
        <f t="shared" si="59"/>
        <v>0</v>
      </c>
      <c r="AJ102" s="127">
        <f t="shared" si="60"/>
        <v>0</v>
      </c>
      <c r="AL102" s="53">
        <f t="shared" si="61"/>
        <v>0</v>
      </c>
      <c r="AM102" s="53">
        <f t="shared" si="62"/>
        <v>0</v>
      </c>
      <c r="AN102" s="53">
        <f t="shared" si="37"/>
        <v>0</v>
      </c>
      <c r="AO102" s="90">
        <f t="shared" si="63"/>
        <v>0</v>
      </c>
      <c r="AP102" s="90">
        <f t="shared" si="64"/>
        <v>0</v>
      </c>
      <c r="AQ102" s="29">
        <f t="shared" si="65"/>
        <v>0</v>
      </c>
      <c r="AR102" s="30">
        <f t="shared" si="66"/>
        <v>0</v>
      </c>
      <c r="AS102" s="29">
        <f t="shared" si="67"/>
        <v>0</v>
      </c>
      <c r="AT102" s="10">
        <f t="shared" si="38"/>
        <v>0</v>
      </c>
      <c r="AU102" s="10">
        <f t="shared" si="68"/>
        <v>0</v>
      </c>
      <c r="AV102" s="3"/>
      <c r="AW102" s="53">
        <f t="shared" si="54"/>
        <v>0</v>
      </c>
      <c r="AX102" s="53" t="str">
        <f t="shared" si="55"/>
        <v>0</v>
      </c>
      <c r="AY102" s="95">
        <f t="shared" si="69"/>
        <v>0</v>
      </c>
      <c r="AZ102" s="95">
        <f t="shared" si="56"/>
        <v>0</v>
      </c>
      <c r="BA102" s="36">
        <f t="shared" si="70"/>
        <v>0</v>
      </c>
      <c r="BB102" s="2"/>
      <c r="BC102" s="53">
        <f t="shared" si="57"/>
        <v>0</v>
      </c>
      <c r="BD102" s="53" t="str">
        <f t="shared" si="71"/>
        <v>0</v>
      </c>
      <c r="BE102" s="95">
        <f t="shared" si="72"/>
        <v>0</v>
      </c>
      <c r="BF102" s="95">
        <f t="shared" si="58"/>
        <v>0</v>
      </c>
      <c r="BG102" s="36" t="str">
        <f t="shared" si="73"/>
        <v>0</v>
      </c>
    </row>
    <row r="103" spans="1:59" ht="10.95" hidden="1" customHeight="1" x14ac:dyDescent="0.3">
      <c r="A103" s="15">
        <v>99</v>
      </c>
      <c r="B103" s="15"/>
      <c r="C103" s="143"/>
      <c r="D103" s="144"/>
      <c r="E103" s="15"/>
      <c r="F103" s="143"/>
      <c r="G103" s="147"/>
      <c r="H103" s="52"/>
      <c r="I103" s="14"/>
      <c r="J103" s="36"/>
      <c r="K103" s="36"/>
      <c r="L103" s="13"/>
      <c r="M103" s="56"/>
      <c r="N103" s="145"/>
      <c r="O103" s="146"/>
      <c r="P103" s="57"/>
      <c r="Q103" s="36"/>
      <c r="R103" s="36"/>
      <c r="S103" s="36"/>
      <c r="T103" s="36"/>
      <c r="U103" s="36"/>
      <c r="V103" s="36"/>
      <c r="W103" s="36" t="s">
        <v>151</v>
      </c>
      <c r="X103" s="143"/>
      <c r="Y103" s="144"/>
      <c r="Z103" s="147"/>
      <c r="AA103" s="12"/>
      <c r="AB103" s="89"/>
      <c r="AC103" s="89"/>
      <c r="AD103" s="76"/>
      <c r="AE103" s="75"/>
      <c r="AF103" s="11">
        <f t="shared" si="59"/>
        <v>0</v>
      </c>
      <c r="AJ103" s="127">
        <f t="shared" si="60"/>
        <v>0</v>
      </c>
      <c r="AL103" s="53">
        <f t="shared" si="61"/>
        <v>0</v>
      </c>
      <c r="AM103" s="53">
        <f t="shared" si="62"/>
        <v>0</v>
      </c>
      <c r="AN103" s="53">
        <f t="shared" si="37"/>
        <v>0</v>
      </c>
      <c r="AO103" s="90">
        <f t="shared" si="63"/>
        <v>0</v>
      </c>
      <c r="AP103" s="90">
        <f t="shared" si="64"/>
        <v>0</v>
      </c>
      <c r="AQ103" s="29">
        <f t="shared" si="65"/>
        <v>0</v>
      </c>
      <c r="AR103" s="30">
        <f t="shared" si="66"/>
        <v>0</v>
      </c>
      <c r="AS103" s="29">
        <f t="shared" si="67"/>
        <v>0</v>
      </c>
      <c r="AT103" s="10">
        <f t="shared" si="38"/>
        <v>0</v>
      </c>
      <c r="AU103" s="10">
        <f t="shared" si="68"/>
        <v>0</v>
      </c>
      <c r="AV103" s="3"/>
      <c r="AW103" s="53">
        <f t="shared" si="54"/>
        <v>0</v>
      </c>
      <c r="AX103" s="53" t="str">
        <f t="shared" si="55"/>
        <v>0</v>
      </c>
      <c r="AY103" s="95">
        <f t="shared" si="69"/>
        <v>0</v>
      </c>
      <c r="AZ103" s="95">
        <f t="shared" si="56"/>
        <v>0</v>
      </c>
      <c r="BA103" s="36">
        <f t="shared" si="70"/>
        <v>0</v>
      </c>
      <c r="BB103" s="2"/>
      <c r="BC103" s="53">
        <f t="shared" si="57"/>
        <v>0</v>
      </c>
      <c r="BD103" s="53" t="str">
        <f t="shared" si="71"/>
        <v>0</v>
      </c>
      <c r="BE103" s="95">
        <f t="shared" si="72"/>
        <v>0</v>
      </c>
      <c r="BF103" s="95">
        <f t="shared" si="58"/>
        <v>0</v>
      </c>
      <c r="BG103" s="36" t="str">
        <f t="shared" si="73"/>
        <v>0</v>
      </c>
    </row>
    <row r="104" spans="1:59" ht="10.95" hidden="1" customHeight="1" x14ac:dyDescent="0.3">
      <c r="A104" s="15">
        <v>100</v>
      </c>
      <c r="B104" s="15"/>
      <c r="C104" s="143"/>
      <c r="D104" s="144"/>
      <c r="E104" s="15"/>
      <c r="F104" s="143"/>
      <c r="G104" s="147"/>
      <c r="H104" s="52"/>
      <c r="I104" s="14"/>
      <c r="J104" s="36"/>
      <c r="K104" s="36"/>
      <c r="L104" s="13"/>
      <c r="M104" s="56"/>
      <c r="N104" s="145"/>
      <c r="O104" s="146"/>
      <c r="P104" s="57"/>
      <c r="Q104" s="36"/>
      <c r="R104" s="36"/>
      <c r="S104" s="36"/>
      <c r="T104" s="36"/>
      <c r="U104" s="36"/>
      <c r="V104" s="36"/>
      <c r="W104" s="36" t="s">
        <v>151</v>
      </c>
      <c r="X104" s="143"/>
      <c r="Y104" s="144"/>
      <c r="Z104" s="147"/>
      <c r="AA104" s="12"/>
      <c r="AB104" s="89"/>
      <c r="AC104" s="89"/>
      <c r="AD104" s="76"/>
      <c r="AE104" s="75"/>
      <c r="AF104" s="11">
        <f t="shared" si="59"/>
        <v>0</v>
      </c>
      <c r="AJ104" s="127">
        <f t="shared" si="60"/>
        <v>0</v>
      </c>
      <c r="AL104" s="53">
        <f t="shared" si="61"/>
        <v>0</v>
      </c>
      <c r="AM104" s="53">
        <f t="shared" si="62"/>
        <v>0</v>
      </c>
      <c r="AN104" s="53">
        <f t="shared" si="37"/>
        <v>0</v>
      </c>
      <c r="AO104" s="90">
        <f t="shared" si="63"/>
        <v>0</v>
      </c>
      <c r="AP104" s="90">
        <f t="shared" si="64"/>
        <v>0</v>
      </c>
      <c r="AQ104" s="29">
        <f t="shared" si="65"/>
        <v>0</v>
      </c>
      <c r="AR104" s="30">
        <f t="shared" si="66"/>
        <v>0</v>
      </c>
      <c r="AS104" s="29">
        <f t="shared" si="67"/>
        <v>0</v>
      </c>
      <c r="AT104" s="10">
        <f t="shared" si="38"/>
        <v>0</v>
      </c>
      <c r="AU104" s="10">
        <f t="shared" si="68"/>
        <v>0</v>
      </c>
      <c r="AV104" s="3"/>
      <c r="AW104" s="53">
        <f t="shared" si="54"/>
        <v>0</v>
      </c>
      <c r="AX104" s="53" t="str">
        <f t="shared" si="55"/>
        <v>0</v>
      </c>
      <c r="AY104" s="95">
        <f t="shared" si="69"/>
        <v>0</v>
      </c>
      <c r="AZ104" s="95">
        <f t="shared" si="56"/>
        <v>0</v>
      </c>
      <c r="BA104" s="36">
        <f t="shared" si="70"/>
        <v>0</v>
      </c>
      <c r="BB104" s="2"/>
      <c r="BC104" s="53">
        <f t="shared" si="57"/>
        <v>0</v>
      </c>
      <c r="BD104" s="53" t="str">
        <f t="shared" si="71"/>
        <v>0</v>
      </c>
      <c r="BE104" s="95">
        <f t="shared" si="72"/>
        <v>0</v>
      </c>
      <c r="BF104" s="95">
        <f t="shared" si="58"/>
        <v>0</v>
      </c>
      <c r="BG104" s="36" t="str">
        <f t="shared" si="73"/>
        <v>0</v>
      </c>
    </row>
    <row r="105" spans="1:59" ht="10.95" hidden="1" customHeight="1" x14ac:dyDescent="0.3">
      <c r="A105" s="15">
        <v>101</v>
      </c>
      <c r="B105" s="15"/>
      <c r="C105" s="143"/>
      <c r="D105" s="144"/>
      <c r="E105" s="15"/>
      <c r="F105" s="143"/>
      <c r="G105" s="147"/>
      <c r="H105" s="52"/>
      <c r="I105" s="14"/>
      <c r="J105" s="36"/>
      <c r="K105" s="36"/>
      <c r="L105" s="13"/>
      <c r="M105" s="56"/>
      <c r="N105" s="145"/>
      <c r="O105" s="146"/>
      <c r="P105" s="57"/>
      <c r="Q105" s="36"/>
      <c r="R105" s="36"/>
      <c r="S105" s="36"/>
      <c r="T105" s="36"/>
      <c r="U105" s="36"/>
      <c r="V105" s="36"/>
      <c r="W105" s="36" t="s">
        <v>151</v>
      </c>
      <c r="X105" s="143"/>
      <c r="Y105" s="144"/>
      <c r="Z105" s="147"/>
      <c r="AA105" s="12"/>
      <c r="AB105" s="89"/>
      <c r="AC105" s="89"/>
      <c r="AD105" s="76"/>
      <c r="AE105" s="75"/>
      <c r="AF105" s="11">
        <f t="shared" si="59"/>
        <v>0</v>
      </c>
      <c r="AJ105" s="127">
        <f t="shared" si="60"/>
        <v>0</v>
      </c>
      <c r="AL105" s="53">
        <f t="shared" si="61"/>
        <v>0</v>
      </c>
      <c r="AM105" s="53">
        <f t="shared" si="62"/>
        <v>0</v>
      </c>
      <c r="AN105" s="53">
        <f t="shared" si="37"/>
        <v>0</v>
      </c>
      <c r="AO105" s="90">
        <f t="shared" si="63"/>
        <v>0</v>
      </c>
      <c r="AP105" s="90">
        <f t="shared" si="64"/>
        <v>0</v>
      </c>
      <c r="AQ105" s="29">
        <f t="shared" si="65"/>
        <v>0</v>
      </c>
      <c r="AR105" s="30">
        <f t="shared" si="66"/>
        <v>0</v>
      </c>
      <c r="AS105" s="29">
        <f t="shared" si="67"/>
        <v>0</v>
      </c>
      <c r="AT105" s="10">
        <f t="shared" si="38"/>
        <v>0</v>
      </c>
      <c r="AU105" s="10">
        <f t="shared" si="68"/>
        <v>0</v>
      </c>
      <c r="AV105" s="3"/>
      <c r="AW105" s="53">
        <f t="shared" si="54"/>
        <v>0</v>
      </c>
      <c r="AX105" s="53" t="str">
        <f t="shared" si="55"/>
        <v>0</v>
      </c>
      <c r="AY105" s="95">
        <f t="shared" si="69"/>
        <v>0</v>
      </c>
      <c r="AZ105" s="95">
        <f t="shared" si="56"/>
        <v>0</v>
      </c>
      <c r="BA105" s="36">
        <f t="shared" si="70"/>
        <v>0</v>
      </c>
      <c r="BB105" s="2"/>
      <c r="BC105" s="53">
        <f t="shared" si="57"/>
        <v>0</v>
      </c>
      <c r="BD105" s="53" t="str">
        <f t="shared" si="71"/>
        <v>0</v>
      </c>
      <c r="BE105" s="95">
        <f t="shared" si="72"/>
        <v>0</v>
      </c>
      <c r="BF105" s="95">
        <f t="shared" si="58"/>
        <v>0</v>
      </c>
      <c r="BG105" s="36" t="str">
        <f t="shared" si="73"/>
        <v>0</v>
      </c>
    </row>
    <row r="106" spans="1:59" ht="10.95" hidden="1" customHeight="1" x14ac:dyDescent="0.3">
      <c r="A106" s="15">
        <v>102</v>
      </c>
      <c r="B106" s="15"/>
      <c r="C106" s="143"/>
      <c r="D106" s="144"/>
      <c r="E106" s="15"/>
      <c r="F106" s="143"/>
      <c r="G106" s="147"/>
      <c r="H106" s="52"/>
      <c r="I106" s="14"/>
      <c r="J106" s="36"/>
      <c r="K106" s="36"/>
      <c r="L106" s="13"/>
      <c r="M106" s="56"/>
      <c r="N106" s="145"/>
      <c r="O106" s="146"/>
      <c r="P106" s="57"/>
      <c r="Q106" s="36"/>
      <c r="R106" s="36"/>
      <c r="S106" s="36"/>
      <c r="T106" s="36"/>
      <c r="U106" s="36"/>
      <c r="V106" s="36"/>
      <c r="W106" s="36" t="s">
        <v>151</v>
      </c>
      <c r="X106" s="143"/>
      <c r="Y106" s="144"/>
      <c r="Z106" s="147"/>
      <c r="AA106" s="12"/>
      <c r="AB106" s="89"/>
      <c r="AC106" s="89"/>
      <c r="AD106" s="76"/>
      <c r="AE106" s="75"/>
      <c r="AF106" s="11">
        <f t="shared" si="59"/>
        <v>0</v>
      </c>
      <c r="AJ106" s="127">
        <f t="shared" si="60"/>
        <v>0</v>
      </c>
      <c r="AL106" s="53">
        <f t="shared" si="61"/>
        <v>0</v>
      </c>
      <c r="AM106" s="53">
        <f t="shared" si="62"/>
        <v>0</v>
      </c>
      <c r="AN106" s="53">
        <f t="shared" si="37"/>
        <v>0</v>
      </c>
      <c r="AO106" s="90">
        <f t="shared" si="63"/>
        <v>0</v>
      </c>
      <c r="AP106" s="90">
        <f t="shared" si="64"/>
        <v>0</v>
      </c>
      <c r="AQ106" s="29">
        <f t="shared" si="65"/>
        <v>0</v>
      </c>
      <c r="AR106" s="30">
        <f t="shared" si="66"/>
        <v>0</v>
      </c>
      <c r="AS106" s="29">
        <f t="shared" si="67"/>
        <v>0</v>
      </c>
      <c r="AT106" s="10">
        <f t="shared" si="38"/>
        <v>0</v>
      </c>
      <c r="AU106" s="10">
        <f t="shared" si="68"/>
        <v>0</v>
      </c>
      <c r="AV106" s="3"/>
      <c r="AW106" s="53">
        <f t="shared" si="54"/>
        <v>0</v>
      </c>
      <c r="AX106" s="53" t="str">
        <f t="shared" si="55"/>
        <v>0</v>
      </c>
      <c r="AY106" s="95">
        <f t="shared" si="69"/>
        <v>0</v>
      </c>
      <c r="AZ106" s="95">
        <f t="shared" si="56"/>
        <v>0</v>
      </c>
      <c r="BA106" s="36">
        <f t="shared" si="70"/>
        <v>0</v>
      </c>
      <c r="BB106" s="2"/>
      <c r="BC106" s="53">
        <f t="shared" si="57"/>
        <v>0</v>
      </c>
      <c r="BD106" s="53" t="str">
        <f t="shared" si="71"/>
        <v>0</v>
      </c>
      <c r="BE106" s="95">
        <f t="shared" si="72"/>
        <v>0</v>
      </c>
      <c r="BF106" s="95">
        <f t="shared" si="58"/>
        <v>0</v>
      </c>
      <c r="BG106" s="36" t="str">
        <f t="shared" si="73"/>
        <v>0</v>
      </c>
    </row>
    <row r="107" spans="1:59" ht="10.95" hidden="1" customHeight="1" x14ac:dyDescent="0.3">
      <c r="A107" s="15">
        <v>103</v>
      </c>
      <c r="B107" s="15"/>
      <c r="C107" s="143"/>
      <c r="D107" s="144"/>
      <c r="E107" s="15"/>
      <c r="F107" s="143"/>
      <c r="G107" s="147"/>
      <c r="H107" s="52"/>
      <c r="I107" s="14"/>
      <c r="J107" s="36"/>
      <c r="K107" s="36"/>
      <c r="L107" s="13"/>
      <c r="M107" s="56"/>
      <c r="N107" s="145"/>
      <c r="O107" s="146"/>
      <c r="P107" s="57"/>
      <c r="Q107" s="36"/>
      <c r="R107" s="36"/>
      <c r="S107" s="36"/>
      <c r="T107" s="36"/>
      <c r="U107" s="36"/>
      <c r="V107" s="36"/>
      <c r="W107" s="36" t="s">
        <v>151</v>
      </c>
      <c r="X107" s="143"/>
      <c r="Y107" s="144"/>
      <c r="Z107" s="147"/>
      <c r="AA107" s="12"/>
      <c r="AB107" s="89"/>
      <c r="AC107" s="89"/>
      <c r="AD107" s="76"/>
      <c r="AE107" s="75"/>
      <c r="AF107" s="11">
        <f t="shared" si="59"/>
        <v>0</v>
      </c>
      <c r="AJ107" s="127">
        <f t="shared" si="60"/>
        <v>0</v>
      </c>
      <c r="AL107" s="53">
        <f t="shared" si="61"/>
        <v>0</v>
      </c>
      <c r="AM107" s="53">
        <f t="shared" si="62"/>
        <v>0</v>
      </c>
      <c r="AN107" s="53">
        <f t="shared" si="37"/>
        <v>0</v>
      </c>
      <c r="AO107" s="90">
        <f t="shared" si="63"/>
        <v>0</v>
      </c>
      <c r="AP107" s="90">
        <f t="shared" si="64"/>
        <v>0</v>
      </c>
      <c r="AQ107" s="29">
        <f t="shared" si="65"/>
        <v>0</v>
      </c>
      <c r="AR107" s="30">
        <f t="shared" si="66"/>
        <v>0</v>
      </c>
      <c r="AS107" s="29">
        <f t="shared" si="67"/>
        <v>0</v>
      </c>
      <c r="AT107" s="10">
        <f t="shared" si="38"/>
        <v>0</v>
      </c>
      <c r="AU107" s="10">
        <f t="shared" si="68"/>
        <v>0</v>
      </c>
      <c r="AV107" s="3"/>
      <c r="AW107" s="53">
        <f t="shared" si="54"/>
        <v>0</v>
      </c>
      <c r="AX107" s="53" t="str">
        <f t="shared" si="55"/>
        <v>0</v>
      </c>
      <c r="AY107" s="95">
        <f t="shared" si="69"/>
        <v>0</v>
      </c>
      <c r="AZ107" s="95">
        <f t="shared" si="56"/>
        <v>0</v>
      </c>
      <c r="BA107" s="36">
        <f t="shared" si="70"/>
        <v>0</v>
      </c>
      <c r="BB107" s="2"/>
      <c r="BC107" s="53">
        <f t="shared" si="57"/>
        <v>0</v>
      </c>
      <c r="BD107" s="53" t="str">
        <f t="shared" si="71"/>
        <v>0</v>
      </c>
      <c r="BE107" s="95">
        <f t="shared" si="72"/>
        <v>0</v>
      </c>
      <c r="BF107" s="95">
        <f t="shared" si="58"/>
        <v>0</v>
      </c>
      <c r="BG107" s="36" t="str">
        <f t="shared" si="73"/>
        <v>0</v>
      </c>
    </row>
    <row r="108" spans="1:59" ht="10.95" hidden="1" customHeight="1" x14ac:dyDescent="0.3">
      <c r="A108" s="15">
        <v>104</v>
      </c>
      <c r="B108" s="15"/>
      <c r="C108" s="143"/>
      <c r="D108" s="144"/>
      <c r="E108" s="15"/>
      <c r="F108" s="143"/>
      <c r="G108" s="147"/>
      <c r="H108" s="52"/>
      <c r="I108" s="14"/>
      <c r="J108" s="36"/>
      <c r="K108" s="36"/>
      <c r="L108" s="13"/>
      <c r="M108" s="56"/>
      <c r="N108" s="145"/>
      <c r="O108" s="146"/>
      <c r="P108" s="57"/>
      <c r="Q108" s="36"/>
      <c r="R108" s="36"/>
      <c r="S108" s="36"/>
      <c r="T108" s="36"/>
      <c r="U108" s="36"/>
      <c r="V108" s="36"/>
      <c r="W108" s="36" t="s">
        <v>151</v>
      </c>
      <c r="X108" s="143"/>
      <c r="Y108" s="144"/>
      <c r="Z108" s="147"/>
      <c r="AA108" s="12"/>
      <c r="AB108" s="89"/>
      <c r="AC108" s="89"/>
      <c r="AD108" s="76"/>
      <c r="AE108" s="75"/>
      <c r="AF108" s="11">
        <f t="shared" si="59"/>
        <v>0</v>
      </c>
      <c r="AJ108" s="127">
        <f t="shared" si="60"/>
        <v>0</v>
      </c>
      <c r="AL108" s="53">
        <f t="shared" si="61"/>
        <v>0</v>
      </c>
      <c r="AM108" s="53">
        <f t="shared" si="62"/>
        <v>0</v>
      </c>
      <c r="AN108" s="53">
        <f t="shared" si="37"/>
        <v>0</v>
      </c>
      <c r="AO108" s="90">
        <f t="shared" si="63"/>
        <v>0</v>
      </c>
      <c r="AP108" s="90">
        <f t="shared" si="64"/>
        <v>0</v>
      </c>
      <c r="AQ108" s="29">
        <f t="shared" si="65"/>
        <v>0</v>
      </c>
      <c r="AR108" s="30">
        <f t="shared" si="66"/>
        <v>0</v>
      </c>
      <c r="AS108" s="29">
        <f t="shared" si="67"/>
        <v>0</v>
      </c>
      <c r="AT108" s="10">
        <f t="shared" si="38"/>
        <v>0</v>
      </c>
      <c r="AU108" s="10">
        <f t="shared" si="68"/>
        <v>0</v>
      </c>
      <c r="AV108" s="3"/>
      <c r="AW108" s="53">
        <f t="shared" si="54"/>
        <v>0</v>
      </c>
      <c r="AX108" s="53" t="str">
        <f t="shared" si="55"/>
        <v>0</v>
      </c>
      <c r="AY108" s="95">
        <f t="shared" si="69"/>
        <v>0</v>
      </c>
      <c r="AZ108" s="95">
        <f t="shared" si="56"/>
        <v>0</v>
      </c>
      <c r="BA108" s="36">
        <f t="shared" si="70"/>
        <v>0</v>
      </c>
      <c r="BB108" s="2"/>
      <c r="BC108" s="53">
        <f t="shared" si="57"/>
        <v>0</v>
      </c>
      <c r="BD108" s="53" t="str">
        <f t="shared" si="71"/>
        <v>0</v>
      </c>
      <c r="BE108" s="95">
        <f t="shared" si="72"/>
        <v>0</v>
      </c>
      <c r="BF108" s="95">
        <f t="shared" si="58"/>
        <v>0</v>
      </c>
      <c r="BG108" s="36" t="str">
        <f t="shared" si="73"/>
        <v>0</v>
      </c>
    </row>
    <row r="109" spans="1:59" ht="10.95" hidden="1" customHeight="1" x14ac:dyDescent="0.3">
      <c r="A109" s="15">
        <v>105</v>
      </c>
      <c r="B109" s="15"/>
      <c r="C109" s="143"/>
      <c r="D109" s="144"/>
      <c r="E109" s="15"/>
      <c r="F109" s="143"/>
      <c r="G109" s="147"/>
      <c r="H109" s="52"/>
      <c r="I109" s="14"/>
      <c r="J109" s="36"/>
      <c r="K109" s="36"/>
      <c r="L109" s="13"/>
      <c r="M109" s="56"/>
      <c r="N109" s="145"/>
      <c r="O109" s="146"/>
      <c r="P109" s="57"/>
      <c r="Q109" s="36"/>
      <c r="R109" s="36"/>
      <c r="S109" s="36"/>
      <c r="T109" s="36"/>
      <c r="U109" s="36"/>
      <c r="V109" s="36"/>
      <c r="W109" s="36" t="s">
        <v>151</v>
      </c>
      <c r="X109" s="143"/>
      <c r="Y109" s="144"/>
      <c r="Z109" s="147"/>
      <c r="AA109" s="12"/>
      <c r="AB109" s="89"/>
      <c r="AC109" s="89"/>
      <c r="AD109" s="76"/>
      <c r="AE109" s="75"/>
      <c r="AF109" s="11">
        <f t="shared" si="59"/>
        <v>0</v>
      </c>
      <c r="AJ109" s="127">
        <f t="shared" si="60"/>
        <v>0</v>
      </c>
      <c r="AL109" s="53">
        <f t="shared" si="61"/>
        <v>0</v>
      </c>
      <c r="AM109" s="53">
        <f t="shared" si="62"/>
        <v>0</v>
      </c>
      <c r="AN109" s="53">
        <f t="shared" si="37"/>
        <v>0</v>
      </c>
      <c r="AO109" s="90">
        <f t="shared" si="63"/>
        <v>0</v>
      </c>
      <c r="AP109" s="90">
        <f t="shared" si="64"/>
        <v>0</v>
      </c>
      <c r="AQ109" s="29">
        <f t="shared" si="65"/>
        <v>0</v>
      </c>
      <c r="AR109" s="30">
        <f t="shared" si="66"/>
        <v>0</v>
      </c>
      <c r="AS109" s="29">
        <f t="shared" si="67"/>
        <v>0</v>
      </c>
      <c r="AT109" s="10">
        <f t="shared" si="38"/>
        <v>0</v>
      </c>
      <c r="AU109" s="10">
        <f t="shared" si="68"/>
        <v>0</v>
      </c>
      <c r="AV109" s="3"/>
      <c r="AW109" s="53">
        <f t="shared" si="54"/>
        <v>0</v>
      </c>
      <c r="AX109" s="53" t="str">
        <f t="shared" si="55"/>
        <v>0</v>
      </c>
      <c r="AY109" s="95">
        <f t="shared" si="69"/>
        <v>0</v>
      </c>
      <c r="AZ109" s="95">
        <f t="shared" si="56"/>
        <v>0</v>
      </c>
      <c r="BA109" s="36">
        <f t="shared" si="70"/>
        <v>0</v>
      </c>
      <c r="BB109" s="2"/>
      <c r="BC109" s="53">
        <f t="shared" si="57"/>
        <v>0</v>
      </c>
      <c r="BD109" s="53" t="str">
        <f t="shared" si="71"/>
        <v>0</v>
      </c>
      <c r="BE109" s="95">
        <f t="shared" si="72"/>
        <v>0</v>
      </c>
      <c r="BF109" s="95">
        <f t="shared" si="58"/>
        <v>0</v>
      </c>
      <c r="BG109" s="36" t="str">
        <f t="shared" si="73"/>
        <v>0</v>
      </c>
    </row>
    <row r="110" spans="1:59" ht="10.95" hidden="1" customHeight="1" x14ac:dyDescent="0.3">
      <c r="A110" s="15">
        <v>106</v>
      </c>
      <c r="B110" s="15"/>
      <c r="C110" s="143"/>
      <c r="D110" s="144"/>
      <c r="E110" s="15"/>
      <c r="F110" s="143"/>
      <c r="G110" s="147"/>
      <c r="H110" s="52"/>
      <c r="I110" s="14"/>
      <c r="J110" s="36"/>
      <c r="K110" s="36"/>
      <c r="L110" s="13"/>
      <c r="M110" s="56"/>
      <c r="N110" s="145"/>
      <c r="O110" s="146"/>
      <c r="P110" s="57"/>
      <c r="Q110" s="36"/>
      <c r="R110" s="36"/>
      <c r="S110" s="36"/>
      <c r="T110" s="36"/>
      <c r="U110" s="36"/>
      <c r="V110" s="36"/>
      <c r="W110" s="36" t="s">
        <v>151</v>
      </c>
      <c r="X110" s="143"/>
      <c r="Y110" s="144"/>
      <c r="Z110" s="147"/>
      <c r="AA110" s="12"/>
      <c r="AB110" s="89"/>
      <c r="AC110" s="89"/>
      <c r="AD110" s="76"/>
      <c r="AE110" s="75"/>
      <c r="AF110" s="11">
        <f t="shared" si="59"/>
        <v>0</v>
      </c>
      <c r="AJ110" s="127">
        <f t="shared" si="60"/>
        <v>0</v>
      </c>
      <c r="AL110" s="53">
        <f t="shared" si="61"/>
        <v>0</v>
      </c>
      <c r="AM110" s="53">
        <f t="shared" si="62"/>
        <v>0</v>
      </c>
      <c r="AN110" s="53">
        <f t="shared" si="37"/>
        <v>0</v>
      </c>
      <c r="AO110" s="90">
        <f t="shared" si="63"/>
        <v>0</v>
      </c>
      <c r="AP110" s="90">
        <f t="shared" si="64"/>
        <v>0</v>
      </c>
      <c r="AQ110" s="29">
        <f t="shared" si="65"/>
        <v>0</v>
      </c>
      <c r="AR110" s="30">
        <f t="shared" si="66"/>
        <v>0</v>
      </c>
      <c r="AS110" s="29">
        <f t="shared" si="67"/>
        <v>0</v>
      </c>
      <c r="AT110" s="10">
        <f t="shared" si="38"/>
        <v>0</v>
      </c>
      <c r="AU110" s="10">
        <f t="shared" si="68"/>
        <v>0</v>
      </c>
      <c r="AV110" s="3"/>
      <c r="AW110" s="53">
        <f t="shared" si="54"/>
        <v>0</v>
      </c>
      <c r="AX110" s="53" t="str">
        <f t="shared" si="55"/>
        <v>0</v>
      </c>
      <c r="AY110" s="95">
        <f t="shared" si="69"/>
        <v>0</v>
      </c>
      <c r="AZ110" s="95">
        <f t="shared" si="56"/>
        <v>0</v>
      </c>
      <c r="BA110" s="36">
        <f t="shared" si="70"/>
        <v>0</v>
      </c>
      <c r="BB110" s="2"/>
      <c r="BC110" s="53">
        <f t="shared" si="57"/>
        <v>0</v>
      </c>
      <c r="BD110" s="53" t="str">
        <f t="shared" si="71"/>
        <v>0</v>
      </c>
      <c r="BE110" s="95">
        <f t="shared" si="72"/>
        <v>0</v>
      </c>
      <c r="BF110" s="95">
        <f t="shared" si="58"/>
        <v>0</v>
      </c>
      <c r="BG110" s="36" t="str">
        <f t="shared" si="73"/>
        <v>0</v>
      </c>
    </row>
    <row r="111" spans="1:59" ht="10.95" hidden="1" customHeight="1" x14ac:dyDescent="0.3">
      <c r="A111" s="15">
        <v>107</v>
      </c>
      <c r="B111" s="15"/>
      <c r="C111" s="143"/>
      <c r="D111" s="144"/>
      <c r="E111" s="15"/>
      <c r="F111" s="143"/>
      <c r="G111" s="147"/>
      <c r="H111" s="52"/>
      <c r="I111" s="14"/>
      <c r="J111" s="36"/>
      <c r="K111" s="36"/>
      <c r="L111" s="13"/>
      <c r="M111" s="56"/>
      <c r="N111" s="145"/>
      <c r="O111" s="146"/>
      <c r="P111" s="57"/>
      <c r="Q111" s="36"/>
      <c r="R111" s="36"/>
      <c r="S111" s="36"/>
      <c r="T111" s="36"/>
      <c r="U111" s="36"/>
      <c r="V111" s="36"/>
      <c r="W111" s="36" t="s">
        <v>151</v>
      </c>
      <c r="X111" s="143"/>
      <c r="Y111" s="144"/>
      <c r="Z111" s="147"/>
      <c r="AA111" s="12"/>
      <c r="AB111" s="89"/>
      <c r="AC111" s="89"/>
      <c r="AD111" s="76"/>
      <c r="AE111" s="75"/>
      <c r="AF111" s="11">
        <f t="shared" si="59"/>
        <v>0</v>
      </c>
      <c r="AJ111" s="127">
        <f t="shared" si="60"/>
        <v>0</v>
      </c>
      <c r="AL111" s="53">
        <f t="shared" si="61"/>
        <v>0</v>
      </c>
      <c r="AM111" s="53">
        <f t="shared" si="62"/>
        <v>0</v>
      </c>
      <c r="AN111" s="53">
        <f t="shared" si="37"/>
        <v>0</v>
      </c>
      <c r="AO111" s="90">
        <f t="shared" si="63"/>
        <v>0</v>
      </c>
      <c r="AP111" s="90">
        <f t="shared" si="64"/>
        <v>0</v>
      </c>
      <c r="AQ111" s="29">
        <f t="shared" si="65"/>
        <v>0</v>
      </c>
      <c r="AR111" s="30">
        <f t="shared" si="66"/>
        <v>0</v>
      </c>
      <c r="AS111" s="29">
        <f t="shared" si="67"/>
        <v>0</v>
      </c>
      <c r="AT111" s="10">
        <f t="shared" si="38"/>
        <v>0</v>
      </c>
      <c r="AU111" s="10">
        <f t="shared" si="68"/>
        <v>0</v>
      </c>
      <c r="AV111" s="3"/>
      <c r="AW111" s="53">
        <f t="shared" si="54"/>
        <v>0</v>
      </c>
      <c r="AX111" s="53" t="str">
        <f t="shared" si="55"/>
        <v>0</v>
      </c>
      <c r="AY111" s="95">
        <f t="shared" si="69"/>
        <v>0</v>
      </c>
      <c r="AZ111" s="95">
        <f t="shared" si="56"/>
        <v>0</v>
      </c>
      <c r="BA111" s="36">
        <f t="shared" si="70"/>
        <v>0</v>
      </c>
      <c r="BB111" s="2"/>
      <c r="BC111" s="53">
        <f t="shared" si="57"/>
        <v>0</v>
      </c>
      <c r="BD111" s="53" t="str">
        <f t="shared" si="71"/>
        <v>0</v>
      </c>
      <c r="BE111" s="95">
        <f t="shared" si="72"/>
        <v>0</v>
      </c>
      <c r="BF111" s="95">
        <f t="shared" si="58"/>
        <v>0</v>
      </c>
      <c r="BG111" s="36" t="str">
        <f t="shared" si="73"/>
        <v>0</v>
      </c>
    </row>
    <row r="112" spans="1:59" ht="10.95" hidden="1" customHeight="1" x14ac:dyDescent="0.3">
      <c r="A112" s="15">
        <v>108</v>
      </c>
      <c r="B112" s="15"/>
      <c r="C112" s="143"/>
      <c r="D112" s="144"/>
      <c r="E112" s="15"/>
      <c r="F112" s="143"/>
      <c r="G112" s="147"/>
      <c r="H112" s="52"/>
      <c r="I112" s="14"/>
      <c r="J112" s="36"/>
      <c r="K112" s="36"/>
      <c r="L112" s="13"/>
      <c r="M112" s="56"/>
      <c r="N112" s="145"/>
      <c r="O112" s="146"/>
      <c r="P112" s="57"/>
      <c r="Q112" s="36"/>
      <c r="R112" s="36"/>
      <c r="S112" s="36"/>
      <c r="T112" s="36"/>
      <c r="U112" s="36"/>
      <c r="V112" s="36"/>
      <c r="W112" s="36" t="s">
        <v>151</v>
      </c>
      <c r="X112" s="143"/>
      <c r="Y112" s="144"/>
      <c r="Z112" s="147"/>
      <c r="AA112" s="12"/>
      <c r="AB112" s="89"/>
      <c r="AC112" s="89"/>
      <c r="AD112" s="76"/>
      <c r="AE112" s="75"/>
      <c r="AF112" s="11">
        <f t="shared" si="59"/>
        <v>0</v>
      </c>
      <c r="AJ112" s="127">
        <f t="shared" si="60"/>
        <v>0</v>
      </c>
      <c r="AL112" s="53">
        <f t="shared" si="61"/>
        <v>0</v>
      </c>
      <c r="AM112" s="53">
        <f t="shared" si="62"/>
        <v>0</v>
      </c>
      <c r="AN112" s="53">
        <f t="shared" si="37"/>
        <v>0</v>
      </c>
      <c r="AO112" s="90">
        <f t="shared" si="63"/>
        <v>0</v>
      </c>
      <c r="AP112" s="90">
        <f t="shared" si="64"/>
        <v>0</v>
      </c>
      <c r="AQ112" s="29">
        <f t="shared" si="65"/>
        <v>0</v>
      </c>
      <c r="AR112" s="30">
        <f t="shared" si="66"/>
        <v>0</v>
      </c>
      <c r="AS112" s="29">
        <f t="shared" si="67"/>
        <v>0</v>
      </c>
      <c r="AT112" s="10">
        <f t="shared" si="38"/>
        <v>0</v>
      </c>
      <c r="AU112" s="10">
        <f t="shared" si="68"/>
        <v>0</v>
      </c>
      <c r="AV112" s="3"/>
      <c r="AW112" s="53">
        <f t="shared" si="54"/>
        <v>0</v>
      </c>
      <c r="AX112" s="53" t="str">
        <f t="shared" si="55"/>
        <v>0</v>
      </c>
      <c r="AY112" s="95">
        <f t="shared" si="69"/>
        <v>0</v>
      </c>
      <c r="AZ112" s="95">
        <f t="shared" si="56"/>
        <v>0</v>
      </c>
      <c r="BA112" s="36">
        <f t="shared" si="70"/>
        <v>0</v>
      </c>
      <c r="BB112" s="2"/>
      <c r="BC112" s="53">
        <f t="shared" si="57"/>
        <v>0</v>
      </c>
      <c r="BD112" s="53" t="str">
        <f t="shared" si="71"/>
        <v>0</v>
      </c>
      <c r="BE112" s="95">
        <f t="shared" si="72"/>
        <v>0</v>
      </c>
      <c r="BF112" s="95">
        <f t="shared" si="58"/>
        <v>0</v>
      </c>
      <c r="BG112" s="36" t="str">
        <f t="shared" si="73"/>
        <v>0</v>
      </c>
    </row>
    <row r="113" spans="1:59" ht="10.95" hidden="1" customHeight="1" x14ac:dyDescent="0.3">
      <c r="A113" s="15">
        <v>109</v>
      </c>
      <c r="B113" s="15"/>
      <c r="C113" s="143"/>
      <c r="D113" s="144"/>
      <c r="E113" s="15"/>
      <c r="F113" s="143"/>
      <c r="G113" s="147"/>
      <c r="H113" s="52"/>
      <c r="I113" s="14"/>
      <c r="J113" s="36"/>
      <c r="K113" s="36"/>
      <c r="L113" s="13"/>
      <c r="M113" s="56"/>
      <c r="N113" s="145"/>
      <c r="O113" s="146"/>
      <c r="P113" s="57"/>
      <c r="Q113" s="36"/>
      <c r="R113" s="36"/>
      <c r="S113" s="36"/>
      <c r="T113" s="36"/>
      <c r="U113" s="36"/>
      <c r="V113" s="36"/>
      <c r="W113" s="36" t="s">
        <v>151</v>
      </c>
      <c r="X113" s="143"/>
      <c r="Y113" s="144"/>
      <c r="Z113" s="147"/>
      <c r="AA113" s="12"/>
      <c r="AB113" s="89"/>
      <c r="AC113" s="89"/>
      <c r="AD113" s="76"/>
      <c r="AE113" s="75"/>
      <c r="AF113" s="11">
        <f t="shared" si="59"/>
        <v>0</v>
      </c>
      <c r="AJ113" s="127">
        <f t="shared" si="60"/>
        <v>0</v>
      </c>
      <c r="AL113" s="53">
        <f t="shared" si="61"/>
        <v>0</v>
      </c>
      <c r="AM113" s="53">
        <f t="shared" si="62"/>
        <v>0</v>
      </c>
      <c r="AN113" s="53">
        <f t="shared" si="37"/>
        <v>0</v>
      </c>
      <c r="AO113" s="90">
        <f t="shared" si="63"/>
        <v>0</v>
      </c>
      <c r="AP113" s="90">
        <f t="shared" si="64"/>
        <v>0</v>
      </c>
      <c r="AQ113" s="29">
        <f t="shared" si="65"/>
        <v>0</v>
      </c>
      <c r="AR113" s="30">
        <f t="shared" si="66"/>
        <v>0</v>
      </c>
      <c r="AS113" s="29">
        <f t="shared" si="67"/>
        <v>0</v>
      </c>
      <c r="AT113" s="10">
        <f t="shared" si="38"/>
        <v>0</v>
      </c>
      <c r="AU113" s="10">
        <f t="shared" si="68"/>
        <v>0</v>
      </c>
      <c r="AV113" s="3"/>
      <c r="AW113" s="53">
        <f t="shared" si="54"/>
        <v>0</v>
      </c>
      <c r="AX113" s="53" t="str">
        <f t="shared" si="55"/>
        <v>0</v>
      </c>
      <c r="AY113" s="95">
        <f t="shared" si="69"/>
        <v>0</v>
      </c>
      <c r="AZ113" s="95">
        <f t="shared" si="56"/>
        <v>0</v>
      </c>
      <c r="BA113" s="36">
        <f t="shared" si="70"/>
        <v>0</v>
      </c>
      <c r="BB113" s="2"/>
      <c r="BC113" s="53">
        <f t="shared" si="57"/>
        <v>0</v>
      </c>
      <c r="BD113" s="53" t="str">
        <f t="shared" si="71"/>
        <v>0</v>
      </c>
      <c r="BE113" s="95">
        <f t="shared" si="72"/>
        <v>0</v>
      </c>
      <c r="BF113" s="95">
        <f t="shared" si="58"/>
        <v>0</v>
      </c>
      <c r="BG113" s="36" t="str">
        <f t="shared" si="73"/>
        <v>0</v>
      </c>
    </row>
    <row r="114" spans="1:59" ht="10.95" hidden="1" customHeight="1" x14ac:dyDescent="0.3">
      <c r="A114" s="15">
        <v>110</v>
      </c>
      <c r="B114" s="15"/>
      <c r="C114" s="143"/>
      <c r="D114" s="144"/>
      <c r="E114" s="15"/>
      <c r="F114" s="143"/>
      <c r="G114" s="147"/>
      <c r="H114" s="52"/>
      <c r="I114" s="14"/>
      <c r="J114" s="36"/>
      <c r="K114" s="36"/>
      <c r="L114" s="13"/>
      <c r="M114" s="56"/>
      <c r="N114" s="145"/>
      <c r="O114" s="146"/>
      <c r="P114" s="57"/>
      <c r="Q114" s="36"/>
      <c r="R114" s="36"/>
      <c r="S114" s="36"/>
      <c r="T114" s="36"/>
      <c r="U114" s="36"/>
      <c r="V114" s="36"/>
      <c r="W114" s="36" t="s">
        <v>151</v>
      </c>
      <c r="X114" s="143"/>
      <c r="Y114" s="144"/>
      <c r="Z114" s="147"/>
      <c r="AA114" s="12"/>
      <c r="AB114" s="89"/>
      <c r="AC114" s="89"/>
      <c r="AD114" s="76"/>
      <c r="AE114" s="75"/>
      <c r="AF114" s="11">
        <f t="shared" si="59"/>
        <v>0</v>
      </c>
      <c r="AJ114" s="127">
        <f t="shared" si="60"/>
        <v>0</v>
      </c>
      <c r="AL114" s="53">
        <f t="shared" si="61"/>
        <v>0</v>
      </c>
      <c r="AM114" s="53">
        <f t="shared" si="62"/>
        <v>0</v>
      </c>
      <c r="AN114" s="53">
        <f t="shared" si="37"/>
        <v>0</v>
      </c>
      <c r="AO114" s="90">
        <f t="shared" si="63"/>
        <v>0</v>
      </c>
      <c r="AP114" s="90">
        <f t="shared" si="64"/>
        <v>0</v>
      </c>
      <c r="AQ114" s="29">
        <f t="shared" si="65"/>
        <v>0</v>
      </c>
      <c r="AR114" s="30">
        <f t="shared" si="66"/>
        <v>0</v>
      </c>
      <c r="AS114" s="29">
        <f t="shared" si="67"/>
        <v>0</v>
      </c>
      <c r="AT114" s="10">
        <f t="shared" si="38"/>
        <v>0</v>
      </c>
      <c r="AU114" s="10">
        <f t="shared" si="68"/>
        <v>0</v>
      </c>
      <c r="AV114" s="3"/>
      <c r="AW114" s="53">
        <f t="shared" si="54"/>
        <v>0</v>
      </c>
      <c r="AX114" s="53" t="str">
        <f t="shared" si="55"/>
        <v>0</v>
      </c>
      <c r="AY114" s="95">
        <f t="shared" si="69"/>
        <v>0</v>
      </c>
      <c r="AZ114" s="95">
        <f t="shared" si="56"/>
        <v>0</v>
      </c>
      <c r="BA114" s="36">
        <f t="shared" si="70"/>
        <v>0</v>
      </c>
      <c r="BB114" s="2"/>
      <c r="BC114" s="53">
        <f t="shared" si="57"/>
        <v>0</v>
      </c>
      <c r="BD114" s="53" t="str">
        <f t="shared" si="71"/>
        <v>0</v>
      </c>
      <c r="BE114" s="95">
        <f t="shared" si="72"/>
        <v>0</v>
      </c>
      <c r="BF114" s="95">
        <f t="shared" si="58"/>
        <v>0</v>
      </c>
      <c r="BG114" s="36" t="str">
        <f t="shared" si="73"/>
        <v>0</v>
      </c>
    </row>
    <row r="115" spans="1:59" ht="10.95" hidden="1" customHeight="1" x14ac:dyDescent="0.3">
      <c r="A115" s="15">
        <v>111</v>
      </c>
      <c r="B115" s="15"/>
      <c r="C115" s="143"/>
      <c r="D115" s="144"/>
      <c r="E115" s="15"/>
      <c r="F115" s="143"/>
      <c r="G115" s="147"/>
      <c r="H115" s="52"/>
      <c r="I115" s="14"/>
      <c r="J115" s="36"/>
      <c r="K115" s="36"/>
      <c r="L115" s="13"/>
      <c r="M115" s="56"/>
      <c r="N115" s="145"/>
      <c r="O115" s="146"/>
      <c r="P115" s="57"/>
      <c r="Q115" s="36"/>
      <c r="R115" s="36"/>
      <c r="S115" s="36"/>
      <c r="T115" s="36"/>
      <c r="U115" s="36"/>
      <c r="V115" s="36"/>
      <c r="W115" s="36" t="s">
        <v>151</v>
      </c>
      <c r="X115" s="143"/>
      <c r="Y115" s="144"/>
      <c r="Z115" s="147"/>
      <c r="AA115" s="12"/>
      <c r="AB115" s="89"/>
      <c r="AC115" s="89"/>
      <c r="AD115" s="76"/>
      <c r="AE115" s="75"/>
      <c r="AF115" s="11">
        <f t="shared" si="59"/>
        <v>0</v>
      </c>
      <c r="AJ115" s="127">
        <f t="shared" si="60"/>
        <v>0</v>
      </c>
      <c r="AL115" s="53">
        <f t="shared" si="61"/>
        <v>0</v>
      </c>
      <c r="AM115" s="53">
        <f t="shared" si="62"/>
        <v>0</v>
      </c>
      <c r="AN115" s="53">
        <f t="shared" si="37"/>
        <v>0</v>
      </c>
      <c r="AO115" s="90">
        <f t="shared" si="63"/>
        <v>0</v>
      </c>
      <c r="AP115" s="90">
        <f t="shared" si="64"/>
        <v>0</v>
      </c>
      <c r="AQ115" s="29">
        <f t="shared" si="65"/>
        <v>0</v>
      </c>
      <c r="AR115" s="30">
        <f t="shared" si="66"/>
        <v>0</v>
      </c>
      <c r="AS115" s="29">
        <f t="shared" si="67"/>
        <v>0</v>
      </c>
      <c r="AT115" s="10">
        <f t="shared" si="38"/>
        <v>0</v>
      </c>
      <c r="AU115" s="10">
        <f t="shared" si="68"/>
        <v>0</v>
      </c>
      <c r="AV115" s="3"/>
      <c r="AW115" s="53">
        <f t="shared" si="54"/>
        <v>0</v>
      </c>
      <c r="AX115" s="53" t="str">
        <f t="shared" si="55"/>
        <v>0</v>
      </c>
      <c r="AY115" s="95">
        <f t="shared" si="69"/>
        <v>0</v>
      </c>
      <c r="AZ115" s="95">
        <f t="shared" si="56"/>
        <v>0</v>
      </c>
      <c r="BA115" s="36">
        <f t="shared" si="70"/>
        <v>0</v>
      </c>
      <c r="BB115" s="2"/>
      <c r="BC115" s="53">
        <f t="shared" si="57"/>
        <v>0</v>
      </c>
      <c r="BD115" s="53" t="str">
        <f t="shared" si="71"/>
        <v>0</v>
      </c>
      <c r="BE115" s="95">
        <f t="shared" si="72"/>
        <v>0</v>
      </c>
      <c r="BF115" s="95">
        <f t="shared" si="58"/>
        <v>0</v>
      </c>
      <c r="BG115" s="36" t="str">
        <f t="shared" si="73"/>
        <v>0</v>
      </c>
    </row>
    <row r="116" spans="1:59" ht="10.95" hidden="1" customHeight="1" x14ac:dyDescent="0.3">
      <c r="A116" s="15">
        <v>112</v>
      </c>
      <c r="B116" s="15"/>
      <c r="C116" s="143"/>
      <c r="D116" s="144"/>
      <c r="E116" s="15"/>
      <c r="F116" s="143"/>
      <c r="G116" s="147"/>
      <c r="H116" s="52"/>
      <c r="I116" s="14"/>
      <c r="J116" s="36"/>
      <c r="K116" s="36"/>
      <c r="L116" s="13"/>
      <c r="M116" s="56"/>
      <c r="N116" s="145"/>
      <c r="O116" s="146"/>
      <c r="P116" s="57"/>
      <c r="Q116" s="36"/>
      <c r="R116" s="36"/>
      <c r="S116" s="36"/>
      <c r="T116" s="36"/>
      <c r="U116" s="36"/>
      <c r="V116" s="36"/>
      <c r="W116" s="36" t="s">
        <v>151</v>
      </c>
      <c r="X116" s="143"/>
      <c r="Y116" s="144"/>
      <c r="Z116" s="147"/>
      <c r="AA116" s="12"/>
      <c r="AB116" s="89"/>
      <c r="AC116" s="89"/>
      <c r="AD116" s="76"/>
      <c r="AE116" s="75"/>
      <c r="AF116" s="11">
        <f t="shared" si="59"/>
        <v>0</v>
      </c>
      <c r="AJ116" s="127">
        <f t="shared" si="60"/>
        <v>0</v>
      </c>
      <c r="AL116" s="53">
        <f t="shared" si="61"/>
        <v>0</v>
      </c>
      <c r="AM116" s="53">
        <f t="shared" si="62"/>
        <v>0</v>
      </c>
      <c r="AN116" s="53">
        <f t="shared" si="37"/>
        <v>0</v>
      </c>
      <c r="AO116" s="90">
        <f t="shared" si="63"/>
        <v>0</v>
      </c>
      <c r="AP116" s="90">
        <f t="shared" si="64"/>
        <v>0</v>
      </c>
      <c r="AQ116" s="29">
        <f t="shared" si="65"/>
        <v>0</v>
      </c>
      <c r="AR116" s="30">
        <f t="shared" si="66"/>
        <v>0</v>
      </c>
      <c r="AS116" s="29">
        <f t="shared" si="67"/>
        <v>0</v>
      </c>
      <c r="AT116" s="10">
        <f t="shared" si="38"/>
        <v>0</v>
      </c>
      <c r="AU116" s="10">
        <f t="shared" si="68"/>
        <v>0</v>
      </c>
      <c r="AV116" s="3"/>
      <c r="AW116" s="53">
        <f t="shared" si="54"/>
        <v>0</v>
      </c>
      <c r="AX116" s="53" t="str">
        <f t="shared" si="55"/>
        <v>0</v>
      </c>
      <c r="AY116" s="95">
        <f t="shared" si="69"/>
        <v>0</v>
      </c>
      <c r="AZ116" s="95">
        <f t="shared" si="56"/>
        <v>0</v>
      </c>
      <c r="BA116" s="36">
        <f t="shared" si="70"/>
        <v>0</v>
      </c>
      <c r="BB116" s="2"/>
      <c r="BC116" s="53">
        <f t="shared" si="57"/>
        <v>0</v>
      </c>
      <c r="BD116" s="53" t="str">
        <f t="shared" si="71"/>
        <v>0</v>
      </c>
      <c r="BE116" s="95">
        <f t="shared" si="72"/>
        <v>0</v>
      </c>
      <c r="BF116" s="95">
        <f t="shared" si="58"/>
        <v>0</v>
      </c>
      <c r="BG116" s="36" t="str">
        <f t="shared" si="73"/>
        <v>0</v>
      </c>
    </row>
    <row r="117" spans="1:59" ht="10.95" hidden="1" customHeight="1" x14ac:dyDescent="0.3">
      <c r="A117" s="15">
        <v>113</v>
      </c>
      <c r="B117" s="15"/>
      <c r="C117" s="143"/>
      <c r="D117" s="144"/>
      <c r="E117" s="15"/>
      <c r="F117" s="143"/>
      <c r="G117" s="147"/>
      <c r="H117" s="52"/>
      <c r="I117" s="14"/>
      <c r="J117" s="36"/>
      <c r="K117" s="36"/>
      <c r="L117" s="13"/>
      <c r="M117" s="56"/>
      <c r="N117" s="145"/>
      <c r="O117" s="146"/>
      <c r="P117" s="57"/>
      <c r="Q117" s="36"/>
      <c r="R117" s="36"/>
      <c r="S117" s="36"/>
      <c r="T117" s="36"/>
      <c r="U117" s="36"/>
      <c r="V117" s="36"/>
      <c r="W117" s="36" t="s">
        <v>151</v>
      </c>
      <c r="X117" s="143"/>
      <c r="Y117" s="144"/>
      <c r="Z117" s="147"/>
      <c r="AA117" s="12"/>
      <c r="AB117" s="89"/>
      <c r="AC117" s="89"/>
      <c r="AD117" s="76"/>
      <c r="AE117" s="75"/>
      <c r="AF117" s="11">
        <f t="shared" si="59"/>
        <v>0</v>
      </c>
      <c r="AJ117" s="127">
        <f t="shared" si="60"/>
        <v>0</v>
      </c>
      <c r="AL117" s="53">
        <f t="shared" si="61"/>
        <v>0</v>
      </c>
      <c r="AM117" s="53">
        <f t="shared" si="62"/>
        <v>0</v>
      </c>
      <c r="AN117" s="53">
        <f t="shared" si="37"/>
        <v>0</v>
      </c>
      <c r="AO117" s="90">
        <f t="shared" si="63"/>
        <v>0</v>
      </c>
      <c r="AP117" s="90">
        <f t="shared" si="64"/>
        <v>0</v>
      </c>
      <c r="AQ117" s="29">
        <f t="shared" si="65"/>
        <v>0</v>
      </c>
      <c r="AR117" s="30">
        <f t="shared" si="66"/>
        <v>0</v>
      </c>
      <c r="AS117" s="29">
        <f t="shared" si="67"/>
        <v>0</v>
      </c>
      <c r="AT117" s="10">
        <f t="shared" si="38"/>
        <v>0</v>
      </c>
      <c r="AU117" s="10">
        <f t="shared" si="68"/>
        <v>0</v>
      </c>
      <c r="AV117" s="3"/>
      <c r="AW117" s="53">
        <f t="shared" si="54"/>
        <v>0</v>
      </c>
      <c r="AX117" s="53" t="str">
        <f t="shared" si="55"/>
        <v>0</v>
      </c>
      <c r="AY117" s="95">
        <f t="shared" si="69"/>
        <v>0</v>
      </c>
      <c r="AZ117" s="95">
        <f t="shared" si="56"/>
        <v>0</v>
      </c>
      <c r="BA117" s="36">
        <f t="shared" si="70"/>
        <v>0</v>
      </c>
      <c r="BB117" s="2"/>
      <c r="BC117" s="53">
        <f t="shared" si="57"/>
        <v>0</v>
      </c>
      <c r="BD117" s="53" t="str">
        <f t="shared" si="71"/>
        <v>0</v>
      </c>
      <c r="BE117" s="95">
        <f t="shared" si="72"/>
        <v>0</v>
      </c>
      <c r="BF117" s="95">
        <f t="shared" si="58"/>
        <v>0</v>
      </c>
      <c r="BG117" s="36" t="str">
        <f t="shared" si="73"/>
        <v>0</v>
      </c>
    </row>
    <row r="118" spans="1:59" ht="10.95" hidden="1" customHeight="1" x14ac:dyDescent="0.3">
      <c r="A118" s="15">
        <v>114</v>
      </c>
      <c r="B118" s="15"/>
      <c r="C118" s="143"/>
      <c r="D118" s="144"/>
      <c r="E118" s="15"/>
      <c r="F118" s="143"/>
      <c r="G118" s="147"/>
      <c r="H118" s="52"/>
      <c r="I118" s="14"/>
      <c r="J118" s="36"/>
      <c r="K118" s="36"/>
      <c r="L118" s="13"/>
      <c r="M118" s="56"/>
      <c r="N118" s="145"/>
      <c r="O118" s="146"/>
      <c r="P118" s="57"/>
      <c r="Q118" s="36"/>
      <c r="R118" s="36"/>
      <c r="S118" s="36"/>
      <c r="T118" s="36"/>
      <c r="U118" s="36"/>
      <c r="V118" s="36"/>
      <c r="W118" s="36" t="s">
        <v>151</v>
      </c>
      <c r="X118" s="143"/>
      <c r="Y118" s="144"/>
      <c r="Z118" s="147"/>
      <c r="AA118" s="12"/>
      <c r="AB118" s="89"/>
      <c r="AC118" s="89"/>
      <c r="AD118" s="76"/>
      <c r="AE118" s="75"/>
      <c r="AF118" s="11">
        <f t="shared" si="59"/>
        <v>0</v>
      </c>
      <c r="AJ118" s="127">
        <f t="shared" si="60"/>
        <v>0</v>
      </c>
      <c r="AL118" s="53">
        <f t="shared" si="61"/>
        <v>0</v>
      </c>
      <c r="AM118" s="53">
        <f t="shared" si="62"/>
        <v>0</v>
      </c>
      <c r="AN118" s="53">
        <f t="shared" ref="AN118:AN189" si="74">(AD118/60)*$AH$5</f>
        <v>0</v>
      </c>
      <c r="AO118" s="90">
        <f t="shared" si="63"/>
        <v>0</v>
      </c>
      <c r="AP118" s="90">
        <f t="shared" si="64"/>
        <v>0</v>
      </c>
      <c r="AQ118" s="29">
        <f t="shared" si="65"/>
        <v>0</v>
      </c>
      <c r="AR118" s="30">
        <f t="shared" si="66"/>
        <v>0</v>
      </c>
      <c r="AS118" s="29">
        <f t="shared" si="67"/>
        <v>0</v>
      </c>
      <c r="AT118" s="10">
        <f t="shared" ref="AT118:AT189" si="75">SUM(AM118+AW118+AN118+AO118+AP118+BC118+AX118+BD118)</f>
        <v>0</v>
      </c>
      <c r="AU118" s="10">
        <f t="shared" si="68"/>
        <v>0</v>
      </c>
      <c r="AV118" s="3"/>
      <c r="AW118" s="53">
        <f t="shared" si="54"/>
        <v>0</v>
      </c>
      <c r="AX118" s="53" t="str">
        <f t="shared" si="55"/>
        <v>0</v>
      </c>
      <c r="AY118" s="95">
        <f t="shared" si="69"/>
        <v>0</v>
      </c>
      <c r="AZ118" s="95">
        <f t="shared" si="56"/>
        <v>0</v>
      </c>
      <c r="BA118" s="36">
        <f t="shared" si="70"/>
        <v>0</v>
      </c>
      <c r="BB118" s="2"/>
      <c r="BC118" s="53">
        <f t="shared" si="57"/>
        <v>0</v>
      </c>
      <c r="BD118" s="53" t="str">
        <f t="shared" si="71"/>
        <v>0</v>
      </c>
      <c r="BE118" s="95">
        <f t="shared" si="72"/>
        <v>0</v>
      </c>
      <c r="BF118" s="95">
        <f t="shared" si="58"/>
        <v>0</v>
      </c>
      <c r="BG118" s="36" t="str">
        <f t="shared" si="73"/>
        <v>0</v>
      </c>
    </row>
    <row r="119" spans="1:59" ht="10.95" hidden="1" customHeight="1" x14ac:dyDescent="0.3">
      <c r="A119" s="15">
        <v>115</v>
      </c>
      <c r="B119" s="15"/>
      <c r="C119" s="143"/>
      <c r="D119" s="144"/>
      <c r="E119" s="15"/>
      <c r="F119" s="143"/>
      <c r="G119" s="147"/>
      <c r="H119" s="52"/>
      <c r="I119" s="14"/>
      <c r="J119" s="36"/>
      <c r="K119" s="36"/>
      <c r="L119" s="13"/>
      <c r="M119" s="56"/>
      <c r="N119" s="145"/>
      <c r="O119" s="146"/>
      <c r="P119" s="57"/>
      <c r="Q119" s="36"/>
      <c r="R119" s="36"/>
      <c r="S119" s="36"/>
      <c r="T119" s="36"/>
      <c r="U119" s="36"/>
      <c r="V119" s="36"/>
      <c r="W119" s="36" t="s">
        <v>151</v>
      </c>
      <c r="X119" s="143"/>
      <c r="Y119" s="144"/>
      <c r="Z119" s="147"/>
      <c r="AA119" s="12"/>
      <c r="AB119" s="89"/>
      <c r="AC119" s="89"/>
      <c r="AD119" s="76"/>
      <c r="AE119" s="75"/>
      <c r="AF119" s="11">
        <f t="shared" si="59"/>
        <v>0</v>
      </c>
      <c r="AJ119" s="127">
        <f t="shared" si="60"/>
        <v>0</v>
      </c>
      <c r="AL119" s="53">
        <f t="shared" si="61"/>
        <v>0</v>
      </c>
      <c r="AM119" s="53">
        <f t="shared" si="62"/>
        <v>0</v>
      </c>
      <c r="AN119" s="53">
        <f t="shared" si="74"/>
        <v>0</v>
      </c>
      <c r="AO119" s="90">
        <f t="shared" si="63"/>
        <v>0</v>
      </c>
      <c r="AP119" s="90">
        <f t="shared" si="64"/>
        <v>0</v>
      </c>
      <c r="AQ119" s="29">
        <f t="shared" si="65"/>
        <v>0</v>
      </c>
      <c r="AR119" s="30">
        <f t="shared" si="66"/>
        <v>0</v>
      </c>
      <c r="AS119" s="29">
        <f t="shared" si="67"/>
        <v>0</v>
      </c>
      <c r="AT119" s="10">
        <f t="shared" si="75"/>
        <v>0</v>
      </c>
      <c r="AU119" s="10">
        <f t="shared" si="68"/>
        <v>0</v>
      </c>
      <c r="AV119" s="3"/>
      <c r="AW119" s="53">
        <f t="shared" si="54"/>
        <v>0</v>
      </c>
      <c r="AX119" s="53" t="str">
        <f t="shared" si="55"/>
        <v>0</v>
      </c>
      <c r="AY119" s="95">
        <f t="shared" si="69"/>
        <v>0</v>
      </c>
      <c r="AZ119" s="95">
        <f t="shared" si="56"/>
        <v>0</v>
      </c>
      <c r="BA119" s="36">
        <f t="shared" si="70"/>
        <v>0</v>
      </c>
      <c r="BB119" s="2"/>
      <c r="BC119" s="53">
        <f t="shared" si="57"/>
        <v>0</v>
      </c>
      <c r="BD119" s="53" t="str">
        <f t="shared" si="71"/>
        <v>0</v>
      </c>
      <c r="BE119" s="95">
        <f t="shared" si="72"/>
        <v>0</v>
      </c>
      <c r="BF119" s="95">
        <f t="shared" si="58"/>
        <v>0</v>
      </c>
      <c r="BG119" s="36" t="str">
        <f t="shared" si="73"/>
        <v>0</v>
      </c>
    </row>
    <row r="120" spans="1:59" ht="10.95" hidden="1" customHeight="1" x14ac:dyDescent="0.3">
      <c r="A120" s="15">
        <v>116</v>
      </c>
      <c r="B120" s="15"/>
      <c r="C120" s="143"/>
      <c r="D120" s="144"/>
      <c r="E120" s="15"/>
      <c r="F120" s="143"/>
      <c r="G120" s="147"/>
      <c r="H120" s="52"/>
      <c r="I120" s="14"/>
      <c r="J120" s="36"/>
      <c r="K120" s="36"/>
      <c r="L120" s="13"/>
      <c r="M120" s="56"/>
      <c r="N120" s="145"/>
      <c r="O120" s="146"/>
      <c r="P120" s="57"/>
      <c r="Q120" s="36"/>
      <c r="R120" s="36"/>
      <c r="S120" s="36"/>
      <c r="T120" s="36"/>
      <c r="U120" s="36"/>
      <c r="V120" s="36"/>
      <c r="W120" s="36" t="s">
        <v>151</v>
      </c>
      <c r="X120" s="143"/>
      <c r="Y120" s="144"/>
      <c r="Z120" s="147"/>
      <c r="AA120" s="12"/>
      <c r="AB120" s="89"/>
      <c r="AC120" s="89"/>
      <c r="AD120" s="76"/>
      <c r="AE120" s="75"/>
      <c r="AF120" s="11">
        <f t="shared" si="59"/>
        <v>0</v>
      </c>
      <c r="AJ120" s="127">
        <f t="shared" si="60"/>
        <v>0</v>
      </c>
      <c r="AL120" s="53">
        <f t="shared" si="61"/>
        <v>0</v>
      </c>
      <c r="AM120" s="53">
        <f t="shared" si="62"/>
        <v>0</v>
      </c>
      <c r="AN120" s="53">
        <f t="shared" si="74"/>
        <v>0</v>
      </c>
      <c r="AO120" s="90">
        <f t="shared" si="63"/>
        <v>0</v>
      </c>
      <c r="AP120" s="90">
        <f t="shared" si="64"/>
        <v>0</v>
      </c>
      <c r="AQ120" s="29">
        <f t="shared" si="65"/>
        <v>0</v>
      </c>
      <c r="AR120" s="30">
        <f t="shared" si="66"/>
        <v>0</v>
      </c>
      <c r="AS120" s="29">
        <f t="shared" si="67"/>
        <v>0</v>
      </c>
      <c r="AT120" s="10">
        <f t="shared" si="75"/>
        <v>0</v>
      </c>
      <c r="AU120" s="10">
        <f t="shared" si="68"/>
        <v>0</v>
      </c>
      <c r="AV120" s="3"/>
      <c r="AW120" s="53">
        <f t="shared" si="54"/>
        <v>0</v>
      </c>
      <c r="AX120" s="53" t="str">
        <f t="shared" si="55"/>
        <v>0</v>
      </c>
      <c r="AY120" s="95">
        <f t="shared" si="69"/>
        <v>0</v>
      </c>
      <c r="AZ120" s="95">
        <f t="shared" si="56"/>
        <v>0</v>
      </c>
      <c r="BA120" s="36">
        <f t="shared" si="70"/>
        <v>0</v>
      </c>
      <c r="BB120" s="2"/>
      <c r="BC120" s="53">
        <f t="shared" si="57"/>
        <v>0</v>
      </c>
      <c r="BD120" s="53" t="str">
        <f t="shared" si="71"/>
        <v>0</v>
      </c>
      <c r="BE120" s="95">
        <f t="shared" si="72"/>
        <v>0</v>
      </c>
      <c r="BF120" s="95">
        <f t="shared" si="58"/>
        <v>0</v>
      </c>
      <c r="BG120" s="36" t="str">
        <f t="shared" si="73"/>
        <v>0</v>
      </c>
    </row>
    <row r="121" spans="1:59" ht="10.95" hidden="1" customHeight="1" x14ac:dyDescent="0.3">
      <c r="A121" s="15">
        <v>117</v>
      </c>
      <c r="B121" s="15"/>
      <c r="C121" s="143"/>
      <c r="D121" s="144"/>
      <c r="E121" s="15"/>
      <c r="F121" s="143"/>
      <c r="G121" s="147"/>
      <c r="H121" s="52"/>
      <c r="I121" s="14"/>
      <c r="J121" s="36"/>
      <c r="K121" s="36"/>
      <c r="L121" s="13"/>
      <c r="M121" s="56"/>
      <c r="N121" s="145"/>
      <c r="O121" s="146"/>
      <c r="P121" s="57"/>
      <c r="Q121" s="36"/>
      <c r="R121" s="36"/>
      <c r="S121" s="36"/>
      <c r="T121" s="36"/>
      <c r="U121" s="36"/>
      <c r="V121" s="36"/>
      <c r="W121" s="36" t="s">
        <v>151</v>
      </c>
      <c r="X121" s="143"/>
      <c r="Y121" s="144"/>
      <c r="Z121" s="147"/>
      <c r="AA121" s="12"/>
      <c r="AB121" s="89"/>
      <c r="AC121" s="89"/>
      <c r="AD121" s="76"/>
      <c r="AE121" s="75"/>
      <c r="AF121" s="11">
        <f t="shared" si="59"/>
        <v>0</v>
      </c>
      <c r="AJ121" s="127">
        <f t="shared" si="60"/>
        <v>0</v>
      </c>
      <c r="AL121" s="53">
        <f t="shared" si="61"/>
        <v>0</v>
      </c>
      <c r="AM121" s="53">
        <f t="shared" si="62"/>
        <v>0</v>
      </c>
      <c r="AN121" s="53">
        <f t="shared" si="74"/>
        <v>0</v>
      </c>
      <c r="AO121" s="90">
        <f t="shared" si="63"/>
        <v>0</v>
      </c>
      <c r="AP121" s="90">
        <f t="shared" si="64"/>
        <v>0</v>
      </c>
      <c r="AQ121" s="29">
        <f t="shared" si="65"/>
        <v>0</v>
      </c>
      <c r="AR121" s="30">
        <f t="shared" si="66"/>
        <v>0</v>
      </c>
      <c r="AS121" s="29">
        <f t="shared" si="67"/>
        <v>0</v>
      </c>
      <c r="AT121" s="10">
        <f t="shared" si="75"/>
        <v>0</v>
      </c>
      <c r="AU121" s="10">
        <f t="shared" si="68"/>
        <v>0</v>
      </c>
      <c r="AV121" s="3"/>
      <c r="AW121" s="53">
        <f t="shared" si="54"/>
        <v>0</v>
      </c>
      <c r="AX121" s="53" t="str">
        <f t="shared" si="55"/>
        <v>0</v>
      </c>
      <c r="AY121" s="95">
        <f t="shared" si="69"/>
        <v>0</v>
      </c>
      <c r="AZ121" s="95">
        <f t="shared" si="56"/>
        <v>0</v>
      </c>
      <c r="BA121" s="36">
        <f t="shared" si="70"/>
        <v>0</v>
      </c>
      <c r="BB121" s="2"/>
      <c r="BC121" s="53">
        <f t="shared" si="57"/>
        <v>0</v>
      </c>
      <c r="BD121" s="53" t="str">
        <f t="shared" si="71"/>
        <v>0</v>
      </c>
      <c r="BE121" s="95">
        <f t="shared" si="72"/>
        <v>0</v>
      </c>
      <c r="BF121" s="95">
        <f t="shared" si="58"/>
        <v>0</v>
      </c>
      <c r="BG121" s="36" t="str">
        <f t="shared" si="73"/>
        <v>0</v>
      </c>
    </row>
    <row r="122" spans="1:59" ht="10.95" hidden="1" customHeight="1" x14ac:dyDescent="0.3">
      <c r="A122" s="15">
        <v>118</v>
      </c>
      <c r="B122" s="15"/>
      <c r="C122" s="143"/>
      <c r="D122" s="144"/>
      <c r="E122" s="15"/>
      <c r="F122" s="143"/>
      <c r="G122" s="147"/>
      <c r="H122" s="52"/>
      <c r="I122" s="14"/>
      <c r="J122" s="36"/>
      <c r="K122" s="36"/>
      <c r="L122" s="13"/>
      <c r="M122" s="56"/>
      <c r="N122" s="145"/>
      <c r="O122" s="146"/>
      <c r="P122" s="57"/>
      <c r="Q122" s="36"/>
      <c r="R122" s="36"/>
      <c r="S122" s="36"/>
      <c r="T122" s="36"/>
      <c r="U122" s="36"/>
      <c r="V122" s="36"/>
      <c r="W122" s="36" t="s">
        <v>151</v>
      </c>
      <c r="X122" s="143"/>
      <c r="Y122" s="144"/>
      <c r="Z122" s="147"/>
      <c r="AA122" s="12"/>
      <c r="AB122" s="89"/>
      <c r="AC122" s="89"/>
      <c r="AD122" s="76"/>
      <c r="AE122" s="75"/>
      <c r="AF122" s="11">
        <f t="shared" si="59"/>
        <v>0</v>
      </c>
      <c r="AJ122" s="127">
        <f t="shared" si="60"/>
        <v>0</v>
      </c>
      <c r="AL122" s="53">
        <f t="shared" si="61"/>
        <v>0</v>
      </c>
      <c r="AM122" s="53">
        <f t="shared" si="62"/>
        <v>0</v>
      </c>
      <c r="AN122" s="53">
        <f t="shared" si="74"/>
        <v>0</v>
      </c>
      <c r="AO122" s="90">
        <f t="shared" si="63"/>
        <v>0</v>
      </c>
      <c r="AP122" s="90">
        <f t="shared" si="64"/>
        <v>0</v>
      </c>
      <c r="AQ122" s="29">
        <f t="shared" si="65"/>
        <v>0</v>
      </c>
      <c r="AR122" s="30">
        <f t="shared" si="66"/>
        <v>0</v>
      </c>
      <c r="AS122" s="29">
        <f t="shared" si="67"/>
        <v>0</v>
      </c>
      <c r="AT122" s="10">
        <f t="shared" si="75"/>
        <v>0</v>
      </c>
      <c r="AU122" s="10">
        <f t="shared" si="68"/>
        <v>0</v>
      </c>
      <c r="AV122" s="3"/>
      <c r="AW122" s="53">
        <f t="shared" si="54"/>
        <v>0</v>
      </c>
      <c r="AX122" s="53" t="str">
        <f t="shared" si="55"/>
        <v>0</v>
      </c>
      <c r="AY122" s="95">
        <f t="shared" si="69"/>
        <v>0</v>
      </c>
      <c r="AZ122" s="95">
        <f t="shared" si="56"/>
        <v>0</v>
      </c>
      <c r="BA122" s="36">
        <f t="shared" si="70"/>
        <v>0</v>
      </c>
      <c r="BB122" s="2"/>
      <c r="BC122" s="53">
        <f t="shared" si="57"/>
        <v>0</v>
      </c>
      <c r="BD122" s="53" t="str">
        <f t="shared" si="71"/>
        <v>0</v>
      </c>
      <c r="BE122" s="95">
        <f t="shared" si="72"/>
        <v>0</v>
      </c>
      <c r="BF122" s="95">
        <f t="shared" si="58"/>
        <v>0</v>
      </c>
      <c r="BG122" s="36" t="str">
        <f t="shared" si="73"/>
        <v>0</v>
      </c>
    </row>
    <row r="123" spans="1:59" ht="10.95" hidden="1" customHeight="1" x14ac:dyDescent="0.3">
      <c r="A123" s="15">
        <v>119</v>
      </c>
      <c r="B123" s="15"/>
      <c r="C123" s="143"/>
      <c r="D123" s="144"/>
      <c r="E123" s="15"/>
      <c r="F123" s="143"/>
      <c r="G123" s="147"/>
      <c r="H123" s="52"/>
      <c r="I123" s="14"/>
      <c r="J123" s="36"/>
      <c r="K123" s="36"/>
      <c r="L123" s="13"/>
      <c r="M123" s="56"/>
      <c r="N123" s="145"/>
      <c r="O123" s="146"/>
      <c r="P123" s="57"/>
      <c r="Q123" s="36"/>
      <c r="R123" s="36"/>
      <c r="S123" s="36"/>
      <c r="T123" s="36"/>
      <c r="U123" s="36"/>
      <c r="V123" s="36"/>
      <c r="W123" s="36" t="s">
        <v>151</v>
      </c>
      <c r="X123" s="143"/>
      <c r="Y123" s="144"/>
      <c r="Z123" s="147"/>
      <c r="AA123" s="12"/>
      <c r="AB123" s="89"/>
      <c r="AC123" s="89"/>
      <c r="AD123" s="76"/>
      <c r="AE123" s="75"/>
      <c r="AF123" s="11">
        <f t="shared" si="59"/>
        <v>0</v>
      </c>
      <c r="AJ123" s="127">
        <f t="shared" si="60"/>
        <v>0</v>
      </c>
      <c r="AL123" s="53">
        <f t="shared" si="61"/>
        <v>0</v>
      </c>
      <c r="AM123" s="53">
        <f t="shared" si="62"/>
        <v>0</v>
      </c>
      <c r="AN123" s="53">
        <f t="shared" si="74"/>
        <v>0</v>
      </c>
      <c r="AO123" s="90">
        <f t="shared" si="63"/>
        <v>0</v>
      </c>
      <c r="AP123" s="90">
        <f t="shared" si="64"/>
        <v>0</v>
      </c>
      <c r="AQ123" s="29">
        <f t="shared" si="65"/>
        <v>0</v>
      </c>
      <c r="AR123" s="30">
        <f t="shared" si="66"/>
        <v>0</v>
      </c>
      <c r="AS123" s="29">
        <f t="shared" si="67"/>
        <v>0</v>
      </c>
      <c r="AT123" s="10">
        <f t="shared" si="75"/>
        <v>0</v>
      </c>
      <c r="AU123" s="10">
        <f t="shared" si="68"/>
        <v>0</v>
      </c>
      <c r="AV123" s="3"/>
      <c r="AW123" s="53">
        <f t="shared" si="54"/>
        <v>0</v>
      </c>
      <c r="AX123" s="53" t="str">
        <f t="shared" si="55"/>
        <v>0</v>
      </c>
      <c r="AY123" s="95">
        <f t="shared" si="69"/>
        <v>0</v>
      </c>
      <c r="AZ123" s="95">
        <f t="shared" si="56"/>
        <v>0</v>
      </c>
      <c r="BA123" s="36">
        <f t="shared" si="70"/>
        <v>0</v>
      </c>
      <c r="BB123" s="2"/>
      <c r="BC123" s="53">
        <f t="shared" si="57"/>
        <v>0</v>
      </c>
      <c r="BD123" s="53" t="str">
        <f t="shared" si="71"/>
        <v>0</v>
      </c>
      <c r="BE123" s="95">
        <f t="shared" si="72"/>
        <v>0</v>
      </c>
      <c r="BF123" s="95">
        <f t="shared" si="58"/>
        <v>0</v>
      </c>
      <c r="BG123" s="36" t="str">
        <f t="shared" si="73"/>
        <v>0</v>
      </c>
    </row>
    <row r="124" spans="1:59" ht="10.95" hidden="1" customHeight="1" x14ac:dyDescent="0.3">
      <c r="A124" s="15">
        <v>120</v>
      </c>
      <c r="B124" s="15"/>
      <c r="C124" s="143"/>
      <c r="D124" s="144"/>
      <c r="E124" s="15"/>
      <c r="F124" s="143"/>
      <c r="G124" s="147"/>
      <c r="H124" s="52"/>
      <c r="I124" s="14"/>
      <c r="J124" s="36"/>
      <c r="K124" s="36"/>
      <c r="L124" s="13"/>
      <c r="M124" s="56"/>
      <c r="N124" s="145"/>
      <c r="O124" s="146"/>
      <c r="P124" s="57"/>
      <c r="Q124" s="36"/>
      <c r="R124" s="36"/>
      <c r="S124" s="36"/>
      <c r="T124" s="36"/>
      <c r="U124" s="36"/>
      <c r="V124" s="36"/>
      <c r="W124" s="36" t="s">
        <v>151</v>
      </c>
      <c r="X124" s="143"/>
      <c r="Y124" s="144"/>
      <c r="Z124" s="147"/>
      <c r="AA124" s="12"/>
      <c r="AB124" s="89"/>
      <c r="AC124" s="89"/>
      <c r="AD124" s="76"/>
      <c r="AE124" s="75"/>
      <c r="AF124" s="11">
        <f t="shared" si="59"/>
        <v>0</v>
      </c>
      <c r="AJ124" s="127">
        <f t="shared" si="60"/>
        <v>0</v>
      </c>
      <c r="AL124" s="53">
        <f t="shared" si="61"/>
        <v>0</v>
      </c>
      <c r="AM124" s="53">
        <f t="shared" si="62"/>
        <v>0</v>
      </c>
      <c r="AN124" s="53">
        <f t="shared" si="74"/>
        <v>0</v>
      </c>
      <c r="AO124" s="90">
        <f t="shared" si="63"/>
        <v>0</v>
      </c>
      <c r="AP124" s="90">
        <f t="shared" si="64"/>
        <v>0</v>
      </c>
      <c r="AQ124" s="29">
        <f t="shared" si="65"/>
        <v>0</v>
      </c>
      <c r="AR124" s="30">
        <f t="shared" si="66"/>
        <v>0</v>
      </c>
      <c r="AS124" s="29">
        <f t="shared" si="67"/>
        <v>0</v>
      </c>
      <c r="AT124" s="10">
        <f t="shared" si="75"/>
        <v>0</v>
      </c>
      <c r="AU124" s="10">
        <f t="shared" si="68"/>
        <v>0</v>
      </c>
      <c r="AV124" s="3"/>
      <c r="AW124" s="53">
        <f t="shared" si="54"/>
        <v>0</v>
      </c>
      <c r="AX124" s="53" t="str">
        <f t="shared" si="55"/>
        <v>0</v>
      </c>
      <c r="AY124" s="95">
        <f t="shared" si="69"/>
        <v>0</v>
      </c>
      <c r="AZ124" s="95">
        <f t="shared" si="56"/>
        <v>0</v>
      </c>
      <c r="BA124" s="36">
        <f t="shared" si="70"/>
        <v>0</v>
      </c>
      <c r="BB124" s="2"/>
      <c r="BC124" s="53">
        <f t="shared" si="57"/>
        <v>0</v>
      </c>
      <c r="BD124" s="53" t="str">
        <f t="shared" si="71"/>
        <v>0</v>
      </c>
      <c r="BE124" s="95">
        <f t="shared" si="72"/>
        <v>0</v>
      </c>
      <c r="BF124" s="95">
        <f t="shared" si="58"/>
        <v>0</v>
      </c>
      <c r="BG124" s="36" t="str">
        <f t="shared" si="73"/>
        <v>0</v>
      </c>
    </row>
    <row r="125" spans="1:59" ht="10.95" hidden="1" customHeight="1" x14ac:dyDescent="0.3">
      <c r="A125" s="15">
        <v>121</v>
      </c>
      <c r="B125" s="15"/>
      <c r="C125" s="143"/>
      <c r="D125" s="144"/>
      <c r="E125" s="15"/>
      <c r="F125" s="143"/>
      <c r="G125" s="147"/>
      <c r="H125" s="52"/>
      <c r="I125" s="14"/>
      <c r="J125" s="36"/>
      <c r="K125" s="36"/>
      <c r="L125" s="13"/>
      <c r="M125" s="56"/>
      <c r="N125" s="145"/>
      <c r="O125" s="146"/>
      <c r="P125" s="57"/>
      <c r="Q125" s="36"/>
      <c r="R125" s="36"/>
      <c r="S125" s="36"/>
      <c r="T125" s="36"/>
      <c r="U125" s="36"/>
      <c r="V125" s="36"/>
      <c r="W125" s="36" t="s">
        <v>151</v>
      </c>
      <c r="X125" s="143"/>
      <c r="Y125" s="144"/>
      <c r="Z125" s="147"/>
      <c r="AA125" s="12"/>
      <c r="AB125" s="89"/>
      <c r="AC125" s="89"/>
      <c r="AD125" s="76"/>
      <c r="AE125" s="75"/>
      <c r="AF125" s="11">
        <f t="shared" si="59"/>
        <v>0</v>
      </c>
      <c r="AJ125" s="127">
        <f t="shared" si="60"/>
        <v>0</v>
      </c>
      <c r="AL125" s="53">
        <f t="shared" si="61"/>
        <v>0</v>
      </c>
      <c r="AM125" s="53">
        <f t="shared" si="62"/>
        <v>0</v>
      </c>
      <c r="AN125" s="53">
        <f t="shared" si="74"/>
        <v>0</v>
      </c>
      <c r="AO125" s="90">
        <f t="shared" si="63"/>
        <v>0</v>
      </c>
      <c r="AP125" s="90">
        <f t="shared" si="64"/>
        <v>0</v>
      </c>
      <c r="AQ125" s="29">
        <f t="shared" si="65"/>
        <v>0</v>
      </c>
      <c r="AR125" s="30">
        <f t="shared" si="66"/>
        <v>0</v>
      </c>
      <c r="AS125" s="29">
        <f t="shared" si="67"/>
        <v>0</v>
      </c>
      <c r="AT125" s="10">
        <f t="shared" si="75"/>
        <v>0</v>
      </c>
      <c r="AU125" s="10">
        <f t="shared" si="68"/>
        <v>0</v>
      </c>
      <c r="AV125" s="3"/>
      <c r="AW125" s="53">
        <f t="shared" si="54"/>
        <v>0</v>
      </c>
      <c r="AX125" s="53" t="str">
        <f t="shared" si="55"/>
        <v>0</v>
      </c>
      <c r="AY125" s="95">
        <f t="shared" si="69"/>
        <v>0</v>
      </c>
      <c r="AZ125" s="95">
        <f t="shared" si="56"/>
        <v>0</v>
      </c>
      <c r="BA125" s="36">
        <f t="shared" si="70"/>
        <v>0</v>
      </c>
      <c r="BB125" s="2"/>
      <c r="BC125" s="53">
        <f t="shared" si="57"/>
        <v>0</v>
      </c>
      <c r="BD125" s="53" t="str">
        <f t="shared" si="71"/>
        <v>0</v>
      </c>
      <c r="BE125" s="95">
        <f t="shared" si="72"/>
        <v>0</v>
      </c>
      <c r="BF125" s="95">
        <f t="shared" si="58"/>
        <v>0</v>
      </c>
      <c r="BG125" s="36" t="str">
        <f t="shared" si="73"/>
        <v>0</v>
      </c>
    </row>
    <row r="126" spans="1:59" ht="10.95" hidden="1" customHeight="1" x14ac:dyDescent="0.3">
      <c r="A126" s="15">
        <v>122</v>
      </c>
      <c r="B126" s="15"/>
      <c r="C126" s="143"/>
      <c r="D126" s="144"/>
      <c r="E126" s="15"/>
      <c r="F126" s="143"/>
      <c r="G126" s="147"/>
      <c r="H126" s="52"/>
      <c r="I126" s="14"/>
      <c r="J126" s="36"/>
      <c r="K126" s="36"/>
      <c r="L126" s="13"/>
      <c r="M126" s="56"/>
      <c r="N126" s="145"/>
      <c r="O126" s="146"/>
      <c r="P126" s="57"/>
      <c r="Q126" s="36"/>
      <c r="R126" s="36"/>
      <c r="S126" s="36"/>
      <c r="T126" s="36"/>
      <c r="U126" s="36"/>
      <c r="V126" s="36"/>
      <c r="W126" s="36" t="s">
        <v>151</v>
      </c>
      <c r="X126" s="143"/>
      <c r="Y126" s="144"/>
      <c r="Z126" s="147"/>
      <c r="AA126" s="12"/>
      <c r="AB126" s="89"/>
      <c r="AC126" s="89"/>
      <c r="AD126" s="76"/>
      <c r="AE126" s="75"/>
      <c r="AF126" s="11">
        <f t="shared" si="59"/>
        <v>0</v>
      </c>
      <c r="AJ126" s="127">
        <f t="shared" si="60"/>
        <v>0</v>
      </c>
      <c r="AL126" s="53">
        <f t="shared" si="61"/>
        <v>0</v>
      </c>
      <c r="AM126" s="53">
        <f t="shared" si="62"/>
        <v>0</v>
      </c>
      <c r="AN126" s="53">
        <f t="shared" si="74"/>
        <v>0</v>
      </c>
      <c r="AO126" s="90">
        <f t="shared" si="63"/>
        <v>0</v>
      </c>
      <c r="AP126" s="90">
        <f t="shared" si="64"/>
        <v>0</v>
      </c>
      <c r="AQ126" s="29">
        <f t="shared" si="65"/>
        <v>0</v>
      </c>
      <c r="AR126" s="30">
        <f t="shared" si="66"/>
        <v>0</v>
      </c>
      <c r="AS126" s="29">
        <f t="shared" si="67"/>
        <v>0</v>
      </c>
      <c r="AT126" s="10">
        <f t="shared" si="75"/>
        <v>0</v>
      </c>
      <c r="AU126" s="10">
        <f t="shared" si="68"/>
        <v>0</v>
      </c>
      <c r="AV126" s="3"/>
      <c r="AW126" s="53">
        <f t="shared" si="54"/>
        <v>0</v>
      </c>
      <c r="AX126" s="53" t="str">
        <f t="shared" si="55"/>
        <v>0</v>
      </c>
      <c r="AY126" s="95">
        <f t="shared" si="69"/>
        <v>0</v>
      </c>
      <c r="AZ126" s="95">
        <f t="shared" si="56"/>
        <v>0</v>
      </c>
      <c r="BA126" s="36">
        <f t="shared" si="70"/>
        <v>0</v>
      </c>
      <c r="BB126" s="2"/>
      <c r="BC126" s="53">
        <f t="shared" si="57"/>
        <v>0</v>
      </c>
      <c r="BD126" s="53" t="str">
        <f t="shared" si="71"/>
        <v>0</v>
      </c>
      <c r="BE126" s="95">
        <f t="shared" si="72"/>
        <v>0</v>
      </c>
      <c r="BF126" s="95">
        <f t="shared" si="58"/>
        <v>0</v>
      </c>
      <c r="BG126" s="36" t="str">
        <f t="shared" si="73"/>
        <v>0</v>
      </c>
    </row>
    <row r="127" spans="1:59" ht="10.95" hidden="1" customHeight="1" x14ac:dyDescent="0.3">
      <c r="A127" s="15">
        <v>123</v>
      </c>
      <c r="B127" s="15"/>
      <c r="C127" s="143"/>
      <c r="D127" s="144"/>
      <c r="E127" s="15"/>
      <c r="F127" s="143"/>
      <c r="G127" s="147"/>
      <c r="H127" s="52"/>
      <c r="I127" s="14"/>
      <c r="J127" s="36"/>
      <c r="K127" s="36"/>
      <c r="L127" s="13"/>
      <c r="M127" s="56"/>
      <c r="N127" s="145"/>
      <c r="O127" s="146"/>
      <c r="P127" s="57"/>
      <c r="Q127" s="36"/>
      <c r="R127" s="36"/>
      <c r="S127" s="36"/>
      <c r="T127" s="36"/>
      <c r="U127" s="36"/>
      <c r="V127" s="36"/>
      <c r="W127" s="36" t="s">
        <v>151</v>
      </c>
      <c r="X127" s="143"/>
      <c r="Y127" s="144"/>
      <c r="Z127" s="147"/>
      <c r="AA127" s="12"/>
      <c r="AB127" s="89"/>
      <c r="AC127" s="89"/>
      <c r="AD127" s="76"/>
      <c r="AE127" s="75"/>
      <c r="AF127" s="11">
        <f t="shared" si="59"/>
        <v>0</v>
      </c>
      <c r="AJ127" s="127">
        <f t="shared" si="60"/>
        <v>0</v>
      </c>
      <c r="AL127" s="53">
        <f t="shared" si="61"/>
        <v>0</v>
      </c>
      <c r="AM127" s="53">
        <f t="shared" si="62"/>
        <v>0</v>
      </c>
      <c r="AN127" s="53">
        <f t="shared" si="74"/>
        <v>0</v>
      </c>
      <c r="AO127" s="90">
        <f t="shared" si="63"/>
        <v>0</v>
      </c>
      <c r="AP127" s="90">
        <f t="shared" si="64"/>
        <v>0</v>
      </c>
      <c r="AQ127" s="29">
        <f t="shared" si="65"/>
        <v>0</v>
      </c>
      <c r="AR127" s="30">
        <f t="shared" si="66"/>
        <v>0</v>
      </c>
      <c r="AS127" s="29">
        <f t="shared" si="67"/>
        <v>0</v>
      </c>
      <c r="AT127" s="10">
        <f t="shared" si="75"/>
        <v>0</v>
      </c>
      <c r="AU127" s="10">
        <f t="shared" si="68"/>
        <v>0</v>
      </c>
      <c r="AV127" s="3"/>
      <c r="AW127" s="53">
        <f t="shared" si="54"/>
        <v>0</v>
      </c>
      <c r="AX127" s="53" t="str">
        <f t="shared" si="55"/>
        <v>0</v>
      </c>
      <c r="AY127" s="95">
        <f t="shared" si="69"/>
        <v>0</v>
      </c>
      <c r="AZ127" s="95">
        <f t="shared" si="56"/>
        <v>0</v>
      </c>
      <c r="BA127" s="36">
        <f t="shared" si="70"/>
        <v>0</v>
      </c>
      <c r="BB127" s="2"/>
      <c r="BC127" s="53">
        <f t="shared" si="57"/>
        <v>0</v>
      </c>
      <c r="BD127" s="53" t="str">
        <f t="shared" si="71"/>
        <v>0</v>
      </c>
      <c r="BE127" s="95">
        <f t="shared" si="72"/>
        <v>0</v>
      </c>
      <c r="BF127" s="95">
        <f t="shared" si="58"/>
        <v>0</v>
      </c>
      <c r="BG127" s="36" t="str">
        <f t="shared" si="73"/>
        <v>0</v>
      </c>
    </row>
    <row r="128" spans="1:59" ht="10.95" hidden="1" customHeight="1" x14ac:dyDescent="0.3">
      <c r="A128" s="15">
        <v>124</v>
      </c>
      <c r="B128" s="15"/>
      <c r="C128" s="143"/>
      <c r="D128" s="144"/>
      <c r="E128" s="15"/>
      <c r="F128" s="143"/>
      <c r="G128" s="147"/>
      <c r="H128" s="52"/>
      <c r="I128" s="14"/>
      <c r="J128" s="36"/>
      <c r="K128" s="36"/>
      <c r="L128" s="13"/>
      <c r="M128" s="56"/>
      <c r="N128" s="145"/>
      <c r="O128" s="146"/>
      <c r="P128" s="57"/>
      <c r="Q128" s="36"/>
      <c r="R128" s="36"/>
      <c r="S128" s="36"/>
      <c r="T128" s="36"/>
      <c r="U128" s="36"/>
      <c r="V128" s="36"/>
      <c r="W128" s="36" t="s">
        <v>151</v>
      </c>
      <c r="X128" s="143"/>
      <c r="Y128" s="144"/>
      <c r="Z128" s="147"/>
      <c r="AA128" s="12"/>
      <c r="AB128" s="89"/>
      <c r="AC128" s="89"/>
      <c r="AD128" s="76"/>
      <c r="AE128" s="75"/>
      <c r="AF128" s="11">
        <f t="shared" si="59"/>
        <v>0</v>
      </c>
      <c r="AJ128" s="127">
        <f t="shared" si="60"/>
        <v>0</v>
      </c>
      <c r="AL128" s="53">
        <f t="shared" si="61"/>
        <v>0</v>
      </c>
      <c r="AM128" s="53">
        <f t="shared" si="62"/>
        <v>0</v>
      </c>
      <c r="AN128" s="53">
        <f t="shared" si="74"/>
        <v>0</v>
      </c>
      <c r="AO128" s="90">
        <f t="shared" si="63"/>
        <v>0</v>
      </c>
      <c r="AP128" s="90">
        <f t="shared" si="64"/>
        <v>0</v>
      </c>
      <c r="AQ128" s="29">
        <f t="shared" si="65"/>
        <v>0</v>
      </c>
      <c r="AR128" s="30">
        <f t="shared" si="66"/>
        <v>0</v>
      </c>
      <c r="AS128" s="29">
        <f t="shared" si="67"/>
        <v>0</v>
      </c>
      <c r="AT128" s="10">
        <f t="shared" si="75"/>
        <v>0</v>
      </c>
      <c r="AU128" s="10">
        <f t="shared" si="68"/>
        <v>0</v>
      </c>
      <c r="AV128" s="3"/>
      <c r="AW128" s="53">
        <f t="shared" si="54"/>
        <v>0</v>
      </c>
      <c r="AX128" s="53" t="str">
        <f t="shared" si="55"/>
        <v>0</v>
      </c>
      <c r="AY128" s="95">
        <f t="shared" si="69"/>
        <v>0</v>
      </c>
      <c r="AZ128" s="95">
        <f t="shared" si="56"/>
        <v>0</v>
      </c>
      <c r="BA128" s="36">
        <f t="shared" si="70"/>
        <v>0</v>
      </c>
      <c r="BB128" s="2"/>
      <c r="BC128" s="53">
        <f t="shared" si="57"/>
        <v>0</v>
      </c>
      <c r="BD128" s="53" t="str">
        <f t="shared" si="71"/>
        <v>0</v>
      </c>
      <c r="BE128" s="95">
        <f t="shared" si="72"/>
        <v>0</v>
      </c>
      <c r="BF128" s="95">
        <f t="shared" si="58"/>
        <v>0</v>
      </c>
      <c r="BG128" s="36" t="str">
        <f t="shared" si="73"/>
        <v>0</v>
      </c>
    </row>
    <row r="129" spans="1:59" ht="10.95" hidden="1" customHeight="1" x14ac:dyDescent="0.3">
      <c r="A129" s="15">
        <v>125</v>
      </c>
      <c r="B129" s="15"/>
      <c r="C129" s="143"/>
      <c r="D129" s="144"/>
      <c r="E129" s="15"/>
      <c r="F129" s="143"/>
      <c r="G129" s="147"/>
      <c r="H129" s="52"/>
      <c r="I129" s="14"/>
      <c r="J129" s="36"/>
      <c r="K129" s="36"/>
      <c r="L129" s="13"/>
      <c r="M129" s="56"/>
      <c r="N129" s="145"/>
      <c r="O129" s="146"/>
      <c r="P129" s="57"/>
      <c r="Q129" s="36"/>
      <c r="R129" s="36"/>
      <c r="S129" s="36"/>
      <c r="T129" s="36"/>
      <c r="U129" s="36"/>
      <c r="V129" s="36"/>
      <c r="W129" s="36" t="s">
        <v>151</v>
      </c>
      <c r="X129" s="143"/>
      <c r="Y129" s="144"/>
      <c r="Z129" s="147"/>
      <c r="AA129" s="12"/>
      <c r="AB129" s="89"/>
      <c r="AC129" s="89"/>
      <c r="AD129" s="76"/>
      <c r="AE129" s="75"/>
      <c r="AF129" s="11">
        <f t="shared" si="59"/>
        <v>0</v>
      </c>
      <c r="AJ129" s="127">
        <f t="shared" si="60"/>
        <v>0</v>
      </c>
      <c r="AL129" s="53">
        <f t="shared" si="61"/>
        <v>0</v>
      </c>
      <c r="AM129" s="53">
        <f t="shared" si="62"/>
        <v>0</v>
      </c>
      <c r="AN129" s="53">
        <f t="shared" si="74"/>
        <v>0</v>
      </c>
      <c r="AO129" s="90">
        <f t="shared" si="63"/>
        <v>0</v>
      </c>
      <c r="AP129" s="90">
        <f t="shared" si="64"/>
        <v>0</v>
      </c>
      <c r="AQ129" s="29">
        <f t="shared" si="65"/>
        <v>0</v>
      </c>
      <c r="AR129" s="30">
        <f t="shared" si="66"/>
        <v>0</v>
      </c>
      <c r="AS129" s="29">
        <f t="shared" si="67"/>
        <v>0</v>
      </c>
      <c r="AT129" s="10">
        <f t="shared" si="75"/>
        <v>0</v>
      </c>
      <c r="AU129" s="10">
        <f t="shared" si="68"/>
        <v>0</v>
      </c>
      <c r="AV129" s="3"/>
      <c r="AW129" s="53">
        <f t="shared" si="54"/>
        <v>0</v>
      </c>
      <c r="AX129" s="53" t="str">
        <f t="shared" si="55"/>
        <v>0</v>
      </c>
      <c r="AY129" s="95">
        <f t="shared" si="69"/>
        <v>0</v>
      </c>
      <c r="AZ129" s="95">
        <f t="shared" si="56"/>
        <v>0</v>
      </c>
      <c r="BA129" s="36">
        <f t="shared" si="70"/>
        <v>0</v>
      </c>
      <c r="BB129" s="2"/>
      <c r="BC129" s="53">
        <f t="shared" si="57"/>
        <v>0</v>
      </c>
      <c r="BD129" s="53" t="str">
        <f t="shared" si="71"/>
        <v>0</v>
      </c>
      <c r="BE129" s="95">
        <f t="shared" si="72"/>
        <v>0</v>
      </c>
      <c r="BF129" s="95">
        <f t="shared" si="58"/>
        <v>0</v>
      </c>
      <c r="BG129" s="36" t="str">
        <f t="shared" si="73"/>
        <v>0</v>
      </c>
    </row>
    <row r="130" spans="1:59" ht="10.95" hidden="1" customHeight="1" x14ac:dyDescent="0.3">
      <c r="A130" s="15">
        <v>126</v>
      </c>
      <c r="B130" s="15"/>
      <c r="C130" s="143"/>
      <c r="D130" s="144"/>
      <c r="E130" s="15"/>
      <c r="F130" s="143"/>
      <c r="G130" s="147"/>
      <c r="H130" s="52"/>
      <c r="I130" s="14"/>
      <c r="J130" s="36"/>
      <c r="K130" s="36"/>
      <c r="L130" s="13"/>
      <c r="M130" s="56"/>
      <c r="N130" s="145"/>
      <c r="O130" s="146"/>
      <c r="P130" s="57"/>
      <c r="Q130" s="36"/>
      <c r="R130" s="36"/>
      <c r="S130" s="36"/>
      <c r="T130" s="36"/>
      <c r="U130" s="36"/>
      <c r="V130" s="36"/>
      <c r="W130" s="36" t="s">
        <v>151</v>
      </c>
      <c r="X130" s="143"/>
      <c r="Y130" s="144"/>
      <c r="Z130" s="147"/>
      <c r="AA130" s="12"/>
      <c r="AB130" s="89"/>
      <c r="AC130" s="89"/>
      <c r="AD130" s="76"/>
      <c r="AE130" s="75"/>
      <c r="AF130" s="11">
        <f t="shared" si="59"/>
        <v>0</v>
      </c>
      <c r="AJ130" s="127">
        <f t="shared" si="60"/>
        <v>0</v>
      </c>
      <c r="AL130" s="53">
        <f t="shared" si="61"/>
        <v>0</v>
      </c>
      <c r="AM130" s="53">
        <f t="shared" si="62"/>
        <v>0</v>
      </c>
      <c r="AN130" s="53">
        <f t="shared" si="74"/>
        <v>0</v>
      </c>
      <c r="AO130" s="90">
        <f t="shared" si="63"/>
        <v>0</v>
      </c>
      <c r="AP130" s="90">
        <f t="shared" si="64"/>
        <v>0</v>
      </c>
      <c r="AQ130" s="29">
        <f t="shared" si="65"/>
        <v>0</v>
      </c>
      <c r="AR130" s="30">
        <f t="shared" si="66"/>
        <v>0</v>
      </c>
      <c r="AS130" s="29">
        <f t="shared" si="67"/>
        <v>0</v>
      </c>
      <c r="AT130" s="10">
        <f t="shared" si="75"/>
        <v>0</v>
      </c>
      <c r="AU130" s="10">
        <f t="shared" si="68"/>
        <v>0</v>
      </c>
      <c r="AV130" s="3"/>
      <c r="AW130" s="53">
        <f t="shared" si="54"/>
        <v>0</v>
      </c>
      <c r="AX130" s="53" t="str">
        <f t="shared" si="55"/>
        <v>0</v>
      </c>
      <c r="AY130" s="95">
        <f t="shared" si="69"/>
        <v>0</v>
      </c>
      <c r="AZ130" s="95">
        <f t="shared" si="56"/>
        <v>0</v>
      </c>
      <c r="BA130" s="36">
        <f t="shared" si="70"/>
        <v>0</v>
      </c>
      <c r="BB130" s="2"/>
      <c r="BC130" s="53">
        <f t="shared" si="57"/>
        <v>0</v>
      </c>
      <c r="BD130" s="53" t="str">
        <f t="shared" si="71"/>
        <v>0</v>
      </c>
      <c r="BE130" s="95">
        <f t="shared" si="72"/>
        <v>0</v>
      </c>
      <c r="BF130" s="95">
        <f t="shared" si="58"/>
        <v>0</v>
      </c>
      <c r="BG130" s="36" t="str">
        <f t="shared" si="73"/>
        <v>0</v>
      </c>
    </row>
    <row r="131" spans="1:59" ht="10.95" hidden="1" customHeight="1" x14ac:dyDescent="0.3">
      <c r="A131" s="15">
        <v>127</v>
      </c>
      <c r="B131" s="15"/>
      <c r="C131" s="143"/>
      <c r="D131" s="144"/>
      <c r="E131" s="15"/>
      <c r="F131" s="143"/>
      <c r="G131" s="147"/>
      <c r="H131" s="52"/>
      <c r="I131" s="14"/>
      <c r="J131" s="36"/>
      <c r="K131" s="36"/>
      <c r="L131" s="13"/>
      <c r="M131" s="56"/>
      <c r="N131" s="145"/>
      <c r="O131" s="146"/>
      <c r="P131" s="57"/>
      <c r="Q131" s="36"/>
      <c r="R131" s="36"/>
      <c r="S131" s="36"/>
      <c r="T131" s="36"/>
      <c r="U131" s="36"/>
      <c r="V131" s="36"/>
      <c r="W131" s="36" t="s">
        <v>151</v>
      </c>
      <c r="X131" s="143"/>
      <c r="Y131" s="144"/>
      <c r="Z131" s="147"/>
      <c r="AA131" s="12"/>
      <c r="AB131" s="89"/>
      <c r="AC131" s="89"/>
      <c r="AD131" s="76"/>
      <c r="AE131" s="75"/>
      <c r="AF131" s="11">
        <f t="shared" si="59"/>
        <v>0</v>
      </c>
      <c r="AJ131" s="127">
        <f t="shared" si="60"/>
        <v>0</v>
      </c>
      <c r="AL131" s="53">
        <f t="shared" si="61"/>
        <v>0</v>
      </c>
      <c r="AM131" s="53">
        <f t="shared" si="62"/>
        <v>0</v>
      </c>
      <c r="AN131" s="53">
        <f t="shared" si="74"/>
        <v>0</v>
      </c>
      <c r="AO131" s="90">
        <f t="shared" si="63"/>
        <v>0</v>
      </c>
      <c r="AP131" s="90">
        <f t="shared" si="64"/>
        <v>0</v>
      </c>
      <c r="AQ131" s="29">
        <f t="shared" si="65"/>
        <v>0</v>
      </c>
      <c r="AR131" s="30">
        <f t="shared" si="66"/>
        <v>0</v>
      </c>
      <c r="AS131" s="29">
        <f t="shared" si="67"/>
        <v>0</v>
      </c>
      <c r="AT131" s="10">
        <f t="shared" si="75"/>
        <v>0</v>
      </c>
      <c r="AU131" s="10">
        <f t="shared" si="68"/>
        <v>0</v>
      </c>
      <c r="AV131" s="3"/>
      <c r="AW131" s="53">
        <f t="shared" si="54"/>
        <v>0</v>
      </c>
      <c r="AX131" s="53" t="str">
        <f t="shared" si="55"/>
        <v>0</v>
      </c>
      <c r="AY131" s="95">
        <f t="shared" si="69"/>
        <v>0</v>
      </c>
      <c r="AZ131" s="95">
        <f t="shared" si="56"/>
        <v>0</v>
      </c>
      <c r="BA131" s="36">
        <f t="shared" si="70"/>
        <v>0</v>
      </c>
      <c r="BB131" s="2"/>
      <c r="BC131" s="53">
        <f t="shared" si="57"/>
        <v>0</v>
      </c>
      <c r="BD131" s="53" t="str">
        <f t="shared" si="71"/>
        <v>0</v>
      </c>
      <c r="BE131" s="95">
        <f t="shared" si="72"/>
        <v>0</v>
      </c>
      <c r="BF131" s="95">
        <f t="shared" si="58"/>
        <v>0</v>
      </c>
      <c r="BG131" s="36" t="str">
        <f t="shared" si="73"/>
        <v>0</v>
      </c>
    </row>
    <row r="132" spans="1:59" ht="10.95" hidden="1" customHeight="1" x14ac:dyDescent="0.3">
      <c r="A132" s="15">
        <v>128</v>
      </c>
      <c r="B132" s="15"/>
      <c r="C132" s="143"/>
      <c r="D132" s="144"/>
      <c r="E132" s="15"/>
      <c r="F132" s="143"/>
      <c r="G132" s="147"/>
      <c r="H132" s="52"/>
      <c r="I132" s="14"/>
      <c r="J132" s="36"/>
      <c r="K132" s="36"/>
      <c r="L132" s="13"/>
      <c r="M132" s="56"/>
      <c r="N132" s="145"/>
      <c r="O132" s="146"/>
      <c r="P132" s="57"/>
      <c r="Q132" s="36"/>
      <c r="R132" s="36"/>
      <c r="S132" s="36"/>
      <c r="T132" s="36"/>
      <c r="U132" s="36"/>
      <c r="V132" s="36"/>
      <c r="W132" s="36" t="s">
        <v>151</v>
      </c>
      <c r="X132" s="143"/>
      <c r="Y132" s="144"/>
      <c r="Z132" s="147"/>
      <c r="AA132" s="12"/>
      <c r="AB132" s="89"/>
      <c r="AC132" s="89"/>
      <c r="AD132" s="76"/>
      <c r="AE132" s="75"/>
      <c r="AF132" s="11">
        <f t="shared" si="59"/>
        <v>0</v>
      </c>
      <c r="AJ132" s="127">
        <f t="shared" si="60"/>
        <v>0</v>
      </c>
      <c r="AL132" s="53">
        <f t="shared" si="61"/>
        <v>0</v>
      </c>
      <c r="AM132" s="53">
        <f t="shared" si="62"/>
        <v>0</v>
      </c>
      <c r="AN132" s="53">
        <f t="shared" si="74"/>
        <v>0</v>
      </c>
      <c r="AO132" s="90">
        <f t="shared" si="63"/>
        <v>0</v>
      </c>
      <c r="AP132" s="90">
        <f t="shared" si="64"/>
        <v>0</v>
      </c>
      <c r="AQ132" s="29">
        <f t="shared" si="65"/>
        <v>0</v>
      </c>
      <c r="AR132" s="30">
        <f t="shared" si="66"/>
        <v>0</v>
      </c>
      <c r="AS132" s="29">
        <f t="shared" si="67"/>
        <v>0</v>
      </c>
      <c r="AT132" s="10">
        <f t="shared" si="75"/>
        <v>0</v>
      </c>
      <c r="AU132" s="10">
        <f t="shared" si="68"/>
        <v>0</v>
      </c>
      <c r="AV132" s="3"/>
      <c r="AW132" s="53">
        <f t="shared" si="54"/>
        <v>0</v>
      </c>
      <c r="AX132" s="53" t="str">
        <f t="shared" si="55"/>
        <v>0</v>
      </c>
      <c r="AY132" s="95">
        <f t="shared" si="69"/>
        <v>0</v>
      </c>
      <c r="AZ132" s="95">
        <f t="shared" si="56"/>
        <v>0</v>
      </c>
      <c r="BA132" s="36">
        <f t="shared" si="70"/>
        <v>0</v>
      </c>
      <c r="BB132" s="2"/>
      <c r="BC132" s="53">
        <f t="shared" si="57"/>
        <v>0</v>
      </c>
      <c r="BD132" s="53" t="str">
        <f t="shared" si="71"/>
        <v>0</v>
      </c>
      <c r="BE132" s="95">
        <f t="shared" si="72"/>
        <v>0</v>
      </c>
      <c r="BF132" s="95">
        <f t="shared" si="58"/>
        <v>0</v>
      </c>
      <c r="BG132" s="36" t="str">
        <f t="shared" si="73"/>
        <v>0</v>
      </c>
    </row>
    <row r="133" spans="1:59" ht="10.95" hidden="1" customHeight="1" x14ac:dyDescent="0.3">
      <c r="A133" s="15">
        <v>129</v>
      </c>
      <c r="B133" s="15"/>
      <c r="C133" s="143"/>
      <c r="D133" s="144"/>
      <c r="E133" s="15"/>
      <c r="F133" s="143"/>
      <c r="G133" s="147"/>
      <c r="H133" s="52"/>
      <c r="I133" s="14"/>
      <c r="J133" s="36"/>
      <c r="K133" s="36"/>
      <c r="L133" s="13"/>
      <c r="M133" s="56"/>
      <c r="N133" s="145"/>
      <c r="O133" s="146"/>
      <c r="P133" s="57"/>
      <c r="Q133" s="36"/>
      <c r="R133" s="36"/>
      <c r="S133" s="36"/>
      <c r="T133" s="36"/>
      <c r="U133" s="36"/>
      <c r="V133" s="36"/>
      <c r="W133" s="36" t="s">
        <v>151</v>
      </c>
      <c r="X133" s="143"/>
      <c r="Y133" s="144"/>
      <c r="Z133" s="147"/>
      <c r="AA133" s="12"/>
      <c r="AB133" s="89"/>
      <c r="AC133" s="89"/>
      <c r="AD133" s="76"/>
      <c r="AE133" s="75"/>
      <c r="AF133" s="11">
        <f t="shared" ref="AF133:AF164" si="76">SUM(AT133+AU133)</f>
        <v>0</v>
      </c>
      <c r="AJ133" s="127">
        <f t="shared" ref="AJ133:AJ164" si="77">(I133*H133)/12</f>
        <v>0</v>
      </c>
      <c r="AL133" s="53">
        <f t="shared" ref="AL133:AL164" si="78">IFERROR((AY133/$B$3)*$AA$2,0)</f>
        <v>0</v>
      </c>
      <c r="AM133" s="53">
        <f t="shared" ref="AM133:AM164" si="79">AA133+AL133</f>
        <v>0</v>
      </c>
      <c r="AN133" s="53">
        <f t="shared" si="74"/>
        <v>0</v>
      </c>
      <c r="AO133" s="90">
        <f t="shared" ref="AO133:AO164" si="80">IFERROR((AY133/$B$3)*($AD$2*$AH$5),0)</f>
        <v>0</v>
      </c>
      <c r="AP133" s="90">
        <f t="shared" ref="AP133:AP164" si="81">IF($S$3="Yes",(AY133/$B$3)*($AH$5*2),0)</f>
        <v>0</v>
      </c>
      <c r="AQ133" s="29">
        <f t="shared" ref="AQ133:AQ164" si="82">((AZ133+BF133))*$AH$8</f>
        <v>0</v>
      </c>
      <c r="AR133" s="30">
        <f t="shared" ref="AR133:AR164" si="83">AF133*$AC$210</f>
        <v>0</v>
      </c>
      <c r="AS133" s="29">
        <f t="shared" ref="AS133:AS164" si="84">AF133-AT133-AR133-AQ133</f>
        <v>0</v>
      </c>
      <c r="AT133" s="10">
        <f t="shared" si="75"/>
        <v>0</v>
      </c>
      <c r="AU133" s="10">
        <f t="shared" ref="AU133:AU164" si="85">AT133*$AC$214</f>
        <v>0</v>
      </c>
      <c r="AV133" s="3"/>
      <c r="AW133" s="53">
        <f t="shared" si="54"/>
        <v>0</v>
      </c>
      <c r="AX133" s="53" t="str">
        <f t="shared" si="55"/>
        <v>0</v>
      </c>
      <c r="AY133" s="95">
        <f t="shared" ref="AY133:AY164" si="86">(I133*J133*H133)/144</f>
        <v>0</v>
      </c>
      <c r="AZ133" s="95">
        <f t="shared" si="56"/>
        <v>0</v>
      </c>
      <c r="BA133" s="36">
        <f t="shared" ref="BA133:BA164" si="87">H133</f>
        <v>0</v>
      </c>
      <c r="BB133" s="2"/>
      <c r="BC133" s="53">
        <f t="shared" si="57"/>
        <v>0</v>
      </c>
      <c r="BD133" s="53" t="str">
        <f t="shared" ref="BD133:BD164" si="88">IF($V$3="Yes",(BC133*0.4),"0")</f>
        <v>0</v>
      </c>
      <c r="BE133" s="95">
        <f t="shared" ref="BE133:BE164" si="89">IF(W133="Yes",((I133*J133*H133)/144),0)</f>
        <v>0</v>
      </c>
      <c r="BF133" s="95">
        <f t="shared" si="58"/>
        <v>0</v>
      </c>
      <c r="BG133" s="36" t="str">
        <f t="shared" ref="BG133:BG164" si="90">IF(W133="Yes",H133,"0")</f>
        <v>0</v>
      </c>
    </row>
    <row r="134" spans="1:59" ht="10.95" hidden="1" customHeight="1" x14ac:dyDescent="0.3">
      <c r="A134" s="15">
        <v>130</v>
      </c>
      <c r="B134" s="15"/>
      <c r="C134" s="143"/>
      <c r="D134" s="144"/>
      <c r="E134" s="15"/>
      <c r="F134" s="143"/>
      <c r="G134" s="147"/>
      <c r="H134" s="52"/>
      <c r="I134" s="14"/>
      <c r="J134" s="36"/>
      <c r="K134" s="36"/>
      <c r="L134" s="13"/>
      <c r="M134" s="56"/>
      <c r="N134" s="145"/>
      <c r="O134" s="146"/>
      <c r="P134" s="57"/>
      <c r="Q134" s="36"/>
      <c r="R134" s="36"/>
      <c r="S134" s="36"/>
      <c r="T134" s="36"/>
      <c r="U134" s="36"/>
      <c r="V134" s="36"/>
      <c r="W134" s="36" t="s">
        <v>151</v>
      </c>
      <c r="X134" s="143"/>
      <c r="Y134" s="144"/>
      <c r="Z134" s="147"/>
      <c r="AA134" s="12"/>
      <c r="AB134" s="89"/>
      <c r="AC134" s="89"/>
      <c r="AD134" s="76"/>
      <c r="AE134" s="75"/>
      <c r="AF134" s="11">
        <f t="shared" si="76"/>
        <v>0</v>
      </c>
      <c r="AJ134" s="127">
        <f t="shared" si="77"/>
        <v>0</v>
      </c>
      <c r="AL134" s="53">
        <f t="shared" si="78"/>
        <v>0</v>
      </c>
      <c r="AM134" s="53">
        <f t="shared" si="79"/>
        <v>0</v>
      </c>
      <c r="AN134" s="53">
        <f t="shared" si="74"/>
        <v>0</v>
      </c>
      <c r="AO134" s="90">
        <f t="shared" si="80"/>
        <v>0</v>
      </c>
      <c r="AP134" s="90">
        <f t="shared" si="81"/>
        <v>0</v>
      </c>
      <c r="AQ134" s="29">
        <f t="shared" si="82"/>
        <v>0</v>
      </c>
      <c r="AR134" s="30">
        <f t="shared" si="83"/>
        <v>0</v>
      </c>
      <c r="AS134" s="29">
        <f t="shared" si="84"/>
        <v>0</v>
      </c>
      <c r="AT134" s="10">
        <f t="shared" si="75"/>
        <v>0</v>
      </c>
      <c r="AU134" s="10">
        <f t="shared" si="85"/>
        <v>0</v>
      </c>
      <c r="AV134" s="3"/>
      <c r="AW134" s="53">
        <f t="shared" ref="AW134:AW197" si="91">IF($X$3="No",((AB134*BA134)/60)*$AH$5,((AB134*BA134)/60)*$AH$11)</f>
        <v>0</v>
      </c>
      <c r="AX134" s="53" t="str">
        <f t="shared" ref="AX134:AX197" si="92">IF($V$3="Yes",((AW134+AN134+AO134)*0.4),"0")</f>
        <v>0</v>
      </c>
      <c r="AY134" s="95">
        <f t="shared" si="86"/>
        <v>0</v>
      </c>
      <c r="AZ134" s="95">
        <f t="shared" ref="AZ134:AZ197" si="93">IF($X$3="No",((AN134+AW134+AO134)/$AH$5),((AN134+AW134+AO134)/$AH$11))</f>
        <v>0</v>
      </c>
      <c r="BA134" s="36">
        <f t="shared" si="87"/>
        <v>0</v>
      </c>
      <c r="BB134" s="2"/>
      <c r="BC134" s="53">
        <f t="shared" ref="BC134:BC197" si="94">IF($X$3="No",((((AC134)*BG134)/60)*$AH$5),((((AC134)*BG134)/60)*$AH$11))</f>
        <v>0</v>
      </c>
      <c r="BD134" s="53" t="str">
        <f t="shared" si="88"/>
        <v>0</v>
      </c>
      <c r="BE134" s="95">
        <f t="shared" si="89"/>
        <v>0</v>
      </c>
      <c r="BF134" s="95">
        <f t="shared" ref="BF134:BF197" si="95">IF($X$3="No",(BC134/$AH$5),(BC134/$AH$11))</f>
        <v>0</v>
      </c>
      <c r="BG134" s="36" t="str">
        <f t="shared" si="90"/>
        <v>0</v>
      </c>
    </row>
    <row r="135" spans="1:59" ht="10.95" hidden="1" customHeight="1" x14ac:dyDescent="0.3">
      <c r="A135" s="15">
        <v>131</v>
      </c>
      <c r="B135" s="15"/>
      <c r="C135" s="143"/>
      <c r="D135" s="144"/>
      <c r="E135" s="15"/>
      <c r="F135" s="143"/>
      <c r="G135" s="147"/>
      <c r="H135" s="52"/>
      <c r="I135" s="14"/>
      <c r="J135" s="36"/>
      <c r="K135" s="36"/>
      <c r="L135" s="13"/>
      <c r="M135" s="56"/>
      <c r="N135" s="145"/>
      <c r="O135" s="146"/>
      <c r="P135" s="57"/>
      <c r="Q135" s="36"/>
      <c r="R135" s="36"/>
      <c r="S135" s="36"/>
      <c r="T135" s="36"/>
      <c r="U135" s="36"/>
      <c r="V135" s="36"/>
      <c r="W135" s="36" t="s">
        <v>151</v>
      </c>
      <c r="X135" s="143"/>
      <c r="Y135" s="144"/>
      <c r="Z135" s="147"/>
      <c r="AA135" s="12"/>
      <c r="AB135" s="89"/>
      <c r="AC135" s="89"/>
      <c r="AD135" s="76"/>
      <c r="AE135" s="75"/>
      <c r="AF135" s="11">
        <f t="shared" si="76"/>
        <v>0</v>
      </c>
      <c r="AJ135" s="127">
        <f t="shared" si="77"/>
        <v>0</v>
      </c>
      <c r="AL135" s="53">
        <f t="shared" si="78"/>
        <v>0</v>
      </c>
      <c r="AM135" s="53">
        <f t="shared" si="79"/>
        <v>0</v>
      </c>
      <c r="AN135" s="53">
        <f t="shared" si="74"/>
        <v>0</v>
      </c>
      <c r="AO135" s="90">
        <f t="shared" si="80"/>
        <v>0</v>
      </c>
      <c r="AP135" s="90">
        <f t="shared" si="81"/>
        <v>0</v>
      </c>
      <c r="AQ135" s="29">
        <f t="shared" si="82"/>
        <v>0</v>
      </c>
      <c r="AR135" s="30">
        <f t="shared" si="83"/>
        <v>0</v>
      </c>
      <c r="AS135" s="29">
        <f t="shared" si="84"/>
        <v>0</v>
      </c>
      <c r="AT135" s="10">
        <f t="shared" si="75"/>
        <v>0</v>
      </c>
      <c r="AU135" s="10">
        <f t="shared" si="85"/>
        <v>0</v>
      </c>
      <c r="AV135" s="3"/>
      <c r="AW135" s="53">
        <f t="shared" si="91"/>
        <v>0</v>
      </c>
      <c r="AX135" s="53" t="str">
        <f t="shared" si="92"/>
        <v>0</v>
      </c>
      <c r="AY135" s="95">
        <f t="shared" si="86"/>
        <v>0</v>
      </c>
      <c r="AZ135" s="95">
        <f t="shared" si="93"/>
        <v>0</v>
      </c>
      <c r="BA135" s="36">
        <f t="shared" si="87"/>
        <v>0</v>
      </c>
      <c r="BB135" s="2"/>
      <c r="BC135" s="53">
        <f t="shared" si="94"/>
        <v>0</v>
      </c>
      <c r="BD135" s="53" t="str">
        <f t="shared" si="88"/>
        <v>0</v>
      </c>
      <c r="BE135" s="95">
        <f t="shared" si="89"/>
        <v>0</v>
      </c>
      <c r="BF135" s="95">
        <f t="shared" si="95"/>
        <v>0</v>
      </c>
      <c r="BG135" s="36" t="str">
        <f t="shared" si="90"/>
        <v>0</v>
      </c>
    </row>
    <row r="136" spans="1:59" ht="10.95" hidden="1" customHeight="1" x14ac:dyDescent="0.3">
      <c r="A136" s="15">
        <v>132</v>
      </c>
      <c r="B136" s="15"/>
      <c r="C136" s="143"/>
      <c r="D136" s="144"/>
      <c r="E136" s="15"/>
      <c r="F136" s="143"/>
      <c r="G136" s="147"/>
      <c r="H136" s="52"/>
      <c r="I136" s="14"/>
      <c r="J136" s="36"/>
      <c r="K136" s="36"/>
      <c r="L136" s="13"/>
      <c r="M136" s="56"/>
      <c r="N136" s="145"/>
      <c r="O136" s="146"/>
      <c r="P136" s="57"/>
      <c r="Q136" s="36"/>
      <c r="R136" s="36"/>
      <c r="S136" s="36"/>
      <c r="T136" s="36"/>
      <c r="U136" s="36"/>
      <c r="V136" s="36"/>
      <c r="W136" s="36" t="s">
        <v>151</v>
      </c>
      <c r="X136" s="143"/>
      <c r="Y136" s="144"/>
      <c r="Z136" s="147"/>
      <c r="AA136" s="12"/>
      <c r="AB136" s="89"/>
      <c r="AC136" s="89"/>
      <c r="AD136" s="76"/>
      <c r="AE136" s="75"/>
      <c r="AF136" s="11">
        <f t="shared" si="76"/>
        <v>0</v>
      </c>
      <c r="AJ136" s="127">
        <f t="shared" si="77"/>
        <v>0</v>
      </c>
      <c r="AL136" s="53">
        <f t="shared" si="78"/>
        <v>0</v>
      </c>
      <c r="AM136" s="53">
        <f t="shared" si="79"/>
        <v>0</v>
      </c>
      <c r="AN136" s="53">
        <f t="shared" si="74"/>
        <v>0</v>
      </c>
      <c r="AO136" s="90">
        <f t="shared" si="80"/>
        <v>0</v>
      </c>
      <c r="AP136" s="90">
        <f t="shared" si="81"/>
        <v>0</v>
      </c>
      <c r="AQ136" s="29">
        <f t="shared" si="82"/>
        <v>0</v>
      </c>
      <c r="AR136" s="30">
        <f t="shared" si="83"/>
        <v>0</v>
      </c>
      <c r="AS136" s="29">
        <f t="shared" si="84"/>
        <v>0</v>
      </c>
      <c r="AT136" s="10">
        <f t="shared" si="75"/>
        <v>0</v>
      </c>
      <c r="AU136" s="10">
        <f t="shared" si="85"/>
        <v>0</v>
      </c>
      <c r="AV136" s="3"/>
      <c r="AW136" s="53">
        <f t="shared" si="91"/>
        <v>0</v>
      </c>
      <c r="AX136" s="53" t="str">
        <f t="shared" si="92"/>
        <v>0</v>
      </c>
      <c r="AY136" s="95">
        <f t="shared" si="86"/>
        <v>0</v>
      </c>
      <c r="AZ136" s="95">
        <f t="shared" si="93"/>
        <v>0</v>
      </c>
      <c r="BA136" s="36">
        <f t="shared" si="87"/>
        <v>0</v>
      </c>
      <c r="BB136" s="2"/>
      <c r="BC136" s="53">
        <f t="shared" si="94"/>
        <v>0</v>
      </c>
      <c r="BD136" s="53" t="str">
        <f t="shared" si="88"/>
        <v>0</v>
      </c>
      <c r="BE136" s="95">
        <f t="shared" si="89"/>
        <v>0</v>
      </c>
      <c r="BF136" s="95">
        <f t="shared" si="95"/>
        <v>0</v>
      </c>
      <c r="BG136" s="36" t="str">
        <f t="shared" si="90"/>
        <v>0</v>
      </c>
    </row>
    <row r="137" spans="1:59" ht="10.95" hidden="1" customHeight="1" x14ac:dyDescent="0.3">
      <c r="A137" s="15">
        <v>133</v>
      </c>
      <c r="B137" s="15"/>
      <c r="C137" s="143"/>
      <c r="D137" s="144"/>
      <c r="E137" s="15"/>
      <c r="F137" s="143"/>
      <c r="G137" s="147"/>
      <c r="H137" s="52"/>
      <c r="I137" s="14"/>
      <c r="J137" s="36"/>
      <c r="K137" s="36"/>
      <c r="L137" s="13"/>
      <c r="M137" s="56"/>
      <c r="N137" s="145"/>
      <c r="O137" s="146"/>
      <c r="P137" s="57"/>
      <c r="Q137" s="36"/>
      <c r="R137" s="36"/>
      <c r="S137" s="36"/>
      <c r="T137" s="36"/>
      <c r="U137" s="36"/>
      <c r="V137" s="36"/>
      <c r="W137" s="36" t="s">
        <v>151</v>
      </c>
      <c r="X137" s="143"/>
      <c r="Y137" s="144"/>
      <c r="Z137" s="147"/>
      <c r="AA137" s="12"/>
      <c r="AB137" s="89"/>
      <c r="AC137" s="89"/>
      <c r="AD137" s="76"/>
      <c r="AE137" s="75"/>
      <c r="AF137" s="11">
        <f t="shared" si="76"/>
        <v>0</v>
      </c>
      <c r="AJ137" s="127">
        <f t="shared" si="77"/>
        <v>0</v>
      </c>
      <c r="AL137" s="53">
        <f t="shared" si="78"/>
        <v>0</v>
      </c>
      <c r="AM137" s="53">
        <f t="shared" si="79"/>
        <v>0</v>
      </c>
      <c r="AN137" s="53">
        <f t="shared" si="74"/>
        <v>0</v>
      </c>
      <c r="AO137" s="90">
        <f t="shared" si="80"/>
        <v>0</v>
      </c>
      <c r="AP137" s="90">
        <f t="shared" si="81"/>
        <v>0</v>
      </c>
      <c r="AQ137" s="29">
        <f t="shared" si="82"/>
        <v>0</v>
      </c>
      <c r="AR137" s="30">
        <f t="shared" si="83"/>
        <v>0</v>
      </c>
      <c r="AS137" s="29">
        <f t="shared" si="84"/>
        <v>0</v>
      </c>
      <c r="AT137" s="10">
        <f t="shared" si="75"/>
        <v>0</v>
      </c>
      <c r="AU137" s="10">
        <f t="shared" si="85"/>
        <v>0</v>
      </c>
      <c r="AV137" s="3"/>
      <c r="AW137" s="53">
        <f t="shared" si="91"/>
        <v>0</v>
      </c>
      <c r="AX137" s="53" t="str">
        <f t="shared" si="92"/>
        <v>0</v>
      </c>
      <c r="AY137" s="95">
        <f t="shared" si="86"/>
        <v>0</v>
      </c>
      <c r="AZ137" s="95">
        <f t="shared" si="93"/>
        <v>0</v>
      </c>
      <c r="BA137" s="36">
        <f t="shared" si="87"/>
        <v>0</v>
      </c>
      <c r="BB137" s="2"/>
      <c r="BC137" s="53">
        <f t="shared" si="94"/>
        <v>0</v>
      </c>
      <c r="BD137" s="53" t="str">
        <f t="shared" si="88"/>
        <v>0</v>
      </c>
      <c r="BE137" s="95">
        <f t="shared" si="89"/>
        <v>0</v>
      </c>
      <c r="BF137" s="95">
        <f t="shared" si="95"/>
        <v>0</v>
      </c>
      <c r="BG137" s="36" t="str">
        <f t="shared" si="90"/>
        <v>0</v>
      </c>
    </row>
    <row r="138" spans="1:59" ht="10.95" hidden="1" customHeight="1" x14ac:dyDescent="0.3">
      <c r="A138" s="15">
        <v>134</v>
      </c>
      <c r="B138" s="15"/>
      <c r="C138" s="143"/>
      <c r="D138" s="144"/>
      <c r="E138" s="15"/>
      <c r="F138" s="143"/>
      <c r="G138" s="147"/>
      <c r="H138" s="52"/>
      <c r="I138" s="14"/>
      <c r="J138" s="36"/>
      <c r="K138" s="36"/>
      <c r="L138" s="13"/>
      <c r="M138" s="56"/>
      <c r="N138" s="145"/>
      <c r="O138" s="146"/>
      <c r="P138" s="57"/>
      <c r="Q138" s="36"/>
      <c r="R138" s="36"/>
      <c r="S138" s="36"/>
      <c r="T138" s="36"/>
      <c r="U138" s="36"/>
      <c r="V138" s="36"/>
      <c r="W138" s="36" t="s">
        <v>151</v>
      </c>
      <c r="X138" s="143"/>
      <c r="Y138" s="144"/>
      <c r="Z138" s="147"/>
      <c r="AA138" s="12"/>
      <c r="AB138" s="89"/>
      <c r="AC138" s="89"/>
      <c r="AD138" s="76"/>
      <c r="AE138" s="75"/>
      <c r="AF138" s="11">
        <f t="shared" si="76"/>
        <v>0</v>
      </c>
      <c r="AJ138" s="127">
        <f t="shared" si="77"/>
        <v>0</v>
      </c>
      <c r="AL138" s="53">
        <f t="shared" si="78"/>
        <v>0</v>
      </c>
      <c r="AM138" s="53">
        <f t="shared" si="79"/>
        <v>0</v>
      </c>
      <c r="AN138" s="53">
        <f t="shared" si="74"/>
        <v>0</v>
      </c>
      <c r="AO138" s="90">
        <f t="shared" si="80"/>
        <v>0</v>
      </c>
      <c r="AP138" s="90">
        <f t="shared" si="81"/>
        <v>0</v>
      </c>
      <c r="AQ138" s="29">
        <f t="shared" si="82"/>
        <v>0</v>
      </c>
      <c r="AR138" s="30">
        <f t="shared" si="83"/>
        <v>0</v>
      </c>
      <c r="AS138" s="29">
        <f t="shared" si="84"/>
        <v>0</v>
      </c>
      <c r="AT138" s="10">
        <f t="shared" si="75"/>
        <v>0</v>
      </c>
      <c r="AU138" s="10">
        <f t="shared" si="85"/>
        <v>0</v>
      </c>
      <c r="AV138" s="3"/>
      <c r="AW138" s="53">
        <f t="shared" si="91"/>
        <v>0</v>
      </c>
      <c r="AX138" s="53" t="str">
        <f t="shared" si="92"/>
        <v>0</v>
      </c>
      <c r="AY138" s="95">
        <f t="shared" si="86"/>
        <v>0</v>
      </c>
      <c r="AZ138" s="95">
        <f t="shared" si="93"/>
        <v>0</v>
      </c>
      <c r="BA138" s="36">
        <f t="shared" si="87"/>
        <v>0</v>
      </c>
      <c r="BB138" s="2"/>
      <c r="BC138" s="53">
        <f t="shared" si="94"/>
        <v>0</v>
      </c>
      <c r="BD138" s="53" t="str">
        <f t="shared" si="88"/>
        <v>0</v>
      </c>
      <c r="BE138" s="95">
        <f t="shared" si="89"/>
        <v>0</v>
      </c>
      <c r="BF138" s="95">
        <f t="shared" si="95"/>
        <v>0</v>
      </c>
      <c r="BG138" s="36" t="str">
        <f t="shared" si="90"/>
        <v>0</v>
      </c>
    </row>
    <row r="139" spans="1:59" ht="10.95" hidden="1" customHeight="1" x14ac:dyDescent="0.3">
      <c r="A139" s="15">
        <v>135</v>
      </c>
      <c r="B139" s="15"/>
      <c r="C139" s="143"/>
      <c r="D139" s="144"/>
      <c r="E139" s="15"/>
      <c r="F139" s="143"/>
      <c r="G139" s="147"/>
      <c r="H139" s="52"/>
      <c r="I139" s="14"/>
      <c r="J139" s="36"/>
      <c r="K139" s="36"/>
      <c r="L139" s="13"/>
      <c r="M139" s="56"/>
      <c r="N139" s="145"/>
      <c r="O139" s="146"/>
      <c r="P139" s="57"/>
      <c r="Q139" s="36"/>
      <c r="R139" s="36"/>
      <c r="S139" s="36"/>
      <c r="T139" s="36"/>
      <c r="U139" s="36"/>
      <c r="V139" s="36"/>
      <c r="W139" s="36" t="s">
        <v>151</v>
      </c>
      <c r="X139" s="143"/>
      <c r="Y139" s="144"/>
      <c r="Z139" s="147"/>
      <c r="AA139" s="12"/>
      <c r="AB139" s="89"/>
      <c r="AC139" s="89"/>
      <c r="AD139" s="76"/>
      <c r="AE139" s="75"/>
      <c r="AF139" s="11">
        <f t="shared" si="76"/>
        <v>0</v>
      </c>
      <c r="AJ139" s="127">
        <f t="shared" si="77"/>
        <v>0</v>
      </c>
      <c r="AL139" s="53">
        <f t="shared" si="78"/>
        <v>0</v>
      </c>
      <c r="AM139" s="53">
        <f t="shared" si="79"/>
        <v>0</v>
      </c>
      <c r="AN139" s="53">
        <f t="shared" si="74"/>
        <v>0</v>
      </c>
      <c r="AO139" s="90">
        <f t="shared" si="80"/>
        <v>0</v>
      </c>
      <c r="AP139" s="90">
        <f t="shared" si="81"/>
        <v>0</v>
      </c>
      <c r="AQ139" s="29">
        <f t="shared" si="82"/>
        <v>0</v>
      </c>
      <c r="AR139" s="30">
        <f t="shared" si="83"/>
        <v>0</v>
      </c>
      <c r="AS139" s="29">
        <f t="shared" si="84"/>
        <v>0</v>
      </c>
      <c r="AT139" s="10">
        <f t="shared" si="75"/>
        <v>0</v>
      </c>
      <c r="AU139" s="10">
        <f t="shared" si="85"/>
        <v>0</v>
      </c>
      <c r="AV139" s="3"/>
      <c r="AW139" s="53">
        <f t="shared" si="91"/>
        <v>0</v>
      </c>
      <c r="AX139" s="53" t="str">
        <f t="shared" si="92"/>
        <v>0</v>
      </c>
      <c r="AY139" s="95">
        <f t="shared" si="86"/>
        <v>0</v>
      </c>
      <c r="AZ139" s="95">
        <f t="shared" si="93"/>
        <v>0</v>
      </c>
      <c r="BA139" s="36">
        <f t="shared" si="87"/>
        <v>0</v>
      </c>
      <c r="BB139" s="2"/>
      <c r="BC139" s="53">
        <f t="shared" si="94"/>
        <v>0</v>
      </c>
      <c r="BD139" s="53" t="str">
        <f t="shared" si="88"/>
        <v>0</v>
      </c>
      <c r="BE139" s="95">
        <f t="shared" si="89"/>
        <v>0</v>
      </c>
      <c r="BF139" s="95">
        <f t="shared" si="95"/>
        <v>0</v>
      </c>
      <c r="BG139" s="36" t="str">
        <f t="shared" si="90"/>
        <v>0</v>
      </c>
    </row>
    <row r="140" spans="1:59" ht="10.95" hidden="1" customHeight="1" x14ac:dyDescent="0.3">
      <c r="A140" s="15">
        <v>136</v>
      </c>
      <c r="B140" s="15"/>
      <c r="C140" s="143"/>
      <c r="D140" s="144"/>
      <c r="E140" s="15"/>
      <c r="F140" s="143"/>
      <c r="G140" s="147"/>
      <c r="H140" s="52"/>
      <c r="I140" s="14"/>
      <c r="J140" s="36"/>
      <c r="K140" s="36"/>
      <c r="L140" s="13"/>
      <c r="M140" s="56"/>
      <c r="N140" s="145"/>
      <c r="O140" s="146"/>
      <c r="P140" s="57"/>
      <c r="Q140" s="36"/>
      <c r="R140" s="36"/>
      <c r="S140" s="36"/>
      <c r="T140" s="36"/>
      <c r="U140" s="36"/>
      <c r="V140" s="36"/>
      <c r="W140" s="36" t="s">
        <v>151</v>
      </c>
      <c r="X140" s="143"/>
      <c r="Y140" s="144"/>
      <c r="Z140" s="147"/>
      <c r="AA140" s="12"/>
      <c r="AB140" s="89"/>
      <c r="AC140" s="89"/>
      <c r="AD140" s="76"/>
      <c r="AE140" s="75"/>
      <c r="AF140" s="11">
        <f t="shared" si="76"/>
        <v>0</v>
      </c>
      <c r="AJ140" s="127">
        <f t="shared" si="77"/>
        <v>0</v>
      </c>
      <c r="AL140" s="53">
        <f t="shared" si="78"/>
        <v>0</v>
      </c>
      <c r="AM140" s="53">
        <f t="shared" si="79"/>
        <v>0</v>
      </c>
      <c r="AN140" s="53">
        <f t="shared" si="74"/>
        <v>0</v>
      </c>
      <c r="AO140" s="90">
        <f t="shared" si="80"/>
        <v>0</v>
      </c>
      <c r="AP140" s="90">
        <f t="shared" si="81"/>
        <v>0</v>
      </c>
      <c r="AQ140" s="29">
        <f t="shared" si="82"/>
        <v>0</v>
      </c>
      <c r="AR140" s="30">
        <f t="shared" si="83"/>
        <v>0</v>
      </c>
      <c r="AS140" s="29">
        <f t="shared" si="84"/>
        <v>0</v>
      </c>
      <c r="AT140" s="10">
        <f t="shared" si="75"/>
        <v>0</v>
      </c>
      <c r="AU140" s="10">
        <f t="shared" si="85"/>
        <v>0</v>
      </c>
      <c r="AV140" s="3"/>
      <c r="AW140" s="53">
        <f t="shared" si="91"/>
        <v>0</v>
      </c>
      <c r="AX140" s="53" t="str">
        <f t="shared" si="92"/>
        <v>0</v>
      </c>
      <c r="AY140" s="95">
        <f t="shared" si="86"/>
        <v>0</v>
      </c>
      <c r="AZ140" s="95">
        <f t="shared" si="93"/>
        <v>0</v>
      </c>
      <c r="BA140" s="36">
        <f t="shared" si="87"/>
        <v>0</v>
      </c>
      <c r="BB140" s="2"/>
      <c r="BC140" s="53">
        <f t="shared" si="94"/>
        <v>0</v>
      </c>
      <c r="BD140" s="53" t="str">
        <f t="shared" si="88"/>
        <v>0</v>
      </c>
      <c r="BE140" s="95">
        <f t="shared" si="89"/>
        <v>0</v>
      </c>
      <c r="BF140" s="95">
        <f t="shared" si="95"/>
        <v>0</v>
      </c>
      <c r="BG140" s="36" t="str">
        <f t="shared" si="90"/>
        <v>0</v>
      </c>
    </row>
    <row r="141" spans="1:59" ht="10.95" hidden="1" customHeight="1" x14ac:dyDescent="0.3">
      <c r="A141" s="15">
        <v>137</v>
      </c>
      <c r="B141" s="15"/>
      <c r="C141" s="143"/>
      <c r="D141" s="144"/>
      <c r="E141" s="15"/>
      <c r="F141" s="143"/>
      <c r="G141" s="147"/>
      <c r="H141" s="52"/>
      <c r="I141" s="14"/>
      <c r="J141" s="36"/>
      <c r="K141" s="36"/>
      <c r="L141" s="13"/>
      <c r="M141" s="56"/>
      <c r="N141" s="145"/>
      <c r="O141" s="146"/>
      <c r="P141" s="57"/>
      <c r="Q141" s="36"/>
      <c r="R141" s="36"/>
      <c r="S141" s="36"/>
      <c r="T141" s="36"/>
      <c r="U141" s="36"/>
      <c r="V141" s="36"/>
      <c r="W141" s="36" t="s">
        <v>151</v>
      </c>
      <c r="X141" s="143"/>
      <c r="Y141" s="144"/>
      <c r="Z141" s="147"/>
      <c r="AA141" s="12"/>
      <c r="AB141" s="89"/>
      <c r="AC141" s="89"/>
      <c r="AD141" s="76"/>
      <c r="AE141" s="75"/>
      <c r="AF141" s="11">
        <f t="shared" si="76"/>
        <v>0</v>
      </c>
      <c r="AJ141" s="127">
        <f t="shared" si="77"/>
        <v>0</v>
      </c>
      <c r="AL141" s="53">
        <f t="shared" si="78"/>
        <v>0</v>
      </c>
      <c r="AM141" s="53">
        <f t="shared" si="79"/>
        <v>0</v>
      </c>
      <c r="AN141" s="53">
        <f t="shared" si="74"/>
        <v>0</v>
      </c>
      <c r="AO141" s="90">
        <f t="shared" si="80"/>
        <v>0</v>
      </c>
      <c r="AP141" s="90">
        <f t="shared" si="81"/>
        <v>0</v>
      </c>
      <c r="AQ141" s="29">
        <f t="shared" si="82"/>
        <v>0</v>
      </c>
      <c r="AR141" s="30">
        <f t="shared" si="83"/>
        <v>0</v>
      </c>
      <c r="AS141" s="29">
        <f t="shared" si="84"/>
        <v>0</v>
      </c>
      <c r="AT141" s="10">
        <f t="shared" si="75"/>
        <v>0</v>
      </c>
      <c r="AU141" s="10">
        <f t="shared" si="85"/>
        <v>0</v>
      </c>
      <c r="AV141" s="3"/>
      <c r="AW141" s="53">
        <f t="shared" si="91"/>
        <v>0</v>
      </c>
      <c r="AX141" s="53" t="str">
        <f t="shared" si="92"/>
        <v>0</v>
      </c>
      <c r="AY141" s="95">
        <f t="shared" si="86"/>
        <v>0</v>
      </c>
      <c r="AZ141" s="95">
        <f t="shared" si="93"/>
        <v>0</v>
      </c>
      <c r="BA141" s="36">
        <f t="shared" si="87"/>
        <v>0</v>
      </c>
      <c r="BB141" s="2"/>
      <c r="BC141" s="53">
        <f t="shared" si="94"/>
        <v>0</v>
      </c>
      <c r="BD141" s="53" t="str">
        <f t="shared" si="88"/>
        <v>0</v>
      </c>
      <c r="BE141" s="95">
        <f t="shared" si="89"/>
        <v>0</v>
      </c>
      <c r="BF141" s="95">
        <f t="shared" si="95"/>
        <v>0</v>
      </c>
      <c r="BG141" s="36" t="str">
        <f t="shared" si="90"/>
        <v>0</v>
      </c>
    </row>
    <row r="142" spans="1:59" ht="10.95" hidden="1" customHeight="1" x14ac:dyDescent="0.3">
      <c r="A142" s="15">
        <v>138</v>
      </c>
      <c r="B142" s="15"/>
      <c r="C142" s="143"/>
      <c r="D142" s="144"/>
      <c r="E142" s="15"/>
      <c r="F142" s="143"/>
      <c r="G142" s="147"/>
      <c r="H142" s="52"/>
      <c r="I142" s="14"/>
      <c r="J142" s="36"/>
      <c r="K142" s="36"/>
      <c r="L142" s="13"/>
      <c r="M142" s="56"/>
      <c r="N142" s="145"/>
      <c r="O142" s="146"/>
      <c r="P142" s="57"/>
      <c r="Q142" s="36"/>
      <c r="R142" s="36"/>
      <c r="S142" s="36"/>
      <c r="T142" s="36"/>
      <c r="U142" s="36"/>
      <c r="V142" s="36"/>
      <c r="W142" s="36" t="s">
        <v>151</v>
      </c>
      <c r="X142" s="143"/>
      <c r="Y142" s="144"/>
      <c r="Z142" s="147"/>
      <c r="AA142" s="12"/>
      <c r="AB142" s="89"/>
      <c r="AC142" s="89"/>
      <c r="AD142" s="76"/>
      <c r="AE142" s="75"/>
      <c r="AF142" s="11">
        <f t="shared" si="76"/>
        <v>0</v>
      </c>
      <c r="AJ142" s="127">
        <f t="shared" si="77"/>
        <v>0</v>
      </c>
      <c r="AL142" s="53">
        <f t="shared" si="78"/>
        <v>0</v>
      </c>
      <c r="AM142" s="53">
        <f t="shared" si="79"/>
        <v>0</v>
      </c>
      <c r="AN142" s="53">
        <f t="shared" si="74"/>
        <v>0</v>
      </c>
      <c r="AO142" s="90">
        <f t="shared" si="80"/>
        <v>0</v>
      </c>
      <c r="AP142" s="90">
        <f t="shared" si="81"/>
        <v>0</v>
      </c>
      <c r="AQ142" s="29">
        <f t="shared" si="82"/>
        <v>0</v>
      </c>
      <c r="AR142" s="30">
        <f t="shared" si="83"/>
        <v>0</v>
      </c>
      <c r="AS142" s="29">
        <f t="shared" si="84"/>
        <v>0</v>
      </c>
      <c r="AT142" s="10">
        <f t="shared" si="75"/>
        <v>0</v>
      </c>
      <c r="AU142" s="10">
        <f t="shared" si="85"/>
        <v>0</v>
      </c>
      <c r="AV142" s="3"/>
      <c r="AW142" s="53">
        <f t="shared" si="91"/>
        <v>0</v>
      </c>
      <c r="AX142" s="53" t="str">
        <f t="shared" si="92"/>
        <v>0</v>
      </c>
      <c r="AY142" s="95">
        <f t="shared" si="86"/>
        <v>0</v>
      </c>
      <c r="AZ142" s="95">
        <f t="shared" si="93"/>
        <v>0</v>
      </c>
      <c r="BA142" s="36">
        <f t="shared" si="87"/>
        <v>0</v>
      </c>
      <c r="BB142" s="2"/>
      <c r="BC142" s="53">
        <f t="shared" si="94"/>
        <v>0</v>
      </c>
      <c r="BD142" s="53" t="str">
        <f t="shared" si="88"/>
        <v>0</v>
      </c>
      <c r="BE142" s="95">
        <f t="shared" si="89"/>
        <v>0</v>
      </c>
      <c r="BF142" s="95">
        <f t="shared" si="95"/>
        <v>0</v>
      </c>
      <c r="BG142" s="36" t="str">
        <f t="shared" si="90"/>
        <v>0</v>
      </c>
    </row>
    <row r="143" spans="1:59" ht="10.95" hidden="1" customHeight="1" x14ac:dyDescent="0.3">
      <c r="A143" s="15">
        <v>139</v>
      </c>
      <c r="B143" s="15"/>
      <c r="C143" s="143"/>
      <c r="D143" s="144"/>
      <c r="E143" s="15"/>
      <c r="F143" s="143"/>
      <c r="G143" s="147"/>
      <c r="H143" s="52"/>
      <c r="I143" s="14"/>
      <c r="J143" s="36"/>
      <c r="K143" s="36"/>
      <c r="L143" s="13"/>
      <c r="M143" s="56"/>
      <c r="N143" s="145"/>
      <c r="O143" s="146"/>
      <c r="P143" s="57"/>
      <c r="Q143" s="36"/>
      <c r="R143" s="36"/>
      <c r="S143" s="36"/>
      <c r="T143" s="36"/>
      <c r="U143" s="36"/>
      <c r="V143" s="36"/>
      <c r="W143" s="36" t="s">
        <v>151</v>
      </c>
      <c r="X143" s="143"/>
      <c r="Y143" s="144"/>
      <c r="Z143" s="147"/>
      <c r="AA143" s="12"/>
      <c r="AB143" s="89"/>
      <c r="AC143" s="89"/>
      <c r="AD143" s="76"/>
      <c r="AE143" s="75"/>
      <c r="AF143" s="11">
        <f t="shared" si="76"/>
        <v>0</v>
      </c>
      <c r="AJ143" s="127">
        <f t="shared" si="77"/>
        <v>0</v>
      </c>
      <c r="AL143" s="53">
        <f t="shared" si="78"/>
        <v>0</v>
      </c>
      <c r="AM143" s="53">
        <f t="shared" si="79"/>
        <v>0</v>
      </c>
      <c r="AN143" s="53">
        <f t="shared" si="74"/>
        <v>0</v>
      </c>
      <c r="AO143" s="90">
        <f t="shared" si="80"/>
        <v>0</v>
      </c>
      <c r="AP143" s="90">
        <f t="shared" si="81"/>
        <v>0</v>
      </c>
      <c r="AQ143" s="29">
        <f t="shared" si="82"/>
        <v>0</v>
      </c>
      <c r="AR143" s="30">
        <f t="shared" si="83"/>
        <v>0</v>
      </c>
      <c r="AS143" s="29">
        <f t="shared" si="84"/>
        <v>0</v>
      </c>
      <c r="AT143" s="10">
        <f t="shared" si="75"/>
        <v>0</v>
      </c>
      <c r="AU143" s="10">
        <f t="shared" si="85"/>
        <v>0</v>
      </c>
      <c r="AV143" s="3"/>
      <c r="AW143" s="53">
        <f t="shared" si="91"/>
        <v>0</v>
      </c>
      <c r="AX143" s="53" t="str">
        <f t="shared" si="92"/>
        <v>0</v>
      </c>
      <c r="AY143" s="95">
        <f t="shared" si="86"/>
        <v>0</v>
      </c>
      <c r="AZ143" s="95">
        <f t="shared" si="93"/>
        <v>0</v>
      </c>
      <c r="BA143" s="36">
        <f t="shared" si="87"/>
        <v>0</v>
      </c>
      <c r="BB143" s="2"/>
      <c r="BC143" s="53">
        <f t="shared" si="94"/>
        <v>0</v>
      </c>
      <c r="BD143" s="53" t="str">
        <f t="shared" si="88"/>
        <v>0</v>
      </c>
      <c r="BE143" s="95">
        <f t="shared" si="89"/>
        <v>0</v>
      </c>
      <c r="BF143" s="95">
        <f t="shared" si="95"/>
        <v>0</v>
      </c>
      <c r="BG143" s="36" t="str">
        <f t="shared" si="90"/>
        <v>0</v>
      </c>
    </row>
    <row r="144" spans="1:59" ht="10.95" hidden="1" customHeight="1" x14ac:dyDescent="0.3">
      <c r="A144" s="15">
        <v>140</v>
      </c>
      <c r="B144" s="15"/>
      <c r="C144" s="143"/>
      <c r="D144" s="144"/>
      <c r="E144" s="15"/>
      <c r="F144" s="143"/>
      <c r="G144" s="147"/>
      <c r="H144" s="52"/>
      <c r="I144" s="14"/>
      <c r="J144" s="36"/>
      <c r="K144" s="36"/>
      <c r="L144" s="13"/>
      <c r="M144" s="56"/>
      <c r="N144" s="145"/>
      <c r="O144" s="146"/>
      <c r="P144" s="57"/>
      <c r="Q144" s="36"/>
      <c r="R144" s="36"/>
      <c r="S144" s="36"/>
      <c r="T144" s="36"/>
      <c r="U144" s="36"/>
      <c r="V144" s="36"/>
      <c r="W144" s="36" t="s">
        <v>151</v>
      </c>
      <c r="X144" s="143"/>
      <c r="Y144" s="144"/>
      <c r="Z144" s="147"/>
      <c r="AA144" s="12"/>
      <c r="AB144" s="89"/>
      <c r="AC144" s="89"/>
      <c r="AD144" s="76"/>
      <c r="AE144" s="75"/>
      <c r="AF144" s="11">
        <f t="shared" si="76"/>
        <v>0</v>
      </c>
      <c r="AJ144" s="127">
        <f t="shared" si="77"/>
        <v>0</v>
      </c>
      <c r="AL144" s="53">
        <f t="shared" si="78"/>
        <v>0</v>
      </c>
      <c r="AM144" s="53">
        <f t="shared" si="79"/>
        <v>0</v>
      </c>
      <c r="AN144" s="53">
        <f t="shared" si="74"/>
        <v>0</v>
      </c>
      <c r="AO144" s="90">
        <f t="shared" si="80"/>
        <v>0</v>
      </c>
      <c r="AP144" s="90">
        <f t="shared" si="81"/>
        <v>0</v>
      </c>
      <c r="AQ144" s="29">
        <f t="shared" si="82"/>
        <v>0</v>
      </c>
      <c r="AR144" s="30">
        <f t="shared" si="83"/>
        <v>0</v>
      </c>
      <c r="AS144" s="29">
        <f t="shared" si="84"/>
        <v>0</v>
      </c>
      <c r="AT144" s="10">
        <f t="shared" si="75"/>
        <v>0</v>
      </c>
      <c r="AU144" s="10">
        <f t="shared" si="85"/>
        <v>0</v>
      </c>
      <c r="AV144" s="3"/>
      <c r="AW144" s="53">
        <f t="shared" si="91"/>
        <v>0</v>
      </c>
      <c r="AX144" s="53" t="str">
        <f t="shared" si="92"/>
        <v>0</v>
      </c>
      <c r="AY144" s="95">
        <f t="shared" si="86"/>
        <v>0</v>
      </c>
      <c r="AZ144" s="95">
        <f t="shared" si="93"/>
        <v>0</v>
      </c>
      <c r="BA144" s="36">
        <f t="shared" si="87"/>
        <v>0</v>
      </c>
      <c r="BB144" s="2"/>
      <c r="BC144" s="53">
        <f t="shared" si="94"/>
        <v>0</v>
      </c>
      <c r="BD144" s="53" t="str">
        <f t="shared" si="88"/>
        <v>0</v>
      </c>
      <c r="BE144" s="95">
        <f t="shared" si="89"/>
        <v>0</v>
      </c>
      <c r="BF144" s="95">
        <f t="shared" si="95"/>
        <v>0</v>
      </c>
      <c r="BG144" s="36" t="str">
        <f t="shared" si="90"/>
        <v>0</v>
      </c>
    </row>
    <row r="145" spans="1:59" ht="10.95" hidden="1" customHeight="1" x14ac:dyDescent="0.3">
      <c r="A145" s="15">
        <v>141</v>
      </c>
      <c r="B145" s="15"/>
      <c r="C145" s="143"/>
      <c r="D145" s="144"/>
      <c r="E145" s="15"/>
      <c r="F145" s="143"/>
      <c r="G145" s="147"/>
      <c r="H145" s="52"/>
      <c r="I145" s="14"/>
      <c r="J145" s="36"/>
      <c r="K145" s="36"/>
      <c r="L145" s="13"/>
      <c r="M145" s="56"/>
      <c r="N145" s="145"/>
      <c r="O145" s="146"/>
      <c r="P145" s="57"/>
      <c r="Q145" s="36"/>
      <c r="R145" s="36"/>
      <c r="S145" s="36"/>
      <c r="T145" s="36"/>
      <c r="U145" s="36"/>
      <c r="V145" s="36"/>
      <c r="W145" s="36" t="s">
        <v>151</v>
      </c>
      <c r="X145" s="143"/>
      <c r="Y145" s="144"/>
      <c r="Z145" s="147"/>
      <c r="AA145" s="12"/>
      <c r="AB145" s="89"/>
      <c r="AC145" s="89"/>
      <c r="AD145" s="76"/>
      <c r="AE145" s="75"/>
      <c r="AF145" s="11">
        <f t="shared" si="76"/>
        <v>0</v>
      </c>
      <c r="AJ145" s="127">
        <f t="shared" si="77"/>
        <v>0</v>
      </c>
      <c r="AL145" s="53">
        <f t="shared" si="78"/>
        <v>0</v>
      </c>
      <c r="AM145" s="53">
        <f t="shared" si="79"/>
        <v>0</v>
      </c>
      <c r="AN145" s="53">
        <f t="shared" si="74"/>
        <v>0</v>
      </c>
      <c r="AO145" s="90">
        <f t="shared" si="80"/>
        <v>0</v>
      </c>
      <c r="AP145" s="90">
        <f t="shared" si="81"/>
        <v>0</v>
      </c>
      <c r="AQ145" s="29">
        <f t="shared" si="82"/>
        <v>0</v>
      </c>
      <c r="AR145" s="30">
        <f t="shared" si="83"/>
        <v>0</v>
      </c>
      <c r="AS145" s="29">
        <f t="shared" si="84"/>
        <v>0</v>
      </c>
      <c r="AT145" s="10">
        <f t="shared" si="75"/>
        <v>0</v>
      </c>
      <c r="AU145" s="10">
        <f t="shared" si="85"/>
        <v>0</v>
      </c>
      <c r="AV145" s="3"/>
      <c r="AW145" s="53">
        <f t="shared" si="91"/>
        <v>0</v>
      </c>
      <c r="AX145" s="53" t="str">
        <f t="shared" si="92"/>
        <v>0</v>
      </c>
      <c r="AY145" s="95">
        <f t="shared" si="86"/>
        <v>0</v>
      </c>
      <c r="AZ145" s="95">
        <f t="shared" si="93"/>
        <v>0</v>
      </c>
      <c r="BA145" s="36">
        <f t="shared" si="87"/>
        <v>0</v>
      </c>
      <c r="BB145" s="2"/>
      <c r="BC145" s="53">
        <f t="shared" si="94"/>
        <v>0</v>
      </c>
      <c r="BD145" s="53" t="str">
        <f t="shared" si="88"/>
        <v>0</v>
      </c>
      <c r="BE145" s="95">
        <f t="shared" si="89"/>
        <v>0</v>
      </c>
      <c r="BF145" s="95">
        <f t="shared" si="95"/>
        <v>0</v>
      </c>
      <c r="BG145" s="36" t="str">
        <f t="shared" si="90"/>
        <v>0</v>
      </c>
    </row>
    <row r="146" spans="1:59" ht="10.95" hidden="1" customHeight="1" x14ac:dyDescent="0.3">
      <c r="A146" s="15">
        <v>142</v>
      </c>
      <c r="B146" s="15"/>
      <c r="C146" s="143"/>
      <c r="D146" s="144"/>
      <c r="E146" s="15"/>
      <c r="F146" s="143"/>
      <c r="G146" s="147"/>
      <c r="H146" s="52"/>
      <c r="I146" s="14"/>
      <c r="J146" s="36"/>
      <c r="K146" s="36"/>
      <c r="L146" s="13"/>
      <c r="M146" s="56"/>
      <c r="N146" s="145"/>
      <c r="O146" s="146"/>
      <c r="P146" s="57"/>
      <c r="Q146" s="36"/>
      <c r="R146" s="36"/>
      <c r="S146" s="36"/>
      <c r="T146" s="36"/>
      <c r="U146" s="36"/>
      <c r="V146" s="36"/>
      <c r="W146" s="36" t="s">
        <v>151</v>
      </c>
      <c r="X146" s="143"/>
      <c r="Y146" s="144"/>
      <c r="Z146" s="147"/>
      <c r="AA146" s="12"/>
      <c r="AB146" s="89"/>
      <c r="AC146" s="89"/>
      <c r="AD146" s="76"/>
      <c r="AE146" s="75"/>
      <c r="AF146" s="11">
        <f t="shared" si="76"/>
        <v>0</v>
      </c>
      <c r="AJ146" s="127">
        <f t="shared" si="77"/>
        <v>0</v>
      </c>
      <c r="AL146" s="53">
        <f t="shared" si="78"/>
        <v>0</v>
      </c>
      <c r="AM146" s="53">
        <f t="shared" si="79"/>
        <v>0</v>
      </c>
      <c r="AN146" s="53">
        <f t="shared" si="74"/>
        <v>0</v>
      </c>
      <c r="AO146" s="90">
        <f t="shared" si="80"/>
        <v>0</v>
      </c>
      <c r="AP146" s="90">
        <f t="shared" si="81"/>
        <v>0</v>
      </c>
      <c r="AQ146" s="29">
        <f t="shared" si="82"/>
        <v>0</v>
      </c>
      <c r="AR146" s="30">
        <f t="shared" si="83"/>
        <v>0</v>
      </c>
      <c r="AS146" s="29">
        <f t="shared" si="84"/>
        <v>0</v>
      </c>
      <c r="AT146" s="10">
        <f t="shared" si="75"/>
        <v>0</v>
      </c>
      <c r="AU146" s="10">
        <f t="shared" si="85"/>
        <v>0</v>
      </c>
      <c r="AV146" s="3"/>
      <c r="AW146" s="53">
        <f t="shared" si="91"/>
        <v>0</v>
      </c>
      <c r="AX146" s="53" t="str">
        <f t="shared" si="92"/>
        <v>0</v>
      </c>
      <c r="AY146" s="95">
        <f t="shared" si="86"/>
        <v>0</v>
      </c>
      <c r="AZ146" s="95">
        <f t="shared" si="93"/>
        <v>0</v>
      </c>
      <c r="BA146" s="36">
        <f t="shared" si="87"/>
        <v>0</v>
      </c>
      <c r="BB146" s="2"/>
      <c r="BC146" s="53">
        <f t="shared" si="94"/>
        <v>0</v>
      </c>
      <c r="BD146" s="53" t="str">
        <f t="shared" si="88"/>
        <v>0</v>
      </c>
      <c r="BE146" s="95">
        <f t="shared" si="89"/>
        <v>0</v>
      </c>
      <c r="BF146" s="95">
        <f t="shared" si="95"/>
        <v>0</v>
      </c>
      <c r="BG146" s="36" t="str">
        <f t="shared" si="90"/>
        <v>0</v>
      </c>
    </row>
    <row r="147" spans="1:59" ht="10.95" hidden="1" customHeight="1" x14ac:dyDescent="0.3">
      <c r="A147" s="15">
        <v>143</v>
      </c>
      <c r="B147" s="15"/>
      <c r="C147" s="143"/>
      <c r="D147" s="144"/>
      <c r="E147" s="15"/>
      <c r="F147" s="143"/>
      <c r="G147" s="147"/>
      <c r="H147" s="52"/>
      <c r="I147" s="14"/>
      <c r="J147" s="36"/>
      <c r="K147" s="36"/>
      <c r="L147" s="13"/>
      <c r="M147" s="56"/>
      <c r="N147" s="145"/>
      <c r="O147" s="146"/>
      <c r="P147" s="57"/>
      <c r="Q147" s="36"/>
      <c r="R147" s="36"/>
      <c r="S147" s="36"/>
      <c r="T147" s="36"/>
      <c r="U147" s="36"/>
      <c r="V147" s="36"/>
      <c r="W147" s="36" t="s">
        <v>151</v>
      </c>
      <c r="X147" s="143"/>
      <c r="Y147" s="144"/>
      <c r="Z147" s="147"/>
      <c r="AA147" s="12"/>
      <c r="AB147" s="89"/>
      <c r="AC147" s="89"/>
      <c r="AD147" s="76"/>
      <c r="AE147" s="75"/>
      <c r="AF147" s="11">
        <f t="shared" si="76"/>
        <v>0</v>
      </c>
      <c r="AJ147" s="127">
        <f t="shared" si="77"/>
        <v>0</v>
      </c>
      <c r="AL147" s="53">
        <f t="shared" si="78"/>
        <v>0</v>
      </c>
      <c r="AM147" s="53">
        <f t="shared" si="79"/>
        <v>0</v>
      </c>
      <c r="AN147" s="53">
        <f t="shared" si="74"/>
        <v>0</v>
      </c>
      <c r="AO147" s="90">
        <f t="shared" si="80"/>
        <v>0</v>
      </c>
      <c r="AP147" s="90">
        <f t="shared" si="81"/>
        <v>0</v>
      </c>
      <c r="AQ147" s="29">
        <f t="shared" si="82"/>
        <v>0</v>
      </c>
      <c r="AR147" s="30">
        <f t="shared" si="83"/>
        <v>0</v>
      </c>
      <c r="AS147" s="29">
        <f t="shared" si="84"/>
        <v>0</v>
      </c>
      <c r="AT147" s="10">
        <f t="shared" si="75"/>
        <v>0</v>
      </c>
      <c r="AU147" s="10">
        <f t="shared" si="85"/>
        <v>0</v>
      </c>
      <c r="AV147" s="3"/>
      <c r="AW147" s="53">
        <f t="shared" si="91"/>
        <v>0</v>
      </c>
      <c r="AX147" s="53" t="str">
        <f t="shared" si="92"/>
        <v>0</v>
      </c>
      <c r="AY147" s="95">
        <f t="shared" si="86"/>
        <v>0</v>
      </c>
      <c r="AZ147" s="95">
        <f t="shared" si="93"/>
        <v>0</v>
      </c>
      <c r="BA147" s="36">
        <f t="shared" si="87"/>
        <v>0</v>
      </c>
      <c r="BB147" s="2"/>
      <c r="BC147" s="53">
        <f t="shared" si="94"/>
        <v>0</v>
      </c>
      <c r="BD147" s="53" t="str">
        <f t="shared" si="88"/>
        <v>0</v>
      </c>
      <c r="BE147" s="95">
        <f t="shared" si="89"/>
        <v>0</v>
      </c>
      <c r="BF147" s="95">
        <f t="shared" si="95"/>
        <v>0</v>
      </c>
      <c r="BG147" s="36" t="str">
        <f t="shared" si="90"/>
        <v>0</v>
      </c>
    </row>
    <row r="148" spans="1:59" ht="10.95" hidden="1" customHeight="1" x14ac:dyDescent="0.3">
      <c r="A148" s="15">
        <v>144</v>
      </c>
      <c r="B148" s="15"/>
      <c r="C148" s="143"/>
      <c r="D148" s="144"/>
      <c r="E148" s="15"/>
      <c r="F148" s="143"/>
      <c r="G148" s="147"/>
      <c r="H148" s="52"/>
      <c r="I148" s="14"/>
      <c r="J148" s="36"/>
      <c r="K148" s="36"/>
      <c r="L148" s="13"/>
      <c r="M148" s="56"/>
      <c r="N148" s="145"/>
      <c r="O148" s="146"/>
      <c r="P148" s="57"/>
      <c r="Q148" s="36"/>
      <c r="R148" s="36"/>
      <c r="S148" s="36"/>
      <c r="T148" s="36"/>
      <c r="U148" s="36"/>
      <c r="V148" s="36"/>
      <c r="W148" s="36" t="s">
        <v>151</v>
      </c>
      <c r="X148" s="143"/>
      <c r="Y148" s="144"/>
      <c r="Z148" s="147"/>
      <c r="AA148" s="12"/>
      <c r="AB148" s="89"/>
      <c r="AC148" s="89"/>
      <c r="AD148" s="76"/>
      <c r="AE148" s="75"/>
      <c r="AF148" s="11">
        <f t="shared" si="76"/>
        <v>0</v>
      </c>
      <c r="AJ148" s="127">
        <f t="shared" si="77"/>
        <v>0</v>
      </c>
      <c r="AL148" s="53">
        <f t="shared" si="78"/>
        <v>0</v>
      </c>
      <c r="AM148" s="53">
        <f t="shared" si="79"/>
        <v>0</v>
      </c>
      <c r="AN148" s="53">
        <f t="shared" si="74"/>
        <v>0</v>
      </c>
      <c r="AO148" s="90">
        <f t="shared" si="80"/>
        <v>0</v>
      </c>
      <c r="AP148" s="90">
        <f t="shared" si="81"/>
        <v>0</v>
      </c>
      <c r="AQ148" s="29">
        <f t="shared" si="82"/>
        <v>0</v>
      </c>
      <c r="AR148" s="30">
        <f t="shared" si="83"/>
        <v>0</v>
      </c>
      <c r="AS148" s="29">
        <f t="shared" si="84"/>
        <v>0</v>
      </c>
      <c r="AT148" s="10">
        <f t="shared" si="75"/>
        <v>0</v>
      </c>
      <c r="AU148" s="10">
        <f t="shared" si="85"/>
        <v>0</v>
      </c>
      <c r="AV148" s="3"/>
      <c r="AW148" s="53">
        <f t="shared" si="91"/>
        <v>0</v>
      </c>
      <c r="AX148" s="53" t="str">
        <f t="shared" si="92"/>
        <v>0</v>
      </c>
      <c r="AY148" s="95">
        <f t="shared" si="86"/>
        <v>0</v>
      </c>
      <c r="AZ148" s="95">
        <f t="shared" si="93"/>
        <v>0</v>
      </c>
      <c r="BA148" s="36">
        <f t="shared" si="87"/>
        <v>0</v>
      </c>
      <c r="BB148" s="2"/>
      <c r="BC148" s="53">
        <f t="shared" si="94"/>
        <v>0</v>
      </c>
      <c r="BD148" s="53" t="str">
        <f t="shared" si="88"/>
        <v>0</v>
      </c>
      <c r="BE148" s="95">
        <f t="shared" si="89"/>
        <v>0</v>
      </c>
      <c r="BF148" s="95">
        <f t="shared" si="95"/>
        <v>0</v>
      </c>
      <c r="BG148" s="36" t="str">
        <f t="shared" si="90"/>
        <v>0</v>
      </c>
    </row>
    <row r="149" spans="1:59" ht="10.95" hidden="1" customHeight="1" x14ac:dyDescent="0.3">
      <c r="A149" s="15">
        <v>145</v>
      </c>
      <c r="B149" s="15"/>
      <c r="C149" s="143"/>
      <c r="D149" s="144"/>
      <c r="E149" s="15"/>
      <c r="F149" s="143"/>
      <c r="G149" s="147"/>
      <c r="H149" s="52"/>
      <c r="I149" s="14"/>
      <c r="J149" s="36"/>
      <c r="K149" s="36"/>
      <c r="L149" s="13"/>
      <c r="M149" s="56"/>
      <c r="N149" s="145"/>
      <c r="O149" s="146"/>
      <c r="P149" s="57"/>
      <c r="Q149" s="36"/>
      <c r="R149" s="36"/>
      <c r="S149" s="36"/>
      <c r="T149" s="36"/>
      <c r="U149" s="36"/>
      <c r="V149" s="36"/>
      <c r="W149" s="36" t="s">
        <v>151</v>
      </c>
      <c r="X149" s="143"/>
      <c r="Y149" s="144"/>
      <c r="Z149" s="147"/>
      <c r="AA149" s="12"/>
      <c r="AB149" s="89"/>
      <c r="AC149" s="89"/>
      <c r="AD149" s="76"/>
      <c r="AE149" s="75"/>
      <c r="AF149" s="11">
        <f t="shared" si="76"/>
        <v>0</v>
      </c>
      <c r="AJ149" s="127">
        <f t="shared" si="77"/>
        <v>0</v>
      </c>
      <c r="AL149" s="53">
        <f t="shared" si="78"/>
        <v>0</v>
      </c>
      <c r="AM149" s="53">
        <f t="shared" si="79"/>
        <v>0</v>
      </c>
      <c r="AN149" s="53">
        <f t="shared" si="74"/>
        <v>0</v>
      </c>
      <c r="AO149" s="90">
        <f t="shared" si="80"/>
        <v>0</v>
      </c>
      <c r="AP149" s="90">
        <f t="shared" si="81"/>
        <v>0</v>
      </c>
      <c r="AQ149" s="29">
        <f t="shared" si="82"/>
        <v>0</v>
      </c>
      <c r="AR149" s="30">
        <f t="shared" si="83"/>
        <v>0</v>
      </c>
      <c r="AS149" s="29">
        <f t="shared" si="84"/>
        <v>0</v>
      </c>
      <c r="AT149" s="10">
        <f t="shared" si="75"/>
        <v>0</v>
      </c>
      <c r="AU149" s="10">
        <f t="shared" si="85"/>
        <v>0</v>
      </c>
      <c r="AV149" s="3"/>
      <c r="AW149" s="53">
        <f t="shared" si="91"/>
        <v>0</v>
      </c>
      <c r="AX149" s="53" t="str">
        <f t="shared" si="92"/>
        <v>0</v>
      </c>
      <c r="AY149" s="95">
        <f t="shared" si="86"/>
        <v>0</v>
      </c>
      <c r="AZ149" s="95">
        <f t="shared" si="93"/>
        <v>0</v>
      </c>
      <c r="BA149" s="36">
        <f t="shared" si="87"/>
        <v>0</v>
      </c>
      <c r="BB149" s="2"/>
      <c r="BC149" s="53">
        <f t="shared" si="94"/>
        <v>0</v>
      </c>
      <c r="BD149" s="53" t="str">
        <f t="shared" si="88"/>
        <v>0</v>
      </c>
      <c r="BE149" s="95">
        <f t="shared" si="89"/>
        <v>0</v>
      </c>
      <c r="BF149" s="95">
        <f t="shared" si="95"/>
        <v>0</v>
      </c>
      <c r="BG149" s="36" t="str">
        <f t="shared" si="90"/>
        <v>0</v>
      </c>
    </row>
    <row r="150" spans="1:59" ht="10.95" hidden="1" customHeight="1" x14ac:dyDescent="0.3">
      <c r="A150" s="15">
        <v>146</v>
      </c>
      <c r="B150" s="15"/>
      <c r="C150" s="143"/>
      <c r="D150" s="144"/>
      <c r="E150" s="15"/>
      <c r="F150" s="143"/>
      <c r="G150" s="147"/>
      <c r="H150" s="52"/>
      <c r="I150" s="14"/>
      <c r="J150" s="36"/>
      <c r="K150" s="36"/>
      <c r="L150" s="13"/>
      <c r="M150" s="56"/>
      <c r="N150" s="145"/>
      <c r="O150" s="146"/>
      <c r="P150" s="57"/>
      <c r="Q150" s="36"/>
      <c r="R150" s="36"/>
      <c r="S150" s="36"/>
      <c r="T150" s="36"/>
      <c r="U150" s="36"/>
      <c r="V150" s="36"/>
      <c r="W150" s="36" t="s">
        <v>151</v>
      </c>
      <c r="X150" s="143"/>
      <c r="Y150" s="144"/>
      <c r="Z150" s="147"/>
      <c r="AA150" s="12"/>
      <c r="AB150" s="89"/>
      <c r="AC150" s="89"/>
      <c r="AD150" s="76"/>
      <c r="AE150" s="75"/>
      <c r="AF150" s="11">
        <f t="shared" si="76"/>
        <v>0</v>
      </c>
      <c r="AJ150" s="127">
        <f t="shared" si="77"/>
        <v>0</v>
      </c>
      <c r="AL150" s="53">
        <f t="shared" si="78"/>
        <v>0</v>
      </c>
      <c r="AM150" s="53">
        <f t="shared" si="79"/>
        <v>0</v>
      </c>
      <c r="AN150" s="53">
        <f t="shared" si="74"/>
        <v>0</v>
      </c>
      <c r="AO150" s="90">
        <f t="shared" si="80"/>
        <v>0</v>
      </c>
      <c r="AP150" s="90">
        <f t="shared" si="81"/>
        <v>0</v>
      </c>
      <c r="AQ150" s="29">
        <f t="shared" si="82"/>
        <v>0</v>
      </c>
      <c r="AR150" s="30">
        <f t="shared" si="83"/>
        <v>0</v>
      </c>
      <c r="AS150" s="29">
        <f t="shared" si="84"/>
        <v>0</v>
      </c>
      <c r="AT150" s="10">
        <f t="shared" si="75"/>
        <v>0</v>
      </c>
      <c r="AU150" s="10">
        <f t="shared" si="85"/>
        <v>0</v>
      </c>
      <c r="AV150" s="3"/>
      <c r="AW150" s="53">
        <f t="shared" si="91"/>
        <v>0</v>
      </c>
      <c r="AX150" s="53" t="str">
        <f t="shared" si="92"/>
        <v>0</v>
      </c>
      <c r="AY150" s="95">
        <f t="shared" si="86"/>
        <v>0</v>
      </c>
      <c r="AZ150" s="95">
        <f t="shared" si="93"/>
        <v>0</v>
      </c>
      <c r="BA150" s="36">
        <f t="shared" si="87"/>
        <v>0</v>
      </c>
      <c r="BB150" s="2"/>
      <c r="BC150" s="53">
        <f t="shared" si="94"/>
        <v>0</v>
      </c>
      <c r="BD150" s="53" t="str">
        <f t="shared" si="88"/>
        <v>0</v>
      </c>
      <c r="BE150" s="95">
        <f t="shared" si="89"/>
        <v>0</v>
      </c>
      <c r="BF150" s="95">
        <f t="shared" si="95"/>
        <v>0</v>
      </c>
      <c r="BG150" s="36" t="str">
        <f t="shared" si="90"/>
        <v>0</v>
      </c>
    </row>
    <row r="151" spans="1:59" ht="10.95" hidden="1" customHeight="1" x14ac:dyDescent="0.3">
      <c r="A151" s="15">
        <v>147</v>
      </c>
      <c r="B151" s="15"/>
      <c r="C151" s="143"/>
      <c r="D151" s="144"/>
      <c r="E151" s="15"/>
      <c r="F151" s="143"/>
      <c r="G151" s="147"/>
      <c r="H151" s="52"/>
      <c r="I151" s="14"/>
      <c r="J151" s="36"/>
      <c r="K151" s="36"/>
      <c r="L151" s="13"/>
      <c r="M151" s="56"/>
      <c r="N151" s="145"/>
      <c r="O151" s="146"/>
      <c r="P151" s="57"/>
      <c r="Q151" s="36"/>
      <c r="R151" s="36"/>
      <c r="S151" s="36"/>
      <c r="T151" s="36"/>
      <c r="U151" s="36"/>
      <c r="V151" s="36"/>
      <c r="W151" s="36" t="s">
        <v>151</v>
      </c>
      <c r="X151" s="143"/>
      <c r="Y151" s="144"/>
      <c r="Z151" s="147"/>
      <c r="AA151" s="12"/>
      <c r="AB151" s="89"/>
      <c r="AC151" s="89"/>
      <c r="AD151" s="76"/>
      <c r="AE151" s="75"/>
      <c r="AF151" s="11">
        <f t="shared" si="76"/>
        <v>0</v>
      </c>
      <c r="AJ151" s="127">
        <f t="shared" si="77"/>
        <v>0</v>
      </c>
      <c r="AL151" s="53">
        <f t="shared" si="78"/>
        <v>0</v>
      </c>
      <c r="AM151" s="53">
        <f t="shared" si="79"/>
        <v>0</v>
      </c>
      <c r="AN151" s="53">
        <f t="shared" si="74"/>
        <v>0</v>
      </c>
      <c r="AO151" s="90">
        <f t="shared" si="80"/>
        <v>0</v>
      </c>
      <c r="AP151" s="90">
        <f t="shared" si="81"/>
        <v>0</v>
      </c>
      <c r="AQ151" s="29">
        <f t="shared" si="82"/>
        <v>0</v>
      </c>
      <c r="AR151" s="30">
        <f t="shared" si="83"/>
        <v>0</v>
      </c>
      <c r="AS151" s="29">
        <f t="shared" si="84"/>
        <v>0</v>
      </c>
      <c r="AT151" s="10">
        <f t="shared" si="75"/>
        <v>0</v>
      </c>
      <c r="AU151" s="10">
        <f t="shared" si="85"/>
        <v>0</v>
      </c>
      <c r="AV151" s="3"/>
      <c r="AW151" s="53">
        <f t="shared" si="91"/>
        <v>0</v>
      </c>
      <c r="AX151" s="53" t="str">
        <f t="shared" si="92"/>
        <v>0</v>
      </c>
      <c r="AY151" s="95">
        <f t="shared" si="86"/>
        <v>0</v>
      </c>
      <c r="AZ151" s="95">
        <f t="shared" si="93"/>
        <v>0</v>
      </c>
      <c r="BA151" s="36">
        <f t="shared" si="87"/>
        <v>0</v>
      </c>
      <c r="BB151" s="2"/>
      <c r="BC151" s="53">
        <f t="shared" si="94"/>
        <v>0</v>
      </c>
      <c r="BD151" s="53" t="str">
        <f t="shared" si="88"/>
        <v>0</v>
      </c>
      <c r="BE151" s="95">
        <f t="shared" si="89"/>
        <v>0</v>
      </c>
      <c r="BF151" s="95">
        <f t="shared" si="95"/>
        <v>0</v>
      </c>
      <c r="BG151" s="36" t="str">
        <f t="shared" si="90"/>
        <v>0</v>
      </c>
    </row>
    <row r="152" spans="1:59" ht="10.95" hidden="1" customHeight="1" x14ac:dyDescent="0.3">
      <c r="A152" s="15">
        <v>148</v>
      </c>
      <c r="B152" s="15"/>
      <c r="C152" s="143"/>
      <c r="D152" s="144"/>
      <c r="E152" s="15"/>
      <c r="F152" s="143"/>
      <c r="G152" s="147"/>
      <c r="H152" s="52"/>
      <c r="I152" s="14"/>
      <c r="J152" s="36"/>
      <c r="K152" s="36"/>
      <c r="L152" s="13"/>
      <c r="M152" s="56"/>
      <c r="N152" s="145"/>
      <c r="O152" s="146"/>
      <c r="P152" s="57"/>
      <c r="Q152" s="36"/>
      <c r="R152" s="36"/>
      <c r="S152" s="36"/>
      <c r="T152" s="36"/>
      <c r="U152" s="36"/>
      <c r="V152" s="36"/>
      <c r="W152" s="36" t="s">
        <v>151</v>
      </c>
      <c r="X152" s="143"/>
      <c r="Y152" s="144"/>
      <c r="Z152" s="147"/>
      <c r="AA152" s="12"/>
      <c r="AB152" s="89"/>
      <c r="AC152" s="89"/>
      <c r="AD152" s="76"/>
      <c r="AE152" s="75"/>
      <c r="AF152" s="11">
        <f t="shared" si="76"/>
        <v>0</v>
      </c>
      <c r="AJ152" s="127">
        <f t="shared" si="77"/>
        <v>0</v>
      </c>
      <c r="AL152" s="53">
        <f t="shared" si="78"/>
        <v>0</v>
      </c>
      <c r="AM152" s="53">
        <f t="shared" si="79"/>
        <v>0</v>
      </c>
      <c r="AN152" s="53">
        <f t="shared" si="74"/>
        <v>0</v>
      </c>
      <c r="AO152" s="90">
        <f t="shared" si="80"/>
        <v>0</v>
      </c>
      <c r="AP152" s="90">
        <f t="shared" si="81"/>
        <v>0</v>
      </c>
      <c r="AQ152" s="29">
        <f t="shared" si="82"/>
        <v>0</v>
      </c>
      <c r="AR152" s="30">
        <f t="shared" si="83"/>
        <v>0</v>
      </c>
      <c r="AS152" s="29">
        <f t="shared" si="84"/>
        <v>0</v>
      </c>
      <c r="AT152" s="10">
        <f t="shared" si="75"/>
        <v>0</v>
      </c>
      <c r="AU152" s="10">
        <f t="shared" si="85"/>
        <v>0</v>
      </c>
      <c r="AV152" s="3"/>
      <c r="AW152" s="53">
        <f t="shared" si="91"/>
        <v>0</v>
      </c>
      <c r="AX152" s="53" t="str">
        <f t="shared" si="92"/>
        <v>0</v>
      </c>
      <c r="AY152" s="95">
        <f t="shared" si="86"/>
        <v>0</v>
      </c>
      <c r="AZ152" s="95">
        <f t="shared" si="93"/>
        <v>0</v>
      </c>
      <c r="BA152" s="36">
        <f t="shared" si="87"/>
        <v>0</v>
      </c>
      <c r="BB152" s="2"/>
      <c r="BC152" s="53">
        <f t="shared" si="94"/>
        <v>0</v>
      </c>
      <c r="BD152" s="53" t="str">
        <f t="shared" si="88"/>
        <v>0</v>
      </c>
      <c r="BE152" s="95">
        <f t="shared" si="89"/>
        <v>0</v>
      </c>
      <c r="BF152" s="95">
        <f t="shared" si="95"/>
        <v>0</v>
      </c>
      <c r="BG152" s="36" t="str">
        <f t="shared" si="90"/>
        <v>0</v>
      </c>
    </row>
    <row r="153" spans="1:59" ht="10.95" hidden="1" customHeight="1" x14ac:dyDescent="0.3">
      <c r="A153" s="15">
        <v>149</v>
      </c>
      <c r="B153" s="15"/>
      <c r="C153" s="143"/>
      <c r="D153" s="144"/>
      <c r="E153" s="15"/>
      <c r="F153" s="143"/>
      <c r="G153" s="147"/>
      <c r="H153" s="52"/>
      <c r="I153" s="14"/>
      <c r="J153" s="36"/>
      <c r="K153" s="36"/>
      <c r="L153" s="13"/>
      <c r="M153" s="56"/>
      <c r="N153" s="145"/>
      <c r="O153" s="146"/>
      <c r="P153" s="57"/>
      <c r="Q153" s="36"/>
      <c r="R153" s="36"/>
      <c r="S153" s="36"/>
      <c r="T153" s="36"/>
      <c r="U153" s="36"/>
      <c r="V153" s="36"/>
      <c r="W153" s="36" t="s">
        <v>151</v>
      </c>
      <c r="X153" s="143"/>
      <c r="Y153" s="144"/>
      <c r="Z153" s="147"/>
      <c r="AA153" s="12"/>
      <c r="AB153" s="89"/>
      <c r="AC153" s="89"/>
      <c r="AD153" s="76"/>
      <c r="AE153" s="75"/>
      <c r="AF153" s="11">
        <f t="shared" si="76"/>
        <v>0</v>
      </c>
      <c r="AJ153" s="127">
        <f t="shared" si="77"/>
        <v>0</v>
      </c>
      <c r="AL153" s="53">
        <f t="shared" si="78"/>
        <v>0</v>
      </c>
      <c r="AM153" s="53">
        <f t="shared" si="79"/>
        <v>0</v>
      </c>
      <c r="AN153" s="53">
        <f t="shared" si="74"/>
        <v>0</v>
      </c>
      <c r="AO153" s="90">
        <f t="shared" si="80"/>
        <v>0</v>
      </c>
      <c r="AP153" s="90">
        <f t="shared" si="81"/>
        <v>0</v>
      </c>
      <c r="AQ153" s="29">
        <f t="shared" si="82"/>
        <v>0</v>
      </c>
      <c r="AR153" s="30">
        <f t="shared" si="83"/>
        <v>0</v>
      </c>
      <c r="AS153" s="29">
        <f t="shared" si="84"/>
        <v>0</v>
      </c>
      <c r="AT153" s="10">
        <f t="shared" si="75"/>
        <v>0</v>
      </c>
      <c r="AU153" s="10">
        <f t="shared" si="85"/>
        <v>0</v>
      </c>
      <c r="AV153" s="3"/>
      <c r="AW153" s="53">
        <f t="shared" si="91"/>
        <v>0</v>
      </c>
      <c r="AX153" s="53" t="str">
        <f t="shared" si="92"/>
        <v>0</v>
      </c>
      <c r="AY153" s="95">
        <f t="shared" si="86"/>
        <v>0</v>
      </c>
      <c r="AZ153" s="95">
        <f t="shared" si="93"/>
        <v>0</v>
      </c>
      <c r="BA153" s="36">
        <f t="shared" si="87"/>
        <v>0</v>
      </c>
      <c r="BB153" s="2"/>
      <c r="BC153" s="53">
        <f t="shared" si="94"/>
        <v>0</v>
      </c>
      <c r="BD153" s="53" t="str">
        <f t="shared" si="88"/>
        <v>0</v>
      </c>
      <c r="BE153" s="95">
        <f t="shared" si="89"/>
        <v>0</v>
      </c>
      <c r="BF153" s="95">
        <f t="shared" si="95"/>
        <v>0</v>
      </c>
      <c r="BG153" s="36" t="str">
        <f t="shared" si="90"/>
        <v>0</v>
      </c>
    </row>
    <row r="154" spans="1:59" ht="10.95" hidden="1" customHeight="1" x14ac:dyDescent="0.3">
      <c r="A154" s="15">
        <v>150</v>
      </c>
      <c r="B154" s="15"/>
      <c r="C154" s="143"/>
      <c r="D154" s="144"/>
      <c r="E154" s="15"/>
      <c r="F154" s="143"/>
      <c r="G154" s="147"/>
      <c r="H154" s="52"/>
      <c r="I154" s="14"/>
      <c r="J154" s="36"/>
      <c r="K154" s="36"/>
      <c r="L154" s="13"/>
      <c r="M154" s="56"/>
      <c r="N154" s="145"/>
      <c r="O154" s="146"/>
      <c r="P154" s="57"/>
      <c r="Q154" s="36"/>
      <c r="R154" s="36"/>
      <c r="S154" s="36"/>
      <c r="T154" s="36"/>
      <c r="U154" s="36"/>
      <c r="V154" s="36"/>
      <c r="W154" s="36" t="s">
        <v>151</v>
      </c>
      <c r="X154" s="143"/>
      <c r="Y154" s="144"/>
      <c r="Z154" s="147"/>
      <c r="AA154" s="12"/>
      <c r="AB154" s="89"/>
      <c r="AC154" s="89"/>
      <c r="AD154" s="76"/>
      <c r="AE154" s="75"/>
      <c r="AF154" s="11">
        <f t="shared" si="76"/>
        <v>0</v>
      </c>
      <c r="AJ154" s="127">
        <f t="shared" si="77"/>
        <v>0</v>
      </c>
      <c r="AL154" s="53">
        <f t="shared" si="78"/>
        <v>0</v>
      </c>
      <c r="AM154" s="53">
        <f t="shared" si="79"/>
        <v>0</v>
      </c>
      <c r="AN154" s="53">
        <f t="shared" si="74"/>
        <v>0</v>
      </c>
      <c r="AO154" s="90">
        <f t="shared" si="80"/>
        <v>0</v>
      </c>
      <c r="AP154" s="90">
        <f t="shared" si="81"/>
        <v>0</v>
      </c>
      <c r="AQ154" s="29">
        <f t="shared" si="82"/>
        <v>0</v>
      </c>
      <c r="AR154" s="30">
        <f t="shared" si="83"/>
        <v>0</v>
      </c>
      <c r="AS154" s="29">
        <f t="shared" si="84"/>
        <v>0</v>
      </c>
      <c r="AT154" s="10">
        <f t="shared" si="75"/>
        <v>0</v>
      </c>
      <c r="AU154" s="10">
        <f t="shared" si="85"/>
        <v>0</v>
      </c>
      <c r="AV154" s="3"/>
      <c r="AW154" s="53">
        <f t="shared" si="91"/>
        <v>0</v>
      </c>
      <c r="AX154" s="53" t="str">
        <f t="shared" si="92"/>
        <v>0</v>
      </c>
      <c r="AY154" s="95">
        <f t="shared" si="86"/>
        <v>0</v>
      </c>
      <c r="AZ154" s="95">
        <f t="shared" si="93"/>
        <v>0</v>
      </c>
      <c r="BA154" s="36">
        <f t="shared" si="87"/>
        <v>0</v>
      </c>
      <c r="BB154" s="2"/>
      <c r="BC154" s="53">
        <f t="shared" si="94"/>
        <v>0</v>
      </c>
      <c r="BD154" s="53" t="str">
        <f t="shared" si="88"/>
        <v>0</v>
      </c>
      <c r="BE154" s="95">
        <f t="shared" si="89"/>
        <v>0</v>
      </c>
      <c r="BF154" s="95">
        <f t="shared" si="95"/>
        <v>0</v>
      </c>
      <c r="BG154" s="36" t="str">
        <f t="shared" si="90"/>
        <v>0</v>
      </c>
    </row>
    <row r="155" spans="1:59" ht="10.95" hidden="1" customHeight="1" x14ac:dyDescent="0.3">
      <c r="A155" s="15">
        <v>151</v>
      </c>
      <c r="B155" s="15"/>
      <c r="C155" s="143"/>
      <c r="D155" s="144"/>
      <c r="E155" s="15"/>
      <c r="F155" s="143"/>
      <c r="G155" s="147"/>
      <c r="H155" s="52"/>
      <c r="I155" s="14"/>
      <c r="J155" s="36"/>
      <c r="K155" s="36"/>
      <c r="L155" s="13"/>
      <c r="M155" s="56"/>
      <c r="N155" s="145"/>
      <c r="O155" s="146"/>
      <c r="P155" s="57"/>
      <c r="Q155" s="36"/>
      <c r="R155" s="36"/>
      <c r="S155" s="36"/>
      <c r="T155" s="36"/>
      <c r="U155" s="36"/>
      <c r="V155" s="36"/>
      <c r="W155" s="36" t="s">
        <v>151</v>
      </c>
      <c r="X155" s="143"/>
      <c r="Y155" s="144"/>
      <c r="Z155" s="147"/>
      <c r="AA155" s="12"/>
      <c r="AB155" s="89"/>
      <c r="AC155" s="89"/>
      <c r="AD155" s="76"/>
      <c r="AE155" s="75"/>
      <c r="AF155" s="11">
        <f t="shared" si="76"/>
        <v>0</v>
      </c>
      <c r="AJ155" s="127">
        <f t="shared" si="77"/>
        <v>0</v>
      </c>
      <c r="AL155" s="53">
        <f t="shared" si="78"/>
        <v>0</v>
      </c>
      <c r="AM155" s="53">
        <f t="shared" si="79"/>
        <v>0</v>
      </c>
      <c r="AN155" s="53">
        <f t="shared" si="74"/>
        <v>0</v>
      </c>
      <c r="AO155" s="90">
        <f t="shared" si="80"/>
        <v>0</v>
      </c>
      <c r="AP155" s="90">
        <f t="shared" si="81"/>
        <v>0</v>
      </c>
      <c r="AQ155" s="29">
        <f t="shared" si="82"/>
        <v>0</v>
      </c>
      <c r="AR155" s="30">
        <f t="shared" si="83"/>
        <v>0</v>
      </c>
      <c r="AS155" s="29">
        <f t="shared" si="84"/>
        <v>0</v>
      </c>
      <c r="AT155" s="10">
        <f t="shared" si="75"/>
        <v>0</v>
      </c>
      <c r="AU155" s="10">
        <f t="shared" si="85"/>
        <v>0</v>
      </c>
      <c r="AV155" s="3"/>
      <c r="AW155" s="53">
        <f t="shared" si="91"/>
        <v>0</v>
      </c>
      <c r="AX155" s="53" t="str">
        <f t="shared" si="92"/>
        <v>0</v>
      </c>
      <c r="AY155" s="95">
        <f t="shared" si="86"/>
        <v>0</v>
      </c>
      <c r="AZ155" s="95">
        <f t="shared" si="93"/>
        <v>0</v>
      </c>
      <c r="BA155" s="36">
        <f t="shared" si="87"/>
        <v>0</v>
      </c>
      <c r="BB155" s="2"/>
      <c r="BC155" s="53">
        <f t="shared" si="94"/>
        <v>0</v>
      </c>
      <c r="BD155" s="53" t="str">
        <f t="shared" si="88"/>
        <v>0</v>
      </c>
      <c r="BE155" s="95">
        <f t="shared" si="89"/>
        <v>0</v>
      </c>
      <c r="BF155" s="95">
        <f t="shared" si="95"/>
        <v>0</v>
      </c>
      <c r="BG155" s="36" t="str">
        <f t="shared" si="90"/>
        <v>0</v>
      </c>
    </row>
    <row r="156" spans="1:59" ht="10.95" hidden="1" customHeight="1" x14ac:dyDescent="0.3">
      <c r="A156" s="15">
        <v>152</v>
      </c>
      <c r="B156" s="15"/>
      <c r="C156" s="143"/>
      <c r="D156" s="144"/>
      <c r="E156" s="15"/>
      <c r="F156" s="143"/>
      <c r="G156" s="147"/>
      <c r="H156" s="52"/>
      <c r="I156" s="14"/>
      <c r="J156" s="36"/>
      <c r="K156" s="36"/>
      <c r="L156" s="13"/>
      <c r="M156" s="56"/>
      <c r="N156" s="145"/>
      <c r="O156" s="146"/>
      <c r="P156" s="57"/>
      <c r="Q156" s="36"/>
      <c r="R156" s="36"/>
      <c r="S156" s="36"/>
      <c r="T156" s="36"/>
      <c r="U156" s="36"/>
      <c r="V156" s="36"/>
      <c r="W156" s="36" t="s">
        <v>151</v>
      </c>
      <c r="X156" s="143"/>
      <c r="Y156" s="144"/>
      <c r="Z156" s="147"/>
      <c r="AA156" s="12"/>
      <c r="AB156" s="89"/>
      <c r="AC156" s="89"/>
      <c r="AD156" s="76"/>
      <c r="AE156" s="75"/>
      <c r="AF156" s="11">
        <f t="shared" si="76"/>
        <v>0</v>
      </c>
      <c r="AJ156" s="127">
        <f t="shared" si="77"/>
        <v>0</v>
      </c>
      <c r="AL156" s="53">
        <f t="shared" si="78"/>
        <v>0</v>
      </c>
      <c r="AM156" s="53">
        <f t="shared" si="79"/>
        <v>0</v>
      </c>
      <c r="AN156" s="53">
        <f t="shared" si="74"/>
        <v>0</v>
      </c>
      <c r="AO156" s="90">
        <f t="shared" si="80"/>
        <v>0</v>
      </c>
      <c r="AP156" s="90">
        <f t="shared" si="81"/>
        <v>0</v>
      </c>
      <c r="AQ156" s="29">
        <f t="shared" si="82"/>
        <v>0</v>
      </c>
      <c r="AR156" s="30">
        <f t="shared" si="83"/>
        <v>0</v>
      </c>
      <c r="AS156" s="29">
        <f t="shared" si="84"/>
        <v>0</v>
      </c>
      <c r="AT156" s="10">
        <f t="shared" si="75"/>
        <v>0</v>
      </c>
      <c r="AU156" s="10">
        <f t="shared" si="85"/>
        <v>0</v>
      </c>
      <c r="AV156" s="3"/>
      <c r="AW156" s="53">
        <f t="shared" si="91"/>
        <v>0</v>
      </c>
      <c r="AX156" s="53" t="str">
        <f t="shared" si="92"/>
        <v>0</v>
      </c>
      <c r="AY156" s="95">
        <f t="shared" si="86"/>
        <v>0</v>
      </c>
      <c r="AZ156" s="95">
        <f t="shared" si="93"/>
        <v>0</v>
      </c>
      <c r="BA156" s="36">
        <f t="shared" si="87"/>
        <v>0</v>
      </c>
      <c r="BB156" s="2"/>
      <c r="BC156" s="53">
        <f t="shared" si="94"/>
        <v>0</v>
      </c>
      <c r="BD156" s="53" t="str">
        <f t="shared" si="88"/>
        <v>0</v>
      </c>
      <c r="BE156" s="95">
        <f t="shared" si="89"/>
        <v>0</v>
      </c>
      <c r="BF156" s="95">
        <f t="shared" si="95"/>
        <v>0</v>
      </c>
      <c r="BG156" s="36" t="str">
        <f t="shared" si="90"/>
        <v>0</v>
      </c>
    </row>
    <row r="157" spans="1:59" ht="10.95" hidden="1" customHeight="1" x14ac:dyDescent="0.3">
      <c r="A157" s="15">
        <v>153</v>
      </c>
      <c r="B157" s="15"/>
      <c r="C157" s="143"/>
      <c r="D157" s="144"/>
      <c r="E157" s="15"/>
      <c r="F157" s="143"/>
      <c r="G157" s="147"/>
      <c r="H157" s="52"/>
      <c r="I157" s="14"/>
      <c r="J157" s="36"/>
      <c r="K157" s="36"/>
      <c r="L157" s="13"/>
      <c r="M157" s="56"/>
      <c r="N157" s="145"/>
      <c r="O157" s="146"/>
      <c r="P157" s="57"/>
      <c r="Q157" s="36"/>
      <c r="R157" s="36"/>
      <c r="S157" s="36"/>
      <c r="T157" s="36"/>
      <c r="U157" s="36"/>
      <c r="V157" s="36"/>
      <c r="W157" s="36" t="s">
        <v>151</v>
      </c>
      <c r="X157" s="143"/>
      <c r="Y157" s="144"/>
      <c r="Z157" s="147"/>
      <c r="AA157" s="12"/>
      <c r="AB157" s="89"/>
      <c r="AC157" s="89"/>
      <c r="AD157" s="76"/>
      <c r="AE157" s="75"/>
      <c r="AF157" s="11">
        <f t="shared" si="76"/>
        <v>0</v>
      </c>
      <c r="AJ157" s="127">
        <f t="shared" si="77"/>
        <v>0</v>
      </c>
      <c r="AL157" s="53">
        <f t="shared" si="78"/>
        <v>0</v>
      </c>
      <c r="AM157" s="53">
        <f t="shared" si="79"/>
        <v>0</v>
      </c>
      <c r="AN157" s="53">
        <f t="shared" si="74"/>
        <v>0</v>
      </c>
      <c r="AO157" s="90">
        <f t="shared" si="80"/>
        <v>0</v>
      </c>
      <c r="AP157" s="90">
        <f t="shared" si="81"/>
        <v>0</v>
      </c>
      <c r="AQ157" s="29">
        <f t="shared" si="82"/>
        <v>0</v>
      </c>
      <c r="AR157" s="30">
        <f t="shared" si="83"/>
        <v>0</v>
      </c>
      <c r="AS157" s="29">
        <f t="shared" si="84"/>
        <v>0</v>
      </c>
      <c r="AT157" s="10">
        <f t="shared" si="75"/>
        <v>0</v>
      </c>
      <c r="AU157" s="10">
        <f t="shared" si="85"/>
        <v>0</v>
      </c>
      <c r="AV157" s="3"/>
      <c r="AW157" s="53">
        <f t="shared" si="91"/>
        <v>0</v>
      </c>
      <c r="AX157" s="53" t="str">
        <f t="shared" si="92"/>
        <v>0</v>
      </c>
      <c r="AY157" s="95">
        <f t="shared" si="86"/>
        <v>0</v>
      </c>
      <c r="AZ157" s="95">
        <f t="shared" si="93"/>
        <v>0</v>
      </c>
      <c r="BA157" s="36">
        <f t="shared" si="87"/>
        <v>0</v>
      </c>
      <c r="BB157" s="2"/>
      <c r="BC157" s="53">
        <f t="shared" si="94"/>
        <v>0</v>
      </c>
      <c r="BD157" s="53" t="str">
        <f t="shared" si="88"/>
        <v>0</v>
      </c>
      <c r="BE157" s="95">
        <f t="shared" si="89"/>
        <v>0</v>
      </c>
      <c r="BF157" s="95">
        <f t="shared" si="95"/>
        <v>0</v>
      </c>
      <c r="BG157" s="36" t="str">
        <f t="shared" si="90"/>
        <v>0</v>
      </c>
    </row>
    <row r="158" spans="1:59" ht="10.95" hidden="1" customHeight="1" x14ac:dyDescent="0.3">
      <c r="A158" s="15">
        <v>154</v>
      </c>
      <c r="B158" s="15"/>
      <c r="C158" s="143"/>
      <c r="D158" s="144"/>
      <c r="E158" s="15"/>
      <c r="F158" s="143"/>
      <c r="G158" s="147"/>
      <c r="H158" s="52"/>
      <c r="I158" s="14"/>
      <c r="J158" s="36"/>
      <c r="K158" s="36"/>
      <c r="L158" s="13"/>
      <c r="M158" s="56"/>
      <c r="N158" s="145"/>
      <c r="O158" s="146"/>
      <c r="P158" s="57"/>
      <c r="Q158" s="36"/>
      <c r="R158" s="36"/>
      <c r="S158" s="36"/>
      <c r="T158" s="36"/>
      <c r="U158" s="36"/>
      <c r="V158" s="36"/>
      <c r="W158" s="36" t="s">
        <v>151</v>
      </c>
      <c r="X158" s="143"/>
      <c r="Y158" s="144"/>
      <c r="Z158" s="147"/>
      <c r="AA158" s="12"/>
      <c r="AB158" s="89"/>
      <c r="AC158" s="89"/>
      <c r="AD158" s="76"/>
      <c r="AE158" s="75"/>
      <c r="AF158" s="11">
        <f t="shared" si="76"/>
        <v>0</v>
      </c>
      <c r="AJ158" s="127">
        <f t="shared" si="77"/>
        <v>0</v>
      </c>
      <c r="AL158" s="53">
        <f t="shared" si="78"/>
        <v>0</v>
      </c>
      <c r="AM158" s="53">
        <f t="shared" si="79"/>
        <v>0</v>
      </c>
      <c r="AN158" s="53">
        <f t="shared" si="74"/>
        <v>0</v>
      </c>
      <c r="AO158" s="90">
        <f t="shared" si="80"/>
        <v>0</v>
      </c>
      <c r="AP158" s="90">
        <f t="shared" si="81"/>
        <v>0</v>
      </c>
      <c r="AQ158" s="29">
        <f t="shared" si="82"/>
        <v>0</v>
      </c>
      <c r="AR158" s="30">
        <f t="shared" si="83"/>
        <v>0</v>
      </c>
      <c r="AS158" s="29">
        <f t="shared" si="84"/>
        <v>0</v>
      </c>
      <c r="AT158" s="10">
        <f t="shared" si="75"/>
        <v>0</v>
      </c>
      <c r="AU158" s="10">
        <f t="shared" si="85"/>
        <v>0</v>
      </c>
      <c r="AV158" s="3"/>
      <c r="AW158" s="53">
        <f t="shared" si="91"/>
        <v>0</v>
      </c>
      <c r="AX158" s="53" t="str">
        <f t="shared" si="92"/>
        <v>0</v>
      </c>
      <c r="AY158" s="95">
        <f t="shared" si="86"/>
        <v>0</v>
      </c>
      <c r="AZ158" s="95">
        <f t="shared" si="93"/>
        <v>0</v>
      </c>
      <c r="BA158" s="36">
        <f t="shared" si="87"/>
        <v>0</v>
      </c>
      <c r="BB158" s="2"/>
      <c r="BC158" s="53">
        <f t="shared" si="94"/>
        <v>0</v>
      </c>
      <c r="BD158" s="53" t="str">
        <f t="shared" si="88"/>
        <v>0</v>
      </c>
      <c r="BE158" s="95">
        <f t="shared" si="89"/>
        <v>0</v>
      </c>
      <c r="BF158" s="95">
        <f t="shared" si="95"/>
        <v>0</v>
      </c>
      <c r="BG158" s="36" t="str">
        <f t="shared" si="90"/>
        <v>0</v>
      </c>
    </row>
    <row r="159" spans="1:59" ht="10.95" hidden="1" customHeight="1" x14ac:dyDescent="0.3">
      <c r="A159" s="15">
        <v>155</v>
      </c>
      <c r="B159" s="15"/>
      <c r="C159" s="143"/>
      <c r="D159" s="144"/>
      <c r="E159" s="15"/>
      <c r="F159" s="143"/>
      <c r="G159" s="147"/>
      <c r="H159" s="52"/>
      <c r="I159" s="14"/>
      <c r="J159" s="36"/>
      <c r="K159" s="36"/>
      <c r="L159" s="13"/>
      <c r="M159" s="56"/>
      <c r="N159" s="145"/>
      <c r="O159" s="146"/>
      <c r="P159" s="57"/>
      <c r="Q159" s="36"/>
      <c r="R159" s="36"/>
      <c r="S159" s="36"/>
      <c r="T159" s="36"/>
      <c r="U159" s="36"/>
      <c r="V159" s="36"/>
      <c r="W159" s="36" t="s">
        <v>151</v>
      </c>
      <c r="X159" s="143"/>
      <c r="Y159" s="144"/>
      <c r="Z159" s="147"/>
      <c r="AA159" s="12"/>
      <c r="AB159" s="89"/>
      <c r="AC159" s="89"/>
      <c r="AD159" s="76"/>
      <c r="AE159" s="75"/>
      <c r="AF159" s="11">
        <f t="shared" si="76"/>
        <v>0</v>
      </c>
      <c r="AJ159" s="127">
        <f t="shared" si="77"/>
        <v>0</v>
      </c>
      <c r="AL159" s="53">
        <f t="shared" si="78"/>
        <v>0</v>
      </c>
      <c r="AM159" s="53">
        <f t="shared" si="79"/>
        <v>0</v>
      </c>
      <c r="AN159" s="53">
        <f t="shared" si="74"/>
        <v>0</v>
      </c>
      <c r="AO159" s="90">
        <f t="shared" si="80"/>
        <v>0</v>
      </c>
      <c r="AP159" s="90">
        <f t="shared" si="81"/>
        <v>0</v>
      </c>
      <c r="AQ159" s="29">
        <f t="shared" si="82"/>
        <v>0</v>
      </c>
      <c r="AR159" s="30">
        <f t="shared" si="83"/>
        <v>0</v>
      </c>
      <c r="AS159" s="29">
        <f t="shared" si="84"/>
        <v>0</v>
      </c>
      <c r="AT159" s="10">
        <f t="shared" si="75"/>
        <v>0</v>
      </c>
      <c r="AU159" s="10">
        <f t="shared" si="85"/>
        <v>0</v>
      </c>
      <c r="AV159" s="3"/>
      <c r="AW159" s="53">
        <f t="shared" si="91"/>
        <v>0</v>
      </c>
      <c r="AX159" s="53" t="str">
        <f t="shared" si="92"/>
        <v>0</v>
      </c>
      <c r="AY159" s="95">
        <f t="shared" si="86"/>
        <v>0</v>
      </c>
      <c r="AZ159" s="95">
        <f t="shared" si="93"/>
        <v>0</v>
      </c>
      <c r="BA159" s="36">
        <f t="shared" si="87"/>
        <v>0</v>
      </c>
      <c r="BB159" s="2"/>
      <c r="BC159" s="53">
        <f t="shared" si="94"/>
        <v>0</v>
      </c>
      <c r="BD159" s="53" t="str">
        <f t="shared" si="88"/>
        <v>0</v>
      </c>
      <c r="BE159" s="95">
        <f t="shared" si="89"/>
        <v>0</v>
      </c>
      <c r="BF159" s="95">
        <f t="shared" si="95"/>
        <v>0</v>
      </c>
      <c r="BG159" s="36" t="str">
        <f t="shared" si="90"/>
        <v>0</v>
      </c>
    </row>
    <row r="160" spans="1:59" ht="10.95" hidden="1" customHeight="1" x14ac:dyDescent="0.3">
      <c r="A160" s="15">
        <v>156</v>
      </c>
      <c r="B160" s="15"/>
      <c r="C160" s="143"/>
      <c r="D160" s="144"/>
      <c r="E160" s="15"/>
      <c r="F160" s="143"/>
      <c r="G160" s="147"/>
      <c r="H160" s="52"/>
      <c r="I160" s="14"/>
      <c r="J160" s="36"/>
      <c r="K160" s="36"/>
      <c r="L160" s="13"/>
      <c r="M160" s="56"/>
      <c r="N160" s="145"/>
      <c r="O160" s="146"/>
      <c r="P160" s="57"/>
      <c r="Q160" s="36"/>
      <c r="R160" s="36"/>
      <c r="S160" s="36"/>
      <c r="T160" s="36"/>
      <c r="U160" s="36"/>
      <c r="V160" s="36"/>
      <c r="W160" s="36" t="s">
        <v>151</v>
      </c>
      <c r="X160" s="143"/>
      <c r="Y160" s="144"/>
      <c r="Z160" s="147"/>
      <c r="AA160" s="12"/>
      <c r="AB160" s="89"/>
      <c r="AC160" s="89"/>
      <c r="AD160" s="76"/>
      <c r="AE160" s="75"/>
      <c r="AF160" s="11">
        <f t="shared" si="76"/>
        <v>0</v>
      </c>
      <c r="AJ160" s="127">
        <f t="shared" si="77"/>
        <v>0</v>
      </c>
      <c r="AL160" s="53">
        <f t="shared" si="78"/>
        <v>0</v>
      </c>
      <c r="AM160" s="53">
        <f t="shared" si="79"/>
        <v>0</v>
      </c>
      <c r="AN160" s="53">
        <f t="shared" si="74"/>
        <v>0</v>
      </c>
      <c r="AO160" s="90">
        <f t="shared" si="80"/>
        <v>0</v>
      </c>
      <c r="AP160" s="90">
        <f t="shared" si="81"/>
        <v>0</v>
      </c>
      <c r="AQ160" s="29">
        <f t="shared" si="82"/>
        <v>0</v>
      </c>
      <c r="AR160" s="30">
        <f t="shared" si="83"/>
        <v>0</v>
      </c>
      <c r="AS160" s="29">
        <f t="shared" si="84"/>
        <v>0</v>
      </c>
      <c r="AT160" s="10">
        <f t="shared" si="75"/>
        <v>0</v>
      </c>
      <c r="AU160" s="10">
        <f t="shared" si="85"/>
        <v>0</v>
      </c>
      <c r="AV160" s="3"/>
      <c r="AW160" s="53">
        <f t="shared" si="91"/>
        <v>0</v>
      </c>
      <c r="AX160" s="53" t="str">
        <f t="shared" si="92"/>
        <v>0</v>
      </c>
      <c r="AY160" s="95">
        <f t="shared" si="86"/>
        <v>0</v>
      </c>
      <c r="AZ160" s="95">
        <f t="shared" si="93"/>
        <v>0</v>
      </c>
      <c r="BA160" s="36">
        <f t="shared" si="87"/>
        <v>0</v>
      </c>
      <c r="BB160" s="2"/>
      <c r="BC160" s="53">
        <f t="shared" si="94"/>
        <v>0</v>
      </c>
      <c r="BD160" s="53" t="str">
        <f t="shared" si="88"/>
        <v>0</v>
      </c>
      <c r="BE160" s="95">
        <f t="shared" si="89"/>
        <v>0</v>
      </c>
      <c r="BF160" s="95">
        <f t="shared" si="95"/>
        <v>0</v>
      </c>
      <c r="BG160" s="36" t="str">
        <f t="shared" si="90"/>
        <v>0</v>
      </c>
    </row>
    <row r="161" spans="1:59" ht="10.95" hidden="1" customHeight="1" x14ac:dyDescent="0.3">
      <c r="A161" s="15">
        <v>157</v>
      </c>
      <c r="B161" s="15"/>
      <c r="C161" s="143"/>
      <c r="D161" s="144"/>
      <c r="E161" s="15"/>
      <c r="F161" s="143"/>
      <c r="G161" s="147"/>
      <c r="H161" s="52"/>
      <c r="I161" s="14"/>
      <c r="J161" s="36"/>
      <c r="K161" s="36"/>
      <c r="L161" s="13"/>
      <c r="M161" s="56"/>
      <c r="N161" s="145"/>
      <c r="O161" s="146"/>
      <c r="P161" s="57"/>
      <c r="Q161" s="36"/>
      <c r="R161" s="36"/>
      <c r="S161" s="36"/>
      <c r="T161" s="36"/>
      <c r="U161" s="36"/>
      <c r="V161" s="36"/>
      <c r="W161" s="36" t="s">
        <v>151</v>
      </c>
      <c r="X161" s="143"/>
      <c r="Y161" s="144"/>
      <c r="Z161" s="147"/>
      <c r="AA161" s="12"/>
      <c r="AB161" s="89"/>
      <c r="AC161" s="89"/>
      <c r="AD161" s="76"/>
      <c r="AE161" s="75"/>
      <c r="AF161" s="11">
        <f t="shared" si="76"/>
        <v>0</v>
      </c>
      <c r="AJ161" s="127">
        <f t="shared" si="77"/>
        <v>0</v>
      </c>
      <c r="AL161" s="53">
        <f t="shared" si="78"/>
        <v>0</v>
      </c>
      <c r="AM161" s="53">
        <f t="shared" si="79"/>
        <v>0</v>
      </c>
      <c r="AN161" s="53">
        <f t="shared" si="74"/>
        <v>0</v>
      </c>
      <c r="AO161" s="90">
        <f t="shared" si="80"/>
        <v>0</v>
      </c>
      <c r="AP161" s="90">
        <f t="shared" si="81"/>
        <v>0</v>
      </c>
      <c r="AQ161" s="29">
        <f t="shared" si="82"/>
        <v>0</v>
      </c>
      <c r="AR161" s="30">
        <f t="shared" si="83"/>
        <v>0</v>
      </c>
      <c r="AS161" s="29">
        <f t="shared" si="84"/>
        <v>0</v>
      </c>
      <c r="AT161" s="10">
        <f t="shared" si="75"/>
        <v>0</v>
      </c>
      <c r="AU161" s="10">
        <f t="shared" si="85"/>
        <v>0</v>
      </c>
      <c r="AV161" s="3"/>
      <c r="AW161" s="53">
        <f t="shared" si="91"/>
        <v>0</v>
      </c>
      <c r="AX161" s="53" t="str">
        <f t="shared" si="92"/>
        <v>0</v>
      </c>
      <c r="AY161" s="95">
        <f t="shared" si="86"/>
        <v>0</v>
      </c>
      <c r="AZ161" s="95">
        <f t="shared" si="93"/>
        <v>0</v>
      </c>
      <c r="BA161" s="36">
        <f t="shared" si="87"/>
        <v>0</v>
      </c>
      <c r="BB161" s="2"/>
      <c r="BC161" s="53">
        <f t="shared" si="94"/>
        <v>0</v>
      </c>
      <c r="BD161" s="53" t="str">
        <f t="shared" si="88"/>
        <v>0</v>
      </c>
      <c r="BE161" s="95">
        <f t="shared" si="89"/>
        <v>0</v>
      </c>
      <c r="BF161" s="95">
        <f t="shared" si="95"/>
        <v>0</v>
      </c>
      <c r="BG161" s="36" t="str">
        <f t="shared" si="90"/>
        <v>0</v>
      </c>
    </row>
    <row r="162" spans="1:59" ht="10.95" hidden="1" customHeight="1" x14ac:dyDescent="0.3">
      <c r="A162" s="15">
        <v>158</v>
      </c>
      <c r="B162" s="15"/>
      <c r="C162" s="143"/>
      <c r="D162" s="144"/>
      <c r="E162" s="15"/>
      <c r="F162" s="143"/>
      <c r="G162" s="147"/>
      <c r="H162" s="52"/>
      <c r="I162" s="14"/>
      <c r="J162" s="36"/>
      <c r="K162" s="36"/>
      <c r="L162" s="13"/>
      <c r="M162" s="56"/>
      <c r="N162" s="145"/>
      <c r="O162" s="146"/>
      <c r="P162" s="57"/>
      <c r="Q162" s="36"/>
      <c r="R162" s="36"/>
      <c r="S162" s="36"/>
      <c r="T162" s="36"/>
      <c r="U162" s="36"/>
      <c r="V162" s="36"/>
      <c r="W162" s="36" t="s">
        <v>151</v>
      </c>
      <c r="X162" s="143"/>
      <c r="Y162" s="144"/>
      <c r="Z162" s="147"/>
      <c r="AA162" s="12"/>
      <c r="AB162" s="89"/>
      <c r="AC162" s="89"/>
      <c r="AD162" s="76"/>
      <c r="AE162" s="75"/>
      <c r="AF162" s="11">
        <f t="shared" si="76"/>
        <v>0</v>
      </c>
      <c r="AJ162" s="127">
        <f t="shared" si="77"/>
        <v>0</v>
      </c>
      <c r="AL162" s="53">
        <f t="shared" si="78"/>
        <v>0</v>
      </c>
      <c r="AM162" s="53">
        <f t="shared" si="79"/>
        <v>0</v>
      </c>
      <c r="AN162" s="53">
        <f t="shared" si="74"/>
        <v>0</v>
      </c>
      <c r="AO162" s="90">
        <f t="shared" si="80"/>
        <v>0</v>
      </c>
      <c r="AP162" s="90">
        <f t="shared" si="81"/>
        <v>0</v>
      </c>
      <c r="AQ162" s="29">
        <f t="shared" si="82"/>
        <v>0</v>
      </c>
      <c r="AR162" s="30">
        <f t="shared" si="83"/>
        <v>0</v>
      </c>
      <c r="AS162" s="29">
        <f t="shared" si="84"/>
        <v>0</v>
      </c>
      <c r="AT162" s="10">
        <f t="shared" si="75"/>
        <v>0</v>
      </c>
      <c r="AU162" s="10">
        <f t="shared" si="85"/>
        <v>0</v>
      </c>
      <c r="AV162" s="3"/>
      <c r="AW162" s="53">
        <f t="shared" si="91"/>
        <v>0</v>
      </c>
      <c r="AX162" s="53" t="str">
        <f t="shared" si="92"/>
        <v>0</v>
      </c>
      <c r="AY162" s="95">
        <f t="shared" si="86"/>
        <v>0</v>
      </c>
      <c r="AZ162" s="95">
        <f t="shared" si="93"/>
        <v>0</v>
      </c>
      <c r="BA162" s="36">
        <f t="shared" si="87"/>
        <v>0</v>
      </c>
      <c r="BB162" s="2"/>
      <c r="BC162" s="53">
        <f t="shared" si="94"/>
        <v>0</v>
      </c>
      <c r="BD162" s="53" t="str">
        <f t="shared" si="88"/>
        <v>0</v>
      </c>
      <c r="BE162" s="95">
        <f t="shared" si="89"/>
        <v>0</v>
      </c>
      <c r="BF162" s="95">
        <f t="shared" si="95"/>
        <v>0</v>
      </c>
      <c r="BG162" s="36" t="str">
        <f t="shared" si="90"/>
        <v>0</v>
      </c>
    </row>
    <row r="163" spans="1:59" ht="10.95" hidden="1" customHeight="1" x14ac:dyDescent="0.3">
      <c r="A163" s="15">
        <v>159</v>
      </c>
      <c r="B163" s="15"/>
      <c r="C163" s="143"/>
      <c r="D163" s="144"/>
      <c r="E163" s="15"/>
      <c r="F163" s="143"/>
      <c r="G163" s="147"/>
      <c r="H163" s="52"/>
      <c r="I163" s="14"/>
      <c r="J163" s="36"/>
      <c r="K163" s="36"/>
      <c r="L163" s="13"/>
      <c r="M163" s="56"/>
      <c r="N163" s="145"/>
      <c r="O163" s="146"/>
      <c r="P163" s="57"/>
      <c r="Q163" s="36"/>
      <c r="R163" s="36"/>
      <c r="S163" s="36"/>
      <c r="T163" s="36"/>
      <c r="U163" s="36"/>
      <c r="V163" s="36"/>
      <c r="W163" s="36" t="s">
        <v>151</v>
      </c>
      <c r="X163" s="143"/>
      <c r="Y163" s="144"/>
      <c r="Z163" s="147"/>
      <c r="AA163" s="12"/>
      <c r="AB163" s="89"/>
      <c r="AC163" s="89"/>
      <c r="AD163" s="76"/>
      <c r="AE163" s="75"/>
      <c r="AF163" s="11">
        <f t="shared" si="76"/>
        <v>0</v>
      </c>
      <c r="AJ163" s="127">
        <f t="shared" si="77"/>
        <v>0</v>
      </c>
      <c r="AL163" s="53">
        <f t="shared" si="78"/>
        <v>0</v>
      </c>
      <c r="AM163" s="53">
        <f t="shared" si="79"/>
        <v>0</v>
      </c>
      <c r="AN163" s="53">
        <f t="shared" si="74"/>
        <v>0</v>
      </c>
      <c r="AO163" s="90">
        <f t="shared" si="80"/>
        <v>0</v>
      </c>
      <c r="AP163" s="90">
        <f t="shared" si="81"/>
        <v>0</v>
      </c>
      <c r="AQ163" s="29">
        <f t="shared" si="82"/>
        <v>0</v>
      </c>
      <c r="AR163" s="30">
        <f t="shared" si="83"/>
        <v>0</v>
      </c>
      <c r="AS163" s="29">
        <f t="shared" si="84"/>
        <v>0</v>
      </c>
      <c r="AT163" s="10">
        <f t="shared" si="75"/>
        <v>0</v>
      </c>
      <c r="AU163" s="10">
        <f t="shared" si="85"/>
        <v>0</v>
      </c>
      <c r="AV163" s="3"/>
      <c r="AW163" s="53">
        <f t="shared" si="91"/>
        <v>0</v>
      </c>
      <c r="AX163" s="53" t="str">
        <f t="shared" si="92"/>
        <v>0</v>
      </c>
      <c r="AY163" s="95">
        <f t="shared" si="86"/>
        <v>0</v>
      </c>
      <c r="AZ163" s="95">
        <f t="shared" si="93"/>
        <v>0</v>
      </c>
      <c r="BA163" s="36">
        <f t="shared" si="87"/>
        <v>0</v>
      </c>
      <c r="BB163" s="2"/>
      <c r="BC163" s="53">
        <f t="shared" si="94"/>
        <v>0</v>
      </c>
      <c r="BD163" s="53" t="str">
        <f t="shared" si="88"/>
        <v>0</v>
      </c>
      <c r="BE163" s="95">
        <f t="shared" si="89"/>
        <v>0</v>
      </c>
      <c r="BF163" s="95">
        <f t="shared" si="95"/>
        <v>0</v>
      </c>
      <c r="BG163" s="36" t="str">
        <f t="shared" si="90"/>
        <v>0</v>
      </c>
    </row>
    <row r="164" spans="1:59" ht="10.95" hidden="1" customHeight="1" x14ac:dyDescent="0.3">
      <c r="A164" s="15">
        <v>160</v>
      </c>
      <c r="B164" s="15"/>
      <c r="C164" s="143"/>
      <c r="D164" s="144"/>
      <c r="E164" s="15"/>
      <c r="F164" s="143"/>
      <c r="G164" s="147"/>
      <c r="H164" s="52"/>
      <c r="I164" s="14"/>
      <c r="J164" s="36"/>
      <c r="K164" s="36"/>
      <c r="L164" s="13"/>
      <c r="M164" s="56"/>
      <c r="N164" s="145"/>
      <c r="O164" s="146"/>
      <c r="P164" s="57"/>
      <c r="Q164" s="36"/>
      <c r="R164" s="36"/>
      <c r="S164" s="36"/>
      <c r="T164" s="36"/>
      <c r="U164" s="36"/>
      <c r="V164" s="36"/>
      <c r="W164" s="36" t="s">
        <v>151</v>
      </c>
      <c r="X164" s="143"/>
      <c r="Y164" s="144"/>
      <c r="Z164" s="147"/>
      <c r="AA164" s="12"/>
      <c r="AB164" s="89"/>
      <c r="AC164" s="89"/>
      <c r="AD164" s="76"/>
      <c r="AE164" s="75"/>
      <c r="AF164" s="11">
        <f t="shared" si="76"/>
        <v>0</v>
      </c>
      <c r="AJ164" s="127">
        <f t="shared" si="77"/>
        <v>0</v>
      </c>
      <c r="AL164" s="53">
        <f t="shared" si="78"/>
        <v>0</v>
      </c>
      <c r="AM164" s="53">
        <f t="shared" si="79"/>
        <v>0</v>
      </c>
      <c r="AN164" s="53">
        <f t="shared" si="74"/>
        <v>0</v>
      </c>
      <c r="AO164" s="90">
        <f t="shared" si="80"/>
        <v>0</v>
      </c>
      <c r="AP164" s="90">
        <f t="shared" si="81"/>
        <v>0</v>
      </c>
      <c r="AQ164" s="29">
        <f t="shared" si="82"/>
        <v>0</v>
      </c>
      <c r="AR164" s="30">
        <f t="shared" si="83"/>
        <v>0</v>
      </c>
      <c r="AS164" s="29">
        <f t="shared" si="84"/>
        <v>0</v>
      </c>
      <c r="AT164" s="10">
        <f t="shared" si="75"/>
        <v>0</v>
      </c>
      <c r="AU164" s="10">
        <f t="shared" si="85"/>
        <v>0</v>
      </c>
      <c r="AV164" s="3"/>
      <c r="AW164" s="53">
        <f t="shared" si="91"/>
        <v>0</v>
      </c>
      <c r="AX164" s="53" t="str">
        <f t="shared" si="92"/>
        <v>0</v>
      </c>
      <c r="AY164" s="95">
        <f t="shared" si="86"/>
        <v>0</v>
      </c>
      <c r="AZ164" s="95">
        <f t="shared" si="93"/>
        <v>0</v>
      </c>
      <c r="BA164" s="36">
        <f t="shared" si="87"/>
        <v>0</v>
      </c>
      <c r="BB164" s="2"/>
      <c r="BC164" s="53">
        <f t="shared" si="94"/>
        <v>0</v>
      </c>
      <c r="BD164" s="53" t="str">
        <f t="shared" si="88"/>
        <v>0</v>
      </c>
      <c r="BE164" s="95">
        <f t="shared" si="89"/>
        <v>0</v>
      </c>
      <c r="BF164" s="95">
        <f t="shared" si="95"/>
        <v>0</v>
      </c>
      <c r="BG164" s="36" t="str">
        <f t="shared" si="90"/>
        <v>0</v>
      </c>
    </row>
    <row r="165" spans="1:59" ht="10.95" hidden="1" customHeight="1" x14ac:dyDescent="0.3">
      <c r="A165" s="15">
        <v>161</v>
      </c>
      <c r="B165" s="15"/>
      <c r="C165" s="143"/>
      <c r="D165" s="144"/>
      <c r="E165" s="15"/>
      <c r="F165" s="143"/>
      <c r="G165" s="147"/>
      <c r="H165" s="52"/>
      <c r="I165" s="14"/>
      <c r="J165" s="36"/>
      <c r="K165" s="36"/>
      <c r="L165" s="13"/>
      <c r="M165" s="56"/>
      <c r="N165" s="145"/>
      <c r="O165" s="146"/>
      <c r="P165" s="57"/>
      <c r="Q165" s="36"/>
      <c r="R165" s="36"/>
      <c r="S165" s="36"/>
      <c r="T165" s="36"/>
      <c r="U165" s="36"/>
      <c r="V165" s="36"/>
      <c r="W165" s="36" t="s">
        <v>151</v>
      </c>
      <c r="X165" s="143"/>
      <c r="Y165" s="144"/>
      <c r="Z165" s="147"/>
      <c r="AA165" s="12"/>
      <c r="AB165" s="89"/>
      <c r="AC165" s="89"/>
      <c r="AD165" s="76"/>
      <c r="AE165" s="75"/>
      <c r="AF165" s="11">
        <f t="shared" ref="AF165:AF196" si="96">SUM(AT165+AU165)</f>
        <v>0</v>
      </c>
      <c r="AJ165" s="127">
        <f t="shared" ref="AJ165:AJ196" si="97">(I165*H165)/12</f>
        <v>0</v>
      </c>
      <c r="AL165" s="53">
        <f t="shared" ref="AL165:AL196" si="98">IFERROR((AY165/$B$3)*$AA$2,0)</f>
        <v>0</v>
      </c>
      <c r="AM165" s="53">
        <f t="shared" ref="AM165:AM196" si="99">AA165+AL165</f>
        <v>0</v>
      </c>
      <c r="AN165" s="53">
        <f t="shared" si="74"/>
        <v>0</v>
      </c>
      <c r="AO165" s="90">
        <f t="shared" ref="AO165:AO196" si="100">IFERROR((AY165/$B$3)*($AD$2*$AH$5),0)</f>
        <v>0</v>
      </c>
      <c r="AP165" s="90">
        <f t="shared" ref="AP165:AP196" si="101">IF($S$3="Yes",(AY165/$B$3)*($AH$5*2),0)</f>
        <v>0</v>
      </c>
      <c r="AQ165" s="29">
        <f t="shared" ref="AQ165:AQ196" si="102">((AZ165+BF165))*$AH$8</f>
        <v>0</v>
      </c>
      <c r="AR165" s="30">
        <f t="shared" ref="AR165:AR196" si="103">AF165*$AC$210</f>
        <v>0</v>
      </c>
      <c r="AS165" s="29">
        <f t="shared" ref="AS165:AS196" si="104">AF165-AT165-AR165-AQ165</f>
        <v>0</v>
      </c>
      <c r="AT165" s="10">
        <f t="shared" si="75"/>
        <v>0</v>
      </c>
      <c r="AU165" s="10">
        <f t="shared" ref="AU165:AU196" si="105">AT165*$AC$214</f>
        <v>0</v>
      </c>
      <c r="AV165" s="3"/>
      <c r="AW165" s="53">
        <f t="shared" si="91"/>
        <v>0</v>
      </c>
      <c r="AX165" s="53" t="str">
        <f t="shared" si="92"/>
        <v>0</v>
      </c>
      <c r="AY165" s="95">
        <f t="shared" ref="AY165:AY196" si="106">(I165*J165*H165)/144</f>
        <v>0</v>
      </c>
      <c r="AZ165" s="95">
        <f t="shared" si="93"/>
        <v>0</v>
      </c>
      <c r="BA165" s="36">
        <f t="shared" ref="BA165:BA196" si="107">H165</f>
        <v>0</v>
      </c>
      <c r="BB165" s="2"/>
      <c r="BC165" s="53">
        <f t="shared" si="94"/>
        <v>0</v>
      </c>
      <c r="BD165" s="53" t="str">
        <f t="shared" ref="BD165:BD196" si="108">IF($V$3="Yes",(BC165*0.4),"0")</f>
        <v>0</v>
      </c>
      <c r="BE165" s="95">
        <f t="shared" ref="BE165:BE196" si="109">IF(W165="Yes",((I165*J165*H165)/144),0)</f>
        <v>0</v>
      </c>
      <c r="BF165" s="95">
        <f t="shared" si="95"/>
        <v>0</v>
      </c>
      <c r="BG165" s="36" t="str">
        <f t="shared" ref="BG165:BG196" si="110">IF(W165="Yes",H165,"0")</f>
        <v>0</v>
      </c>
    </row>
    <row r="166" spans="1:59" ht="10.95" hidden="1" customHeight="1" x14ac:dyDescent="0.3">
      <c r="A166" s="15">
        <v>162</v>
      </c>
      <c r="B166" s="15"/>
      <c r="C166" s="143"/>
      <c r="D166" s="144"/>
      <c r="E166" s="15"/>
      <c r="F166" s="143"/>
      <c r="G166" s="147"/>
      <c r="H166" s="52"/>
      <c r="I166" s="14"/>
      <c r="J166" s="36"/>
      <c r="K166" s="36"/>
      <c r="L166" s="13"/>
      <c r="M166" s="56"/>
      <c r="N166" s="145"/>
      <c r="O166" s="146"/>
      <c r="P166" s="57"/>
      <c r="Q166" s="36"/>
      <c r="R166" s="36"/>
      <c r="S166" s="36"/>
      <c r="T166" s="36"/>
      <c r="U166" s="36"/>
      <c r="V166" s="36"/>
      <c r="W166" s="36" t="s">
        <v>151</v>
      </c>
      <c r="X166" s="143"/>
      <c r="Y166" s="144"/>
      <c r="Z166" s="147"/>
      <c r="AA166" s="12"/>
      <c r="AB166" s="89"/>
      <c r="AC166" s="89"/>
      <c r="AD166" s="76"/>
      <c r="AE166" s="75"/>
      <c r="AF166" s="11">
        <f t="shared" si="96"/>
        <v>0</v>
      </c>
      <c r="AJ166" s="127">
        <f t="shared" si="97"/>
        <v>0</v>
      </c>
      <c r="AL166" s="53">
        <f t="shared" si="98"/>
        <v>0</v>
      </c>
      <c r="AM166" s="53">
        <f t="shared" si="99"/>
        <v>0</v>
      </c>
      <c r="AN166" s="53">
        <f t="shared" si="74"/>
        <v>0</v>
      </c>
      <c r="AO166" s="90">
        <f t="shared" si="100"/>
        <v>0</v>
      </c>
      <c r="AP166" s="90">
        <f t="shared" si="101"/>
        <v>0</v>
      </c>
      <c r="AQ166" s="29">
        <f t="shared" si="102"/>
        <v>0</v>
      </c>
      <c r="AR166" s="30">
        <f t="shared" si="103"/>
        <v>0</v>
      </c>
      <c r="AS166" s="29">
        <f t="shared" si="104"/>
        <v>0</v>
      </c>
      <c r="AT166" s="10">
        <f t="shared" si="75"/>
        <v>0</v>
      </c>
      <c r="AU166" s="10">
        <f t="shared" si="105"/>
        <v>0</v>
      </c>
      <c r="AV166" s="3"/>
      <c r="AW166" s="53">
        <f t="shared" si="91"/>
        <v>0</v>
      </c>
      <c r="AX166" s="53" t="str">
        <f t="shared" si="92"/>
        <v>0</v>
      </c>
      <c r="AY166" s="95">
        <f t="shared" si="106"/>
        <v>0</v>
      </c>
      <c r="AZ166" s="95">
        <f t="shared" si="93"/>
        <v>0</v>
      </c>
      <c r="BA166" s="36">
        <f t="shared" si="107"/>
        <v>0</v>
      </c>
      <c r="BB166" s="2"/>
      <c r="BC166" s="53">
        <f t="shared" si="94"/>
        <v>0</v>
      </c>
      <c r="BD166" s="53" t="str">
        <f t="shared" si="108"/>
        <v>0</v>
      </c>
      <c r="BE166" s="95">
        <f t="shared" si="109"/>
        <v>0</v>
      </c>
      <c r="BF166" s="95">
        <f t="shared" si="95"/>
        <v>0</v>
      </c>
      <c r="BG166" s="36" t="str">
        <f t="shared" si="110"/>
        <v>0</v>
      </c>
    </row>
    <row r="167" spans="1:59" ht="10.95" hidden="1" customHeight="1" x14ac:dyDescent="0.3">
      <c r="A167" s="15">
        <v>163</v>
      </c>
      <c r="B167" s="15"/>
      <c r="C167" s="143"/>
      <c r="D167" s="144"/>
      <c r="E167" s="15"/>
      <c r="F167" s="143"/>
      <c r="G167" s="147"/>
      <c r="H167" s="52"/>
      <c r="I167" s="14"/>
      <c r="J167" s="36"/>
      <c r="K167" s="36"/>
      <c r="L167" s="13"/>
      <c r="M167" s="56"/>
      <c r="N167" s="145"/>
      <c r="O167" s="146"/>
      <c r="P167" s="57"/>
      <c r="Q167" s="36"/>
      <c r="R167" s="36"/>
      <c r="S167" s="36"/>
      <c r="T167" s="36"/>
      <c r="U167" s="36"/>
      <c r="V167" s="36"/>
      <c r="W167" s="36" t="s">
        <v>151</v>
      </c>
      <c r="X167" s="143"/>
      <c r="Y167" s="144"/>
      <c r="Z167" s="147"/>
      <c r="AA167" s="12"/>
      <c r="AB167" s="89"/>
      <c r="AC167" s="89"/>
      <c r="AD167" s="76"/>
      <c r="AE167" s="75"/>
      <c r="AF167" s="11">
        <f t="shared" si="96"/>
        <v>0</v>
      </c>
      <c r="AJ167" s="127">
        <f t="shared" si="97"/>
        <v>0</v>
      </c>
      <c r="AL167" s="53">
        <f t="shared" si="98"/>
        <v>0</v>
      </c>
      <c r="AM167" s="53">
        <f t="shared" si="99"/>
        <v>0</v>
      </c>
      <c r="AN167" s="53">
        <f t="shared" si="74"/>
        <v>0</v>
      </c>
      <c r="AO167" s="90">
        <f t="shared" si="100"/>
        <v>0</v>
      </c>
      <c r="AP167" s="90">
        <f t="shared" si="101"/>
        <v>0</v>
      </c>
      <c r="AQ167" s="29">
        <f t="shared" si="102"/>
        <v>0</v>
      </c>
      <c r="AR167" s="30">
        <f t="shared" si="103"/>
        <v>0</v>
      </c>
      <c r="AS167" s="29">
        <f t="shared" si="104"/>
        <v>0</v>
      </c>
      <c r="AT167" s="10">
        <f t="shared" si="75"/>
        <v>0</v>
      </c>
      <c r="AU167" s="10">
        <f t="shared" si="105"/>
        <v>0</v>
      </c>
      <c r="AV167" s="3"/>
      <c r="AW167" s="53">
        <f t="shared" si="91"/>
        <v>0</v>
      </c>
      <c r="AX167" s="53" t="str">
        <f t="shared" si="92"/>
        <v>0</v>
      </c>
      <c r="AY167" s="95">
        <f t="shared" si="106"/>
        <v>0</v>
      </c>
      <c r="AZ167" s="95">
        <f t="shared" si="93"/>
        <v>0</v>
      </c>
      <c r="BA167" s="36">
        <f t="shared" si="107"/>
        <v>0</v>
      </c>
      <c r="BB167" s="2"/>
      <c r="BC167" s="53">
        <f t="shared" si="94"/>
        <v>0</v>
      </c>
      <c r="BD167" s="53" t="str">
        <f t="shared" si="108"/>
        <v>0</v>
      </c>
      <c r="BE167" s="95">
        <f t="shared" si="109"/>
        <v>0</v>
      </c>
      <c r="BF167" s="95">
        <f t="shared" si="95"/>
        <v>0</v>
      </c>
      <c r="BG167" s="36" t="str">
        <f t="shared" si="110"/>
        <v>0</v>
      </c>
    </row>
    <row r="168" spans="1:59" ht="10.95" hidden="1" customHeight="1" x14ac:dyDescent="0.3">
      <c r="A168" s="15">
        <v>164</v>
      </c>
      <c r="B168" s="15"/>
      <c r="C168" s="143"/>
      <c r="D168" s="144"/>
      <c r="E168" s="15"/>
      <c r="F168" s="143"/>
      <c r="G168" s="147"/>
      <c r="H168" s="52"/>
      <c r="I168" s="14"/>
      <c r="J168" s="36"/>
      <c r="K168" s="36"/>
      <c r="L168" s="13"/>
      <c r="M168" s="56"/>
      <c r="N168" s="145"/>
      <c r="O168" s="146"/>
      <c r="P168" s="57"/>
      <c r="Q168" s="36"/>
      <c r="R168" s="36"/>
      <c r="S168" s="36"/>
      <c r="T168" s="36"/>
      <c r="U168" s="36"/>
      <c r="V168" s="36"/>
      <c r="W168" s="36" t="s">
        <v>151</v>
      </c>
      <c r="X168" s="143"/>
      <c r="Y168" s="144"/>
      <c r="Z168" s="147"/>
      <c r="AA168" s="12"/>
      <c r="AB168" s="89"/>
      <c r="AC168" s="89"/>
      <c r="AD168" s="76"/>
      <c r="AE168" s="75"/>
      <c r="AF168" s="11">
        <f t="shared" si="96"/>
        <v>0</v>
      </c>
      <c r="AJ168" s="127">
        <f t="shared" si="97"/>
        <v>0</v>
      </c>
      <c r="AL168" s="53">
        <f t="shared" si="98"/>
        <v>0</v>
      </c>
      <c r="AM168" s="53">
        <f t="shared" si="99"/>
        <v>0</v>
      </c>
      <c r="AN168" s="53">
        <f t="shared" si="74"/>
        <v>0</v>
      </c>
      <c r="AO168" s="90">
        <f t="shared" si="100"/>
        <v>0</v>
      </c>
      <c r="AP168" s="90">
        <f t="shared" si="101"/>
        <v>0</v>
      </c>
      <c r="AQ168" s="29">
        <f t="shared" si="102"/>
        <v>0</v>
      </c>
      <c r="AR168" s="30">
        <f t="shared" si="103"/>
        <v>0</v>
      </c>
      <c r="AS168" s="29">
        <f t="shared" si="104"/>
        <v>0</v>
      </c>
      <c r="AT168" s="10">
        <f t="shared" si="75"/>
        <v>0</v>
      </c>
      <c r="AU168" s="10">
        <f t="shared" si="105"/>
        <v>0</v>
      </c>
      <c r="AV168" s="3"/>
      <c r="AW168" s="53">
        <f t="shared" si="91"/>
        <v>0</v>
      </c>
      <c r="AX168" s="53" t="str">
        <f t="shared" si="92"/>
        <v>0</v>
      </c>
      <c r="AY168" s="95">
        <f t="shared" si="106"/>
        <v>0</v>
      </c>
      <c r="AZ168" s="95">
        <f t="shared" si="93"/>
        <v>0</v>
      </c>
      <c r="BA168" s="36">
        <f t="shared" si="107"/>
        <v>0</v>
      </c>
      <c r="BB168" s="2"/>
      <c r="BC168" s="53">
        <f t="shared" si="94"/>
        <v>0</v>
      </c>
      <c r="BD168" s="53" t="str">
        <f t="shared" si="108"/>
        <v>0</v>
      </c>
      <c r="BE168" s="95">
        <f t="shared" si="109"/>
        <v>0</v>
      </c>
      <c r="BF168" s="95">
        <f t="shared" si="95"/>
        <v>0</v>
      </c>
      <c r="BG168" s="36" t="str">
        <f t="shared" si="110"/>
        <v>0</v>
      </c>
    </row>
    <row r="169" spans="1:59" ht="10.95" hidden="1" customHeight="1" x14ac:dyDescent="0.3">
      <c r="A169" s="15">
        <v>165</v>
      </c>
      <c r="B169" s="15"/>
      <c r="C169" s="143"/>
      <c r="D169" s="144"/>
      <c r="E169" s="15"/>
      <c r="F169" s="143"/>
      <c r="G169" s="147"/>
      <c r="H169" s="52"/>
      <c r="I169" s="14"/>
      <c r="J169" s="36"/>
      <c r="K169" s="36"/>
      <c r="L169" s="13"/>
      <c r="M169" s="56"/>
      <c r="N169" s="145"/>
      <c r="O169" s="146"/>
      <c r="P169" s="57"/>
      <c r="Q169" s="36"/>
      <c r="R169" s="36"/>
      <c r="S169" s="36"/>
      <c r="T169" s="36"/>
      <c r="U169" s="36"/>
      <c r="V169" s="36"/>
      <c r="W169" s="36" t="s">
        <v>151</v>
      </c>
      <c r="X169" s="143"/>
      <c r="Y169" s="144"/>
      <c r="Z169" s="147"/>
      <c r="AA169" s="12"/>
      <c r="AB169" s="89"/>
      <c r="AC169" s="89"/>
      <c r="AD169" s="76"/>
      <c r="AE169" s="75"/>
      <c r="AF169" s="11">
        <f t="shared" si="96"/>
        <v>0</v>
      </c>
      <c r="AJ169" s="127">
        <f t="shared" si="97"/>
        <v>0</v>
      </c>
      <c r="AL169" s="53">
        <f t="shared" si="98"/>
        <v>0</v>
      </c>
      <c r="AM169" s="53">
        <f t="shared" si="99"/>
        <v>0</v>
      </c>
      <c r="AN169" s="53">
        <f t="shared" si="74"/>
        <v>0</v>
      </c>
      <c r="AO169" s="90">
        <f t="shared" si="100"/>
        <v>0</v>
      </c>
      <c r="AP169" s="90">
        <f t="shared" si="101"/>
        <v>0</v>
      </c>
      <c r="AQ169" s="29">
        <f t="shared" si="102"/>
        <v>0</v>
      </c>
      <c r="AR169" s="30">
        <f t="shared" si="103"/>
        <v>0</v>
      </c>
      <c r="AS169" s="29">
        <f t="shared" si="104"/>
        <v>0</v>
      </c>
      <c r="AT169" s="10">
        <f t="shared" si="75"/>
        <v>0</v>
      </c>
      <c r="AU169" s="10">
        <f t="shared" si="105"/>
        <v>0</v>
      </c>
      <c r="AV169" s="3"/>
      <c r="AW169" s="53">
        <f t="shared" si="91"/>
        <v>0</v>
      </c>
      <c r="AX169" s="53" t="str">
        <f t="shared" si="92"/>
        <v>0</v>
      </c>
      <c r="AY169" s="95">
        <f t="shared" si="106"/>
        <v>0</v>
      </c>
      <c r="AZ169" s="95">
        <f t="shared" si="93"/>
        <v>0</v>
      </c>
      <c r="BA169" s="36">
        <f t="shared" si="107"/>
        <v>0</v>
      </c>
      <c r="BB169" s="2"/>
      <c r="BC169" s="53">
        <f t="shared" si="94"/>
        <v>0</v>
      </c>
      <c r="BD169" s="53" t="str">
        <f t="shared" si="108"/>
        <v>0</v>
      </c>
      <c r="BE169" s="95">
        <f t="shared" si="109"/>
        <v>0</v>
      </c>
      <c r="BF169" s="95">
        <f t="shared" si="95"/>
        <v>0</v>
      </c>
      <c r="BG169" s="36" t="str">
        <f t="shared" si="110"/>
        <v>0</v>
      </c>
    </row>
    <row r="170" spans="1:59" ht="10.95" hidden="1" customHeight="1" x14ac:dyDescent="0.3">
      <c r="A170" s="15">
        <v>166</v>
      </c>
      <c r="B170" s="15"/>
      <c r="C170" s="143"/>
      <c r="D170" s="144"/>
      <c r="E170" s="15"/>
      <c r="F170" s="143"/>
      <c r="G170" s="147"/>
      <c r="H170" s="52"/>
      <c r="I170" s="14"/>
      <c r="J170" s="36"/>
      <c r="K170" s="36"/>
      <c r="L170" s="13"/>
      <c r="M170" s="56"/>
      <c r="N170" s="145"/>
      <c r="O170" s="146"/>
      <c r="P170" s="57"/>
      <c r="Q170" s="36"/>
      <c r="R170" s="36"/>
      <c r="S170" s="36"/>
      <c r="T170" s="36"/>
      <c r="U170" s="36"/>
      <c r="V170" s="36"/>
      <c r="W170" s="36" t="s">
        <v>151</v>
      </c>
      <c r="X170" s="143"/>
      <c r="Y170" s="144"/>
      <c r="Z170" s="147"/>
      <c r="AA170" s="12"/>
      <c r="AB170" s="89"/>
      <c r="AC170" s="89"/>
      <c r="AD170" s="76"/>
      <c r="AE170" s="75"/>
      <c r="AF170" s="11">
        <f t="shared" si="96"/>
        <v>0</v>
      </c>
      <c r="AJ170" s="127">
        <f t="shared" si="97"/>
        <v>0</v>
      </c>
      <c r="AL170" s="53">
        <f t="shared" si="98"/>
        <v>0</v>
      </c>
      <c r="AM170" s="53">
        <f t="shared" si="99"/>
        <v>0</v>
      </c>
      <c r="AN170" s="53">
        <f t="shared" si="74"/>
        <v>0</v>
      </c>
      <c r="AO170" s="90">
        <f t="shared" si="100"/>
        <v>0</v>
      </c>
      <c r="AP170" s="90">
        <f t="shared" si="101"/>
        <v>0</v>
      </c>
      <c r="AQ170" s="29">
        <f t="shared" si="102"/>
        <v>0</v>
      </c>
      <c r="AR170" s="30">
        <f t="shared" si="103"/>
        <v>0</v>
      </c>
      <c r="AS170" s="29">
        <f t="shared" si="104"/>
        <v>0</v>
      </c>
      <c r="AT170" s="10">
        <f t="shared" si="75"/>
        <v>0</v>
      </c>
      <c r="AU170" s="10">
        <f t="shared" si="105"/>
        <v>0</v>
      </c>
      <c r="AV170" s="3"/>
      <c r="AW170" s="53">
        <f t="shared" si="91"/>
        <v>0</v>
      </c>
      <c r="AX170" s="53" t="str">
        <f t="shared" si="92"/>
        <v>0</v>
      </c>
      <c r="AY170" s="95">
        <f t="shared" si="106"/>
        <v>0</v>
      </c>
      <c r="AZ170" s="95">
        <f t="shared" si="93"/>
        <v>0</v>
      </c>
      <c r="BA170" s="36">
        <f t="shared" si="107"/>
        <v>0</v>
      </c>
      <c r="BB170" s="2"/>
      <c r="BC170" s="53">
        <f t="shared" si="94"/>
        <v>0</v>
      </c>
      <c r="BD170" s="53" t="str">
        <f t="shared" si="108"/>
        <v>0</v>
      </c>
      <c r="BE170" s="95">
        <f t="shared" si="109"/>
        <v>0</v>
      </c>
      <c r="BF170" s="95">
        <f t="shared" si="95"/>
        <v>0</v>
      </c>
      <c r="BG170" s="36" t="str">
        <f t="shared" si="110"/>
        <v>0</v>
      </c>
    </row>
    <row r="171" spans="1:59" ht="10.95" hidden="1" customHeight="1" x14ac:dyDescent="0.3">
      <c r="A171" s="15">
        <v>167</v>
      </c>
      <c r="B171" s="15"/>
      <c r="C171" s="143"/>
      <c r="D171" s="144"/>
      <c r="E171" s="15"/>
      <c r="F171" s="143"/>
      <c r="G171" s="147"/>
      <c r="H171" s="52"/>
      <c r="I171" s="14"/>
      <c r="J171" s="36"/>
      <c r="K171" s="36"/>
      <c r="L171" s="13"/>
      <c r="M171" s="56"/>
      <c r="N171" s="145"/>
      <c r="O171" s="146"/>
      <c r="P171" s="57"/>
      <c r="Q171" s="36"/>
      <c r="R171" s="36"/>
      <c r="S171" s="36"/>
      <c r="T171" s="36"/>
      <c r="U171" s="36"/>
      <c r="V171" s="36"/>
      <c r="W171" s="36" t="s">
        <v>151</v>
      </c>
      <c r="X171" s="143"/>
      <c r="Y171" s="144"/>
      <c r="Z171" s="147"/>
      <c r="AA171" s="12"/>
      <c r="AB171" s="89"/>
      <c r="AC171" s="89"/>
      <c r="AD171" s="76"/>
      <c r="AE171" s="75"/>
      <c r="AF171" s="11">
        <f t="shared" si="96"/>
        <v>0</v>
      </c>
      <c r="AJ171" s="127">
        <f t="shared" si="97"/>
        <v>0</v>
      </c>
      <c r="AL171" s="53">
        <f t="shared" si="98"/>
        <v>0</v>
      </c>
      <c r="AM171" s="53">
        <f t="shared" si="99"/>
        <v>0</v>
      </c>
      <c r="AN171" s="53">
        <f t="shared" si="74"/>
        <v>0</v>
      </c>
      <c r="AO171" s="90">
        <f t="shared" si="100"/>
        <v>0</v>
      </c>
      <c r="AP171" s="90">
        <f t="shared" si="101"/>
        <v>0</v>
      </c>
      <c r="AQ171" s="29">
        <f t="shared" si="102"/>
        <v>0</v>
      </c>
      <c r="AR171" s="30">
        <f t="shared" si="103"/>
        <v>0</v>
      </c>
      <c r="AS171" s="29">
        <f t="shared" si="104"/>
        <v>0</v>
      </c>
      <c r="AT171" s="10">
        <f t="shared" si="75"/>
        <v>0</v>
      </c>
      <c r="AU171" s="10">
        <f t="shared" si="105"/>
        <v>0</v>
      </c>
      <c r="AV171" s="3"/>
      <c r="AW171" s="53">
        <f t="shared" si="91"/>
        <v>0</v>
      </c>
      <c r="AX171" s="53" t="str">
        <f t="shared" si="92"/>
        <v>0</v>
      </c>
      <c r="AY171" s="95">
        <f t="shared" si="106"/>
        <v>0</v>
      </c>
      <c r="AZ171" s="95">
        <f t="shared" si="93"/>
        <v>0</v>
      </c>
      <c r="BA171" s="36">
        <f t="shared" si="107"/>
        <v>0</v>
      </c>
      <c r="BB171" s="2"/>
      <c r="BC171" s="53">
        <f t="shared" si="94"/>
        <v>0</v>
      </c>
      <c r="BD171" s="53" t="str">
        <f t="shared" si="108"/>
        <v>0</v>
      </c>
      <c r="BE171" s="95">
        <f t="shared" si="109"/>
        <v>0</v>
      </c>
      <c r="BF171" s="95">
        <f t="shared" si="95"/>
        <v>0</v>
      </c>
      <c r="BG171" s="36" t="str">
        <f t="shared" si="110"/>
        <v>0</v>
      </c>
    </row>
    <row r="172" spans="1:59" ht="10.95" hidden="1" customHeight="1" x14ac:dyDescent="0.3">
      <c r="A172" s="15">
        <v>168</v>
      </c>
      <c r="B172" s="15"/>
      <c r="C172" s="143"/>
      <c r="D172" s="144"/>
      <c r="E172" s="15"/>
      <c r="F172" s="143"/>
      <c r="G172" s="147"/>
      <c r="H172" s="52"/>
      <c r="I172" s="14"/>
      <c r="J172" s="36"/>
      <c r="K172" s="36"/>
      <c r="L172" s="13"/>
      <c r="M172" s="56"/>
      <c r="N172" s="145"/>
      <c r="O172" s="146"/>
      <c r="P172" s="57"/>
      <c r="Q172" s="36"/>
      <c r="R172" s="36"/>
      <c r="S172" s="36"/>
      <c r="T172" s="36"/>
      <c r="U172" s="36"/>
      <c r="V172" s="36"/>
      <c r="W172" s="36" t="s">
        <v>151</v>
      </c>
      <c r="X172" s="143"/>
      <c r="Y172" s="144"/>
      <c r="Z172" s="147"/>
      <c r="AA172" s="12"/>
      <c r="AB172" s="89"/>
      <c r="AC172" s="89"/>
      <c r="AD172" s="76"/>
      <c r="AE172" s="75"/>
      <c r="AF172" s="11">
        <f t="shared" si="96"/>
        <v>0</v>
      </c>
      <c r="AJ172" s="127">
        <f t="shared" si="97"/>
        <v>0</v>
      </c>
      <c r="AL172" s="53">
        <f t="shared" si="98"/>
        <v>0</v>
      </c>
      <c r="AM172" s="53">
        <f t="shared" si="99"/>
        <v>0</v>
      </c>
      <c r="AN172" s="53">
        <f t="shared" si="74"/>
        <v>0</v>
      </c>
      <c r="AO172" s="90">
        <f t="shared" si="100"/>
        <v>0</v>
      </c>
      <c r="AP172" s="90">
        <f t="shared" si="101"/>
        <v>0</v>
      </c>
      <c r="AQ172" s="29">
        <f t="shared" si="102"/>
        <v>0</v>
      </c>
      <c r="AR172" s="30">
        <f t="shared" si="103"/>
        <v>0</v>
      </c>
      <c r="AS172" s="29">
        <f t="shared" si="104"/>
        <v>0</v>
      </c>
      <c r="AT172" s="10">
        <f t="shared" si="75"/>
        <v>0</v>
      </c>
      <c r="AU172" s="10">
        <f t="shared" si="105"/>
        <v>0</v>
      </c>
      <c r="AV172" s="3"/>
      <c r="AW172" s="53">
        <f t="shared" si="91"/>
        <v>0</v>
      </c>
      <c r="AX172" s="53" t="str">
        <f t="shared" si="92"/>
        <v>0</v>
      </c>
      <c r="AY172" s="95">
        <f t="shared" si="106"/>
        <v>0</v>
      </c>
      <c r="AZ172" s="95">
        <f t="shared" si="93"/>
        <v>0</v>
      </c>
      <c r="BA172" s="36">
        <f t="shared" si="107"/>
        <v>0</v>
      </c>
      <c r="BB172" s="2"/>
      <c r="BC172" s="53">
        <f t="shared" si="94"/>
        <v>0</v>
      </c>
      <c r="BD172" s="53" t="str">
        <f t="shared" si="108"/>
        <v>0</v>
      </c>
      <c r="BE172" s="95">
        <f t="shared" si="109"/>
        <v>0</v>
      </c>
      <c r="BF172" s="95">
        <f t="shared" si="95"/>
        <v>0</v>
      </c>
      <c r="BG172" s="36" t="str">
        <f t="shared" si="110"/>
        <v>0</v>
      </c>
    </row>
    <row r="173" spans="1:59" ht="10.95" hidden="1" customHeight="1" x14ac:dyDescent="0.3">
      <c r="A173" s="15">
        <v>169</v>
      </c>
      <c r="B173" s="15"/>
      <c r="C173" s="143"/>
      <c r="D173" s="144"/>
      <c r="E173" s="15"/>
      <c r="F173" s="143"/>
      <c r="G173" s="147"/>
      <c r="H173" s="52"/>
      <c r="I173" s="14"/>
      <c r="J173" s="36"/>
      <c r="K173" s="36"/>
      <c r="L173" s="13"/>
      <c r="M173" s="56"/>
      <c r="N173" s="145"/>
      <c r="O173" s="146"/>
      <c r="P173" s="57"/>
      <c r="Q173" s="36"/>
      <c r="R173" s="36"/>
      <c r="S173" s="36"/>
      <c r="T173" s="36"/>
      <c r="U173" s="36"/>
      <c r="V173" s="36"/>
      <c r="W173" s="36" t="s">
        <v>151</v>
      </c>
      <c r="X173" s="143"/>
      <c r="Y173" s="144"/>
      <c r="Z173" s="147"/>
      <c r="AA173" s="12"/>
      <c r="AB173" s="89"/>
      <c r="AC173" s="89"/>
      <c r="AD173" s="76"/>
      <c r="AE173" s="75"/>
      <c r="AF173" s="11">
        <f t="shared" si="96"/>
        <v>0</v>
      </c>
      <c r="AJ173" s="127">
        <f t="shared" si="97"/>
        <v>0</v>
      </c>
      <c r="AL173" s="53">
        <f t="shared" si="98"/>
        <v>0</v>
      </c>
      <c r="AM173" s="53">
        <f t="shared" si="99"/>
        <v>0</v>
      </c>
      <c r="AN173" s="53">
        <f t="shared" si="74"/>
        <v>0</v>
      </c>
      <c r="AO173" s="90">
        <f t="shared" si="100"/>
        <v>0</v>
      </c>
      <c r="AP173" s="90">
        <f t="shared" si="101"/>
        <v>0</v>
      </c>
      <c r="AQ173" s="29">
        <f t="shared" si="102"/>
        <v>0</v>
      </c>
      <c r="AR173" s="30">
        <f t="shared" si="103"/>
        <v>0</v>
      </c>
      <c r="AS173" s="29">
        <f t="shared" si="104"/>
        <v>0</v>
      </c>
      <c r="AT173" s="10">
        <f t="shared" si="75"/>
        <v>0</v>
      </c>
      <c r="AU173" s="10">
        <f t="shared" si="105"/>
        <v>0</v>
      </c>
      <c r="AV173" s="3"/>
      <c r="AW173" s="53">
        <f t="shared" si="91"/>
        <v>0</v>
      </c>
      <c r="AX173" s="53" t="str">
        <f t="shared" si="92"/>
        <v>0</v>
      </c>
      <c r="AY173" s="95">
        <f t="shared" si="106"/>
        <v>0</v>
      </c>
      <c r="AZ173" s="95">
        <f t="shared" si="93"/>
        <v>0</v>
      </c>
      <c r="BA173" s="36">
        <f t="shared" si="107"/>
        <v>0</v>
      </c>
      <c r="BB173" s="2"/>
      <c r="BC173" s="53">
        <f t="shared" si="94"/>
        <v>0</v>
      </c>
      <c r="BD173" s="53" t="str">
        <f t="shared" si="108"/>
        <v>0</v>
      </c>
      <c r="BE173" s="95">
        <f t="shared" si="109"/>
        <v>0</v>
      </c>
      <c r="BF173" s="95">
        <f t="shared" si="95"/>
        <v>0</v>
      </c>
      <c r="BG173" s="36" t="str">
        <f t="shared" si="110"/>
        <v>0</v>
      </c>
    </row>
    <row r="174" spans="1:59" ht="10.95" hidden="1" customHeight="1" x14ac:dyDescent="0.3">
      <c r="A174" s="15">
        <v>170</v>
      </c>
      <c r="B174" s="15"/>
      <c r="C174" s="143"/>
      <c r="D174" s="144"/>
      <c r="E174" s="15"/>
      <c r="F174" s="143"/>
      <c r="G174" s="147"/>
      <c r="H174" s="52"/>
      <c r="I174" s="14"/>
      <c r="J174" s="36"/>
      <c r="K174" s="36"/>
      <c r="L174" s="13"/>
      <c r="M174" s="56"/>
      <c r="N174" s="145"/>
      <c r="O174" s="146"/>
      <c r="P174" s="57"/>
      <c r="Q174" s="36"/>
      <c r="R174" s="36"/>
      <c r="S174" s="36"/>
      <c r="T174" s="36"/>
      <c r="U174" s="36"/>
      <c r="V174" s="36"/>
      <c r="W174" s="36" t="s">
        <v>151</v>
      </c>
      <c r="X174" s="143"/>
      <c r="Y174" s="144"/>
      <c r="Z174" s="147"/>
      <c r="AA174" s="12"/>
      <c r="AB174" s="89"/>
      <c r="AC174" s="89"/>
      <c r="AD174" s="76"/>
      <c r="AE174" s="75"/>
      <c r="AF174" s="11">
        <f t="shared" si="96"/>
        <v>0</v>
      </c>
      <c r="AJ174" s="127">
        <f t="shared" si="97"/>
        <v>0</v>
      </c>
      <c r="AL174" s="53">
        <f t="shared" si="98"/>
        <v>0</v>
      </c>
      <c r="AM174" s="53">
        <f t="shared" si="99"/>
        <v>0</v>
      </c>
      <c r="AN174" s="53">
        <f t="shared" si="74"/>
        <v>0</v>
      </c>
      <c r="AO174" s="90">
        <f t="shared" si="100"/>
        <v>0</v>
      </c>
      <c r="AP174" s="90">
        <f t="shared" si="101"/>
        <v>0</v>
      </c>
      <c r="AQ174" s="29">
        <f t="shared" si="102"/>
        <v>0</v>
      </c>
      <c r="AR174" s="30">
        <f t="shared" si="103"/>
        <v>0</v>
      </c>
      <c r="AS174" s="29">
        <f t="shared" si="104"/>
        <v>0</v>
      </c>
      <c r="AT174" s="10">
        <f t="shared" si="75"/>
        <v>0</v>
      </c>
      <c r="AU174" s="10">
        <f t="shared" si="105"/>
        <v>0</v>
      </c>
      <c r="AV174" s="3"/>
      <c r="AW174" s="53">
        <f t="shared" si="91"/>
        <v>0</v>
      </c>
      <c r="AX174" s="53" t="str">
        <f t="shared" si="92"/>
        <v>0</v>
      </c>
      <c r="AY174" s="95">
        <f t="shared" si="106"/>
        <v>0</v>
      </c>
      <c r="AZ174" s="95">
        <f t="shared" si="93"/>
        <v>0</v>
      </c>
      <c r="BA174" s="36">
        <f t="shared" si="107"/>
        <v>0</v>
      </c>
      <c r="BB174" s="2"/>
      <c r="BC174" s="53">
        <f t="shared" si="94"/>
        <v>0</v>
      </c>
      <c r="BD174" s="53" t="str">
        <f t="shared" si="108"/>
        <v>0</v>
      </c>
      <c r="BE174" s="95">
        <f t="shared" si="109"/>
        <v>0</v>
      </c>
      <c r="BF174" s="95">
        <f t="shared" si="95"/>
        <v>0</v>
      </c>
      <c r="BG174" s="36" t="str">
        <f t="shared" si="110"/>
        <v>0</v>
      </c>
    </row>
    <row r="175" spans="1:59" ht="10.95" hidden="1" customHeight="1" x14ac:dyDescent="0.3">
      <c r="A175" s="15">
        <v>171</v>
      </c>
      <c r="B175" s="15"/>
      <c r="C175" s="143"/>
      <c r="D175" s="144"/>
      <c r="E175" s="15"/>
      <c r="F175" s="143"/>
      <c r="G175" s="147"/>
      <c r="H175" s="52"/>
      <c r="I175" s="14"/>
      <c r="J175" s="36"/>
      <c r="K175" s="36"/>
      <c r="L175" s="13"/>
      <c r="M175" s="56"/>
      <c r="N175" s="145"/>
      <c r="O175" s="146"/>
      <c r="P175" s="57"/>
      <c r="Q175" s="36"/>
      <c r="R175" s="36"/>
      <c r="S175" s="36"/>
      <c r="T175" s="36"/>
      <c r="U175" s="36"/>
      <c r="V175" s="36"/>
      <c r="W175" s="36" t="s">
        <v>151</v>
      </c>
      <c r="X175" s="143"/>
      <c r="Y175" s="144"/>
      <c r="Z175" s="147"/>
      <c r="AA175" s="12"/>
      <c r="AB175" s="89"/>
      <c r="AC175" s="89"/>
      <c r="AD175" s="76"/>
      <c r="AE175" s="75"/>
      <c r="AF175" s="11">
        <f t="shared" si="96"/>
        <v>0</v>
      </c>
      <c r="AJ175" s="127">
        <f t="shared" si="97"/>
        <v>0</v>
      </c>
      <c r="AL175" s="53">
        <f t="shared" si="98"/>
        <v>0</v>
      </c>
      <c r="AM175" s="53">
        <f t="shared" si="99"/>
        <v>0</v>
      </c>
      <c r="AN175" s="53">
        <f t="shared" si="74"/>
        <v>0</v>
      </c>
      <c r="AO175" s="90">
        <f t="shared" si="100"/>
        <v>0</v>
      </c>
      <c r="AP175" s="90">
        <f t="shared" si="101"/>
        <v>0</v>
      </c>
      <c r="AQ175" s="29">
        <f t="shared" si="102"/>
        <v>0</v>
      </c>
      <c r="AR175" s="30">
        <f t="shared" si="103"/>
        <v>0</v>
      </c>
      <c r="AS175" s="29">
        <f t="shared" si="104"/>
        <v>0</v>
      </c>
      <c r="AT175" s="10">
        <f t="shared" si="75"/>
        <v>0</v>
      </c>
      <c r="AU175" s="10">
        <f t="shared" si="105"/>
        <v>0</v>
      </c>
      <c r="AV175" s="3"/>
      <c r="AW175" s="53">
        <f t="shared" si="91"/>
        <v>0</v>
      </c>
      <c r="AX175" s="53" t="str">
        <f t="shared" si="92"/>
        <v>0</v>
      </c>
      <c r="AY175" s="95">
        <f t="shared" si="106"/>
        <v>0</v>
      </c>
      <c r="AZ175" s="95">
        <f t="shared" si="93"/>
        <v>0</v>
      </c>
      <c r="BA175" s="36">
        <f t="shared" si="107"/>
        <v>0</v>
      </c>
      <c r="BB175" s="2"/>
      <c r="BC175" s="53">
        <f t="shared" si="94"/>
        <v>0</v>
      </c>
      <c r="BD175" s="53" t="str">
        <f t="shared" si="108"/>
        <v>0</v>
      </c>
      <c r="BE175" s="95">
        <f t="shared" si="109"/>
        <v>0</v>
      </c>
      <c r="BF175" s="95">
        <f t="shared" si="95"/>
        <v>0</v>
      </c>
      <c r="BG175" s="36" t="str">
        <f t="shared" si="110"/>
        <v>0</v>
      </c>
    </row>
    <row r="176" spans="1:59" ht="10.95" hidden="1" customHeight="1" x14ac:dyDescent="0.3">
      <c r="A176" s="15">
        <v>172</v>
      </c>
      <c r="B176" s="15"/>
      <c r="C176" s="143"/>
      <c r="D176" s="144"/>
      <c r="E176" s="15"/>
      <c r="F176" s="143"/>
      <c r="G176" s="147"/>
      <c r="H176" s="52"/>
      <c r="I176" s="14"/>
      <c r="J176" s="36"/>
      <c r="K176" s="36"/>
      <c r="L176" s="13"/>
      <c r="M176" s="56"/>
      <c r="N176" s="145"/>
      <c r="O176" s="146"/>
      <c r="P176" s="57"/>
      <c r="Q176" s="36"/>
      <c r="R176" s="36"/>
      <c r="S176" s="36"/>
      <c r="T176" s="36"/>
      <c r="U176" s="36"/>
      <c r="V176" s="36"/>
      <c r="W176" s="36" t="s">
        <v>151</v>
      </c>
      <c r="X176" s="143"/>
      <c r="Y176" s="144"/>
      <c r="Z176" s="147"/>
      <c r="AA176" s="12"/>
      <c r="AB176" s="89"/>
      <c r="AC176" s="89"/>
      <c r="AD176" s="76"/>
      <c r="AE176" s="75"/>
      <c r="AF176" s="11">
        <f t="shared" si="96"/>
        <v>0</v>
      </c>
      <c r="AJ176" s="127">
        <f t="shared" si="97"/>
        <v>0</v>
      </c>
      <c r="AL176" s="53">
        <f t="shared" si="98"/>
        <v>0</v>
      </c>
      <c r="AM176" s="53">
        <f t="shared" si="99"/>
        <v>0</v>
      </c>
      <c r="AN176" s="53">
        <f t="shared" si="74"/>
        <v>0</v>
      </c>
      <c r="AO176" s="90">
        <f t="shared" si="100"/>
        <v>0</v>
      </c>
      <c r="AP176" s="90">
        <f t="shared" si="101"/>
        <v>0</v>
      </c>
      <c r="AQ176" s="29">
        <f t="shared" si="102"/>
        <v>0</v>
      </c>
      <c r="AR176" s="30">
        <f t="shared" si="103"/>
        <v>0</v>
      </c>
      <c r="AS176" s="29">
        <f t="shared" si="104"/>
        <v>0</v>
      </c>
      <c r="AT176" s="10">
        <f t="shared" si="75"/>
        <v>0</v>
      </c>
      <c r="AU176" s="10">
        <f t="shared" si="105"/>
        <v>0</v>
      </c>
      <c r="AV176" s="3"/>
      <c r="AW176" s="53">
        <f t="shared" si="91"/>
        <v>0</v>
      </c>
      <c r="AX176" s="53" t="str">
        <f t="shared" si="92"/>
        <v>0</v>
      </c>
      <c r="AY176" s="95">
        <f t="shared" si="106"/>
        <v>0</v>
      </c>
      <c r="AZ176" s="95">
        <f t="shared" si="93"/>
        <v>0</v>
      </c>
      <c r="BA176" s="36">
        <f t="shared" si="107"/>
        <v>0</v>
      </c>
      <c r="BB176" s="2"/>
      <c r="BC176" s="53">
        <f t="shared" si="94"/>
        <v>0</v>
      </c>
      <c r="BD176" s="53" t="str">
        <f t="shared" si="108"/>
        <v>0</v>
      </c>
      <c r="BE176" s="95">
        <f t="shared" si="109"/>
        <v>0</v>
      </c>
      <c r="BF176" s="95">
        <f t="shared" si="95"/>
        <v>0</v>
      </c>
      <c r="BG176" s="36" t="str">
        <f t="shared" si="110"/>
        <v>0</v>
      </c>
    </row>
    <row r="177" spans="1:59" ht="10.95" hidden="1" customHeight="1" x14ac:dyDescent="0.3">
      <c r="A177" s="15">
        <v>173</v>
      </c>
      <c r="B177" s="15"/>
      <c r="C177" s="143"/>
      <c r="D177" s="144"/>
      <c r="E177" s="15"/>
      <c r="F177" s="143"/>
      <c r="G177" s="147"/>
      <c r="H177" s="52"/>
      <c r="I177" s="14"/>
      <c r="J177" s="36"/>
      <c r="K177" s="36"/>
      <c r="L177" s="13"/>
      <c r="M177" s="56"/>
      <c r="N177" s="145"/>
      <c r="O177" s="146"/>
      <c r="P177" s="57"/>
      <c r="Q177" s="36"/>
      <c r="R177" s="36"/>
      <c r="S177" s="36"/>
      <c r="T177" s="36"/>
      <c r="U177" s="36"/>
      <c r="V177" s="36"/>
      <c r="W177" s="36" t="s">
        <v>151</v>
      </c>
      <c r="X177" s="143"/>
      <c r="Y177" s="144"/>
      <c r="Z177" s="147"/>
      <c r="AA177" s="12"/>
      <c r="AB177" s="89"/>
      <c r="AC177" s="89"/>
      <c r="AD177" s="76"/>
      <c r="AE177" s="75"/>
      <c r="AF177" s="11">
        <f t="shared" si="96"/>
        <v>0</v>
      </c>
      <c r="AJ177" s="127">
        <f t="shared" si="97"/>
        <v>0</v>
      </c>
      <c r="AL177" s="53">
        <f t="shared" si="98"/>
        <v>0</v>
      </c>
      <c r="AM177" s="53">
        <f t="shared" si="99"/>
        <v>0</v>
      </c>
      <c r="AN177" s="53">
        <f t="shared" si="74"/>
        <v>0</v>
      </c>
      <c r="AO177" s="90">
        <f t="shared" si="100"/>
        <v>0</v>
      </c>
      <c r="AP177" s="90">
        <f t="shared" si="101"/>
        <v>0</v>
      </c>
      <c r="AQ177" s="29">
        <f t="shared" si="102"/>
        <v>0</v>
      </c>
      <c r="AR177" s="30">
        <f t="shared" si="103"/>
        <v>0</v>
      </c>
      <c r="AS177" s="29">
        <f t="shared" si="104"/>
        <v>0</v>
      </c>
      <c r="AT177" s="10">
        <f t="shared" si="75"/>
        <v>0</v>
      </c>
      <c r="AU177" s="10">
        <f t="shared" si="105"/>
        <v>0</v>
      </c>
      <c r="AV177" s="3"/>
      <c r="AW177" s="53">
        <f t="shared" si="91"/>
        <v>0</v>
      </c>
      <c r="AX177" s="53" t="str">
        <f t="shared" si="92"/>
        <v>0</v>
      </c>
      <c r="AY177" s="95">
        <f t="shared" si="106"/>
        <v>0</v>
      </c>
      <c r="AZ177" s="95">
        <f t="shared" si="93"/>
        <v>0</v>
      </c>
      <c r="BA177" s="36">
        <f t="shared" si="107"/>
        <v>0</v>
      </c>
      <c r="BB177" s="2"/>
      <c r="BC177" s="53">
        <f t="shared" si="94"/>
        <v>0</v>
      </c>
      <c r="BD177" s="53" t="str">
        <f t="shared" si="108"/>
        <v>0</v>
      </c>
      <c r="BE177" s="95">
        <f t="shared" si="109"/>
        <v>0</v>
      </c>
      <c r="BF177" s="95">
        <f t="shared" si="95"/>
        <v>0</v>
      </c>
      <c r="BG177" s="36" t="str">
        <f t="shared" si="110"/>
        <v>0</v>
      </c>
    </row>
    <row r="178" spans="1:59" ht="10.95" hidden="1" customHeight="1" x14ac:dyDescent="0.3">
      <c r="A178" s="15">
        <v>174</v>
      </c>
      <c r="B178" s="15"/>
      <c r="C178" s="143"/>
      <c r="D178" s="144"/>
      <c r="E178" s="15"/>
      <c r="F178" s="143"/>
      <c r="G178" s="147"/>
      <c r="H178" s="52"/>
      <c r="I178" s="14"/>
      <c r="J178" s="36"/>
      <c r="K178" s="36"/>
      <c r="L178" s="13"/>
      <c r="M178" s="56"/>
      <c r="N178" s="145"/>
      <c r="O178" s="146"/>
      <c r="P178" s="57"/>
      <c r="Q178" s="36"/>
      <c r="R178" s="36"/>
      <c r="S178" s="36"/>
      <c r="T178" s="36"/>
      <c r="U178" s="36"/>
      <c r="V178" s="36"/>
      <c r="W178" s="36" t="s">
        <v>151</v>
      </c>
      <c r="X178" s="143"/>
      <c r="Y178" s="144"/>
      <c r="Z178" s="147"/>
      <c r="AA178" s="12"/>
      <c r="AB178" s="89"/>
      <c r="AC178" s="89"/>
      <c r="AD178" s="76"/>
      <c r="AE178" s="75"/>
      <c r="AF178" s="11">
        <f t="shared" si="96"/>
        <v>0</v>
      </c>
      <c r="AJ178" s="127">
        <f t="shared" si="97"/>
        <v>0</v>
      </c>
      <c r="AL178" s="53">
        <f t="shared" si="98"/>
        <v>0</v>
      </c>
      <c r="AM178" s="53">
        <f t="shared" si="99"/>
        <v>0</v>
      </c>
      <c r="AN178" s="53">
        <f t="shared" si="74"/>
        <v>0</v>
      </c>
      <c r="AO178" s="90">
        <f t="shared" si="100"/>
        <v>0</v>
      </c>
      <c r="AP178" s="90">
        <f t="shared" si="101"/>
        <v>0</v>
      </c>
      <c r="AQ178" s="29">
        <f t="shared" si="102"/>
        <v>0</v>
      </c>
      <c r="AR178" s="30">
        <f t="shared" si="103"/>
        <v>0</v>
      </c>
      <c r="AS178" s="29">
        <f t="shared" si="104"/>
        <v>0</v>
      </c>
      <c r="AT178" s="10">
        <f t="shared" si="75"/>
        <v>0</v>
      </c>
      <c r="AU178" s="10">
        <f t="shared" si="105"/>
        <v>0</v>
      </c>
      <c r="AV178" s="3"/>
      <c r="AW178" s="53">
        <f t="shared" si="91"/>
        <v>0</v>
      </c>
      <c r="AX178" s="53" t="str">
        <f t="shared" si="92"/>
        <v>0</v>
      </c>
      <c r="AY178" s="95">
        <f t="shared" si="106"/>
        <v>0</v>
      </c>
      <c r="AZ178" s="95">
        <f t="shared" si="93"/>
        <v>0</v>
      </c>
      <c r="BA178" s="36">
        <f t="shared" si="107"/>
        <v>0</v>
      </c>
      <c r="BB178" s="2"/>
      <c r="BC178" s="53">
        <f t="shared" si="94"/>
        <v>0</v>
      </c>
      <c r="BD178" s="53" t="str">
        <f t="shared" si="108"/>
        <v>0</v>
      </c>
      <c r="BE178" s="95">
        <f t="shared" si="109"/>
        <v>0</v>
      </c>
      <c r="BF178" s="95">
        <f t="shared" si="95"/>
        <v>0</v>
      </c>
      <c r="BG178" s="36" t="str">
        <f t="shared" si="110"/>
        <v>0</v>
      </c>
    </row>
    <row r="179" spans="1:59" ht="10.95" hidden="1" customHeight="1" x14ac:dyDescent="0.3">
      <c r="A179" s="15">
        <v>175</v>
      </c>
      <c r="B179" s="15"/>
      <c r="C179" s="143"/>
      <c r="D179" s="144"/>
      <c r="E179" s="15"/>
      <c r="F179" s="143"/>
      <c r="G179" s="147"/>
      <c r="H179" s="52"/>
      <c r="I179" s="14"/>
      <c r="J179" s="36"/>
      <c r="K179" s="36"/>
      <c r="L179" s="13"/>
      <c r="M179" s="56"/>
      <c r="N179" s="145"/>
      <c r="O179" s="146"/>
      <c r="P179" s="57"/>
      <c r="Q179" s="36"/>
      <c r="R179" s="36"/>
      <c r="S179" s="36"/>
      <c r="T179" s="36"/>
      <c r="U179" s="36"/>
      <c r="V179" s="36"/>
      <c r="W179" s="36" t="s">
        <v>151</v>
      </c>
      <c r="X179" s="143"/>
      <c r="Y179" s="144"/>
      <c r="Z179" s="147"/>
      <c r="AA179" s="12"/>
      <c r="AB179" s="89"/>
      <c r="AC179" s="89"/>
      <c r="AD179" s="76"/>
      <c r="AE179" s="75"/>
      <c r="AF179" s="11">
        <f t="shared" si="96"/>
        <v>0</v>
      </c>
      <c r="AJ179" s="127">
        <f t="shared" si="97"/>
        <v>0</v>
      </c>
      <c r="AL179" s="53">
        <f t="shared" si="98"/>
        <v>0</v>
      </c>
      <c r="AM179" s="53">
        <f t="shared" si="99"/>
        <v>0</v>
      </c>
      <c r="AN179" s="53">
        <f t="shared" si="74"/>
        <v>0</v>
      </c>
      <c r="AO179" s="90">
        <f t="shared" si="100"/>
        <v>0</v>
      </c>
      <c r="AP179" s="90">
        <f t="shared" si="101"/>
        <v>0</v>
      </c>
      <c r="AQ179" s="29">
        <f t="shared" si="102"/>
        <v>0</v>
      </c>
      <c r="AR179" s="30">
        <f t="shared" si="103"/>
        <v>0</v>
      </c>
      <c r="AS179" s="29">
        <f t="shared" si="104"/>
        <v>0</v>
      </c>
      <c r="AT179" s="10">
        <f t="shared" si="75"/>
        <v>0</v>
      </c>
      <c r="AU179" s="10">
        <f t="shared" si="105"/>
        <v>0</v>
      </c>
      <c r="AV179" s="3"/>
      <c r="AW179" s="53">
        <f t="shared" si="91"/>
        <v>0</v>
      </c>
      <c r="AX179" s="53" t="str">
        <f t="shared" si="92"/>
        <v>0</v>
      </c>
      <c r="AY179" s="95">
        <f t="shared" si="106"/>
        <v>0</v>
      </c>
      <c r="AZ179" s="95">
        <f t="shared" si="93"/>
        <v>0</v>
      </c>
      <c r="BA179" s="36">
        <f t="shared" si="107"/>
        <v>0</v>
      </c>
      <c r="BB179" s="2"/>
      <c r="BC179" s="53">
        <f t="shared" si="94"/>
        <v>0</v>
      </c>
      <c r="BD179" s="53" t="str">
        <f t="shared" si="108"/>
        <v>0</v>
      </c>
      <c r="BE179" s="95">
        <f t="shared" si="109"/>
        <v>0</v>
      </c>
      <c r="BF179" s="95">
        <f t="shared" si="95"/>
        <v>0</v>
      </c>
      <c r="BG179" s="36" t="str">
        <f t="shared" si="110"/>
        <v>0</v>
      </c>
    </row>
    <row r="180" spans="1:59" ht="10.95" hidden="1" customHeight="1" x14ac:dyDescent="0.3">
      <c r="A180" s="15">
        <v>176</v>
      </c>
      <c r="B180" s="15"/>
      <c r="C180" s="143"/>
      <c r="D180" s="144"/>
      <c r="E180" s="15"/>
      <c r="F180" s="143"/>
      <c r="G180" s="147"/>
      <c r="H180" s="52"/>
      <c r="I180" s="14"/>
      <c r="J180" s="36"/>
      <c r="K180" s="36"/>
      <c r="L180" s="13"/>
      <c r="M180" s="56"/>
      <c r="N180" s="145"/>
      <c r="O180" s="146"/>
      <c r="P180" s="57"/>
      <c r="Q180" s="36"/>
      <c r="R180" s="36"/>
      <c r="S180" s="36"/>
      <c r="T180" s="36"/>
      <c r="U180" s="36"/>
      <c r="V180" s="36"/>
      <c r="W180" s="36" t="s">
        <v>151</v>
      </c>
      <c r="X180" s="143"/>
      <c r="Y180" s="144"/>
      <c r="Z180" s="147"/>
      <c r="AA180" s="12"/>
      <c r="AB180" s="89"/>
      <c r="AC180" s="89"/>
      <c r="AD180" s="76"/>
      <c r="AE180" s="75"/>
      <c r="AF180" s="11">
        <f t="shared" si="96"/>
        <v>0</v>
      </c>
      <c r="AJ180" s="127">
        <f t="shared" si="97"/>
        <v>0</v>
      </c>
      <c r="AL180" s="53">
        <f t="shared" si="98"/>
        <v>0</v>
      </c>
      <c r="AM180" s="53">
        <f t="shared" si="99"/>
        <v>0</v>
      </c>
      <c r="AN180" s="53">
        <f t="shared" si="74"/>
        <v>0</v>
      </c>
      <c r="AO180" s="90">
        <f t="shared" si="100"/>
        <v>0</v>
      </c>
      <c r="AP180" s="90">
        <f t="shared" si="101"/>
        <v>0</v>
      </c>
      <c r="AQ180" s="29">
        <f t="shared" si="102"/>
        <v>0</v>
      </c>
      <c r="AR180" s="30">
        <f t="shared" si="103"/>
        <v>0</v>
      </c>
      <c r="AS180" s="29">
        <f t="shared" si="104"/>
        <v>0</v>
      </c>
      <c r="AT180" s="10">
        <f t="shared" si="75"/>
        <v>0</v>
      </c>
      <c r="AU180" s="10">
        <f t="shared" si="105"/>
        <v>0</v>
      </c>
      <c r="AV180" s="3"/>
      <c r="AW180" s="53">
        <f t="shared" si="91"/>
        <v>0</v>
      </c>
      <c r="AX180" s="53" t="str">
        <f t="shared" si="92"/>
        <v>0</v>
      </c>
      <c r="AY180" s="95">
        <f t="shared" si="106"/>
        <v>0</v>
      </c>
      <c r="AZ180" s="95">
        <f t="shared" si="93"/>
        <v>0</v>
      </c>
      <c r="BA180" s="36">
        <f t="shared" si="107"/>
        <v>0</v>
      </c>
      <c r="BB180" s="2"/>
      <c r="BC180" s="53">
        <f t="shared" si="94"/>
        <v>0</v>
      </c>
      <c r="BD180" s="53" t="str">
        <f t="shared" si="108"/>
        <v>0</v>
      </c>
      <c r="BE180" s="95">
        <f t="shared" si="109"/>
        <v>0</v>
      </c>
      <c r="BF180" s="95">
        <f t="shared" si="95"/>
        <v>0</v>
      </c>
      <c r="BG180" s="36" t="str">
        <f t="shared" si="110"/>
        <v>0</v>
      </c>
    </row>
    <row r="181" spans="1:59" ht="10.95" hidden="1" customHeight="1" x14ac:dyDescent="0.3">
      <c r="A181" s="15">
        <v>177</v>
      </c>
      <c r="B181" s="15"/>
      <c r="C181" s="143"/>
      <c r="D181" s="144"/>
      <c r="E181" s="15"/>
      <c r="F181" s="143"/>
      <c r="G181" s="147"/>
      <c r="H181" s="52"/>
      <c r="I181" s="14"/>
      <c r="J181" s="36"/>
      <c r="K181" s="36"/>
      <c r="L181" s="13"/>
      <c r="M181" s="56"/>
      <c r="N181" s="145"/>
      <c r="O181" s="146"/>
      <c r="P181" s="57"/>
      <c r="Q181" s="36"/>
      <c r="R181" s="36"/>
      <c r="S181" s="36"/>
      <c r="T181" s="36"/>
      <c r="U181" s="36"/>
      <c r="V181" s="36"/>
      <c r="W181" s="36" t="s">
        <v>151</v>
      </c>
      <c r="X181" s="143"/>
      <c r="Y181" s="144"/>
      <c r="Z181" s="147"/>
      <c r="AA181" s="12"/>
      <c r="AB181" s="89"/>
      <c r="AC181" s="89"/>
      <c r="AD181" s="76"/>
      <c r="AE181" s="75"/>
      <c r="AF181" s="11">
        <f t="shared" si="96"/>
        <v>0</v>
      </c>
      <c r="AJ181" s="127">
        <f t="shared" si="97"/>
        <v>0</v>
      </c>
      <c r="AL181" s="53">
        <f t="shared" si="98"/>
        <v>0</v>
      </c>
      <c r="AM181" s="53">
        <f t="shared" si="99"/>
        <v>0</v>
      </c>
      <c r="AN181" s="53">
        <f t="shared" si="74"/>
        <v>0</v>
      </c>
      <c r="AO181" s="90">
        <f t="shared" si="100"/>
        <v>0</v>
      </c>
      <c r="AP181" s="90">
        <f t="shared" si="101"/>
        <v>0</v>
      </c>
      <c r="AQ181" s="29">
        <f t="shared" si="102"/>
        <v>0</v>
      </c>
      <c r="AR181" s="30">
        <f t="shared" si="103"/>
        <v>0</v>
      </c>
      <c r="AS181" s="29">
        <f t="shared" si="104"/>
        <v>0</v>
      </c>
      <c r="AT181" s="10">
        <f t="shared" si="75"/>
        <v>0</v>
      </c>
      <c r="AU181" s="10">
        <f t="shared" si="105"/>
        <v>0</v>
      </c>
      <c r="AV181" s="3"/>
      <c r="AW181" s="53">
        <f t="shared" si="91"/>
        <v>0</v>
      </c>
      <c r="AX181" s="53" t="str">
        <f t="shared" si="92"/>
        <v>0</v>
      </c>
      <c r="AY181" s="95">
        <f t="shared" si="106"/>
        <v>0</v>
      </c>
      <c r="AZ181" s="95">
        <f t="shared" si="93"/>
        <v>0</v>
      </c>
      <c r="BA181" s="36">
        <f t="shared" si="107"/>
        <v>0</v>
      </c>
      <c r="BB181" s="2"/>
      <c r="BC181" s="53">
        <f t="shared" si="94"/>
        <v>0</v>
      </c>
      <c r="BD181" s="53" t="str">
        <f t="shared" si="108"/>
        <v>0</v>
      </c>
      <c r="BE181" s="95">
        <f t="shared" si="109"/>
        <v>0</v>
      </c>
      <c r="BF181" s="95">
        <f t="shared" si="95"/>
        <v>0</v>
      </c>
      <c r="BG181" s="36" t="str">
        <f t="shared" si="110"/>
        <v>0</v>
      </c>
    </row>
    <row r="182" spans="1:59" ht="10.95" hidden="1" customHeight="1" x14ac:dyDescent="0.3">
      <c r="A182" s="15">
        <v>178</v>
      </c>
      <c r="B182" s="15"/>
      <c r="C182" s="143"/>
      <c r="D182" s="144"/>
      <c r="E182" s="15"/>
      <c r="F182" s="143"/>
      <c r="G182" s="147"/>
      <c r="H182" s="52"/>
      <c r="I182" s="14"/>
      <c r="J182" s="36"/>
      <c r="K182" s="36"/>
      <c r="L182" s="13"/>
      <c r="M182" s="56"/>
      <c r="N182" s="145"/>
      <c r="O182" s="146"/>
      <c r="P182" s="57"/>
      <c r="Q182" s="36"/>
      <c r="R182" s="36"/>
      <c r="S182" s="36"/>
      <c r="T182" s="36"/>
      <c r="U182" s="36"/>
      <c r="V182" s="36"/>
      <c r="W182" s="36" t="s">
        <v>151</v>
      </c>
      <c r="X182" s="143"/>
      <c r="Y182" s="144"/>
      <c r="Z182" s="147"/>
      <c r="AA182" s="12"/>
      <c r="AB182" s="89"/>
      <c r="AC182" s="89"/>
      <c r="AD182" s="76"/>
      <c r="AE182" s="75"/>
      <c r="AF182" s="11">
        <f t="shared" si="96"/>
        <v>0</v>
      </c>
      <c r="AJ182" s="127">
        <f t="shared" si="97"/>
        <v>0</v>
      </c>
      <c r="AL182" s="53">
        <f t="shared" si="98"/>
        <v>0</v>
      </c>
      <c r="AM182" s="53">
        <f t="shared" si="99"/>
        <v>0</v>
      </c>
      <c r="AN182" s="53">
        <f t="shared" si="74"/>
        <v>0</v>
      </c>
      <c r="AO182" s="90">
        <f t="shared" si="100"/>
        <v>0</v>
      </c>
      <c r="AP182" s="90">
        <f t="shared" si="101"/>
        <v>0</v>
      </c>
      <c r="AQ182" s="29">
        <f t="shared" si="102"/>
        <v>0</v>
      </c>
      <c r="AR182" s="30">
        <f t="shared" si="103"/>
        <v>0</v>
      </c>
      <c r="AS182" s="29">
        <f t="shared" si="104"/>
        <v>0</v>
      </c>
      <c r="AT182" s="10">
        <f t="shared" si="75"/>
        <v>0</v>
      </c>
      <c r="AU182" s="10">
        <f t="shared" si="105"/>
        <v>0</v>
      </c>
      <c r="AV182" s="3"/>
      <c r="AW182" s="53">
        <f t="shared" si="91"/>
        <v>0</v>
      </c>
      <c r="AX182" s="53" t="str">
        <f t="shared" si="92"/>
        <v>0</v>
      </c>
      <c r="AY182" s="95">
        <f t="shared" si="106"/>
        <v>0</v>
      </c>
      <c r="AZ182" s="95">
        <f t="shared" si="93"/>
        <v>0</v>
      </c>
      <c r="BA182" s="36">
        <f t="shared" si="107"/>
        <v>0</v>
      </c>
      <c r="BB182" s="2"/>
      <c r="BC182" s="53">
        <f t="shared" si="94"/>
        <v>0</v>
      </c>
      <c r="BD182" s="53" t="str">
        <f t="shared" si="108"/>
        <v>0</v>
      </c>
      <c r="BE182" s="95">
        <f t="shared" si="109"/>
        <v>0</v>
      </c>
      <c r="BF182" s="95">
        <f t="shared" si="95"/>
        <v>0</v>
      </c>
      <c r="BG182" s="36" t="str">
        <f t="shared" si="110"/>
        <v>0</v>
      </c>
    </row>
    <row r="183" spans="1:59" ht="10.95" hidden="1" customHeight="1" x14ac:dyDescent="0.3">
      <c r="A183" s="15">
        <v>179</v>
      </c>
      <c r="B183" s="15"/>
      <c r="C183" s="143"/>
      <c r="D183" s="144"/>
      <c r="E183" s="15"/>
      <c r="F183" s="143"/>
      <c r="G183" s="147"/>
      <c r="H183" s="52"/>
      <c r="I183" s="14"/>
      <c r="J183" s="36"/>
      <c r="K183" s="36"/>
      <c r="L183" s="13"/>
      <c r="M183" s="56"/>
      <c r="N183" s="145"/>
      <c r="O183" s="146"/>
      <c r="P183" s="57"/>
      <c r="Q183" s="36"/>
      <c r="R183" s="36"/>
      <c r="S183" s="36"/>
      <c r="T183" s="36"/>
      <c r="U183" s="36"/>
      <c r="V183" s="36"/>
      <c r="W183" s="36" t="s">
        <v>151</v>
      </c>
      <c r="X183" s="143"/>
      <c r="Y183" s="144"/>
      <c r="Z183" s="147"/>
      <c r="AA183" s="12"/>
      <c r="AB183" s="89"/>
      <c r="AC183" s="89"/>
      <c r="AD183" s="76"/>
      <c r="AE183" s="75"/>
      <c r="AF183" s="11">
        <f t="shared" si="96"/>
        <v>0</v>
      </c>
      <c r="AJ183" s="127">
        <f t="shared" si="97"/>
        <v>0</v>
      </c>
      <c r="AL183" s="53">
        <f t="shared" si="98"/>
        <v>0</v>
      </c>
      <c r="AM183" s="53">
        <f t="shared" si="99"/>
        <v>0</v>
      </c>
      <c r="AN183" s="53">
        <f t="shared" si="74"/>
        <v>0</v>
      </c>
      <c r="AO183" s="90">
        <f t="shared" si="100"/>
        <v>0</v>
      </c>
      <c r="AP183" s="90">
        <f t="shared" si="101"/>
        <v>0</v>
      </c>
      <c r="AQ183" s="29">
        <f t="shared" si="102"/>
        <v>0</v>
      </c>
      <c r="AR183" s="30">
        <f t="shared" si="103"/>
        <v>0</v>
      </c>
      <c r="AS183" s="29">
        <f t="shared" si="104"/>
        <v>0</v>
      </c>
      <c r="AT183" s="10">
        <f t="shared" si="75"/>
        <v>0</v>
      </c>
      <c r="AU183" s="10">
        <f t="shared" si="105"/>
        <v>0</v>
      </c>
      <c r="AV183" s="3"/>
      <c r="AW183" s="53">
        <f t="shared" si="91"/>
        <v>0</v>
      </c>
      <c r="AX183" s="53" t="str">
        <f t="shared" si="92"/>
        <v>0</v>
      </c>
      <c r="AY183" s="95">
        <f t="shared" si="106"/>
        <v>0</v>
      </c>
      <c r="AZ183" s="95">
        <f t="shared" si="93"/>
        <v>0</v>
      </c>
      <c r="BA183" s="36">
        <f t="shared" si="107"/>
        <v>0</v>
      </c>
      <c r="BB183" s="2"/>
      <c r="BC183" s="53">
        <f t="shared" si="94"/>
        <v>0</v>
      </c>
      <c r="BD183" s="53" t="str">
        <f t="shared" si="108"/>
        <v>0</v>
      </c>
      <c r="BE183" s="95">
        <f t="shared" si="109"/>
        <v>0</v>
      </c>
      <c r="BF183" s="95">
        <f t="shared" si="95"/>
        <v>0</v>
      </c>
      <c r="BG183" s="36" t="str">
        <f t="shared" si="110"/>
        <v>0</v>
      </c>
    </row>
    <row r="184" spans="1:59" ht="10.95" hidden="1" customHeight="1" x14ac:dyDescent="0.3">
      <c r="A184" s="15">
        <v>180</v>
      </c>
      <c r="B184" s="15"/>
      <c r="C184" s="143"/>
      <c r="D184" s="144"/>
      <c r="E184" s="15"/>
      <c r="F184" s="143"/>
      <c r="G184" s="147"/>
      <c r="H184" s="52"/>
      <c r="I184" s="14"/>
      <c r="J184" s="36"/>
      <c r="K184" s="36"/>
      <c r="L184" s="13"/>
      <c r="M184" s="56"/>
      <c r="N184" s="145"/>
      <c r="O184" s="146"/>
      <c r="P184" s="57"/>
      <c r="Q184" s="36"/>
      <c r="R184" s="36"/>
      <c r="S184" s="36"/>
      <c r="T184" s="36"/>
      <c r="U184" s="36"/>
      <c r="V184" s="36"/>
      <c r="W184" s="36" t="s">
        <v>151</v>
      </c>
      <c r="X184" s="143"/>
      <c r="Y184" s="144"/>
      <c r="Z184" s="147"/>
      <c r="AA184" s="12"/>
      <c r="AB184" s="89"/>
      <c r="AC184" s="89"/>
      <c r="AD184" s="76"/>
      <c r="AE184" s="75"/>
      <c r="AF184" s="11">
        <f t="shared" si="96"/>
        <v>0</v>
      </c>
      <c r="AJ184" s="127">
        <f t="shared" si="97"/>
        <v>0</v>
      </c>
      <c r="AL184" s="53">
        <f t="shared" si="98"/>
        <v>0</v>
      </c>
      <c r="AM184" s="53">
        <f t="shared" si="99"/>
        <v>0</v>
      </c>
      <c r="AN184" s="53">
        <f t="shared" si="74"/>
        <v>0</v>
      </c>
      <c r="AO184" s="90">
        <f t="shared" si="100"/>
        <v>0</v>
      </c>
      <c r="AP184" s="90">
        <f t="shared" si="101"/>
        <v>0</v>
      </c>
      <c r="AQ184" s="29">
        <f t="shared" si="102"/>
        <v>0</v>
      </c>
      <c r="AR184" s="30">
        <f t="shared" si="103"/>
        <v>0</v>
      </c>
      <c r="AS184" s="29">
        <f t="shared" si="104"/>
        <v>0</v>
      </c>
      <c r="AT184" s="10">
        <f t="shared" si="75"/>
        <v>0</v>
      </c>
      <c r="AU184" s="10">
        <f t="shared" si="105"/>
        <v>0</v>
      </c>
      <c r="AV184" s="3"/>
      <c r="AW184" s="53">
        <f t="shared" si="91"/>
        <v>0</v>
      </c>
      <c r="AX184" s="53" t="str">
        <f t="shared" si="92"/>
        <v>0</v>
      </c>
      <c r="AY184" s="95">
        <f t="shared" si="106"/>
        <v>0</v>
      </c>
      <c r="AZ184" s="95">
        <f t="shared" si="93"/>
        <v>0</v>
      </c>
      <c r="BA184" s="36">
        <f t="shared" si="107"/>
        <v>0</v>
      </c>
      <c r="BB184" s="2"/>
      <c r="BC184" s="53">
        <f t="shared" si="94"/>
        <v>0</v>
      </c>
      <c r="BD184" s="53" t="str">
        <f t="shared" si="108"/>
        <v>0</v>
      </c>
      <c r="BE184" s="95">
        <f t="shared" si="109"/>
        <v>0</v>
      </c>
      <c r="BF184" s="95">
        <f t="shared" si="95"/>
        <v>0</v>
      </c>
      <c r="BG184" s="36" t="str">
        <f t="shared" si="110"/>
        <v>0</v>
      </c>
    </row>
    <row r="185" spans="1:59" ht="10.95" hidden="1" customHeight="1" x14ac:dyDescent="0.3">
      <c r="A185" s="15">
        <v>181</v>
      </c>
      <c r="B185" s="15"/>
      <c r="C185" s="143"/>
      <c r="D185" s="144"/>
      <c r="E185" s="15"/>
      <c r="F185" s="143"/>
      <c r="G185" s="147"/>
      <c r="H185" s="52"/>
      <c r="I185" s="14"/>
      <c r="J185" s="36"/>
      <c r="K185" s="36"/>
      <c r="L185" s="13"/>
      <c r="M185" s="56"/>
      <c r="N185" s="145"/>
      <c r="O185" s="146"/>
      <c r="P185" s="57"/>
      <c r="Q185" s="36"/>
      <c r="R185" s="36"/>
      <c r="S185" s="36"/>
      <c r="T185" s="36"/>
      <c r="U185" s="36"/>
      <c r="V185" s="36"/>
      <c r="W185" s="36" t="s">
        <v>151</v>
      </c>
      <c r="X185" s="143"/>
      <c r="Y185" s="144"/>
      <c r="Z185" s="147"/>
      <c r="AA185" s="12"/>
      <c r="AB185" s="89"/>
      <c r="AC185" s="89"/>
      <c r="AD185" s="76"/>
      <c r="AE185" s="75"/>
      <c r="AF185" s="11">
        <f t="shared" si="96"/>
        <v>0</v>
      </c>
      <c r="AJ185" s="127">
        <f t="shared" si="97"/>
        <v>0</v>
      </c>
      <c r="AL185" s="53">
        <f t="shared" si="98"/>
        <v>0</v>
      </c>
      <c r="AM185" s="53">
        <f t="shared" si="99"/>
        <v>0</v>
      </c>
      <c r="AN185" s="53">
        <f t="shared" si="74"/>
        <v>0</v>
      </c>
      <c r="AO185" s="90">
        <f t="shared" si="100"/>
        <v>0</v>
      </c>
      <c r="AP185" s="90">
        <f t="shared" si="101"/>
        <v>0</v>
      </c>
      <c r="AQ185" s="29">
        <f t="shared" si="102"/>
        <v>0</v>
      </c>
      <c r="AR185" s="30">
        <f t="shared" si="103"/>
        <v>0</v>
      </c>
      <c r="AS185" s="29">
        <f t="shared" si="104"/>
        <v>0</v>
      </c>
      <c r="AT185" s="10">
        <f t="shared" si="75"/>
        <v>0</v>
      </c>
      <c r="AU185" s="10">
        <f t="shared" si="105"/>
        <v>0</v>
      </c>
      <c r="AV185" s="3"/>
      <c r="AW185" s="53">
        <f t="shared" si="91"/>
        <v>0</v>
      </c>
      <c r="AX185" s="53" t="str">
        <f t="shared" si="92"/>
        <v>0</v>
      </c>
      <c r="AY185" s="95">
        <f t="shared" si="106"/>
        <v>0</v>
      </c>
      <c r="AZ185" s="95">
        <f t="shared" si="93"/>
        <v>0</v>
      </c>
      <c r="BA185" s="36">
        <f t="shared" si="107"/>
        <v>0</v>
      </c>
      <c r="BB185" s="2"/>
      <c r="BC185" s="53">
        <f t="shared" si="94"/>
        <v>0</v>
      </c>
      <c r="BD185" s="53" t="str">
        <f t="shared" si="108"/>
        <v>0</v>
      </c>
      <c r="BE185" s="95">
        <f t="shared" si="109"/>
        <v>0</v>
      </c>
      <c r="BF185" s="95">
        <f t="shared" si="95"/>
        <v>0</v>
      </c>
      <c r="BG185" s="36" t="str">
        <f t="shared" si="110"/>
        <v>0</v>
      </c>
    </row>
    <row r="186" spans="1:59" ht="10.95" hidden="1" customHeight="1" x14ac:dyDescent="0.3">
      <c r="A186" s="15">
        <v>182</v>
      </c>
      <c r="B186" s="15"/>
      <c r="C186" s="143"/>
      <c r="D186" s="144"/>
      <c r="E186" s="15"/>
      <c r="F186" s="143"/>
      <c r="G186" s="147"/>
      <c r="H186" s="52"/>
      <c r="I186" s="14"/>
      <c r="J186" s="36"/>
      <c r="K186" s="36"/>
      <c r="L186" s="13"/>
      <c r="M186" s="56"/>
      <c r="N186" s="145"/>
      <c r="O186" s="146"/>
      <c r="P186" s="57"/>
      <c r="Q186" s="36"/>
      <c r="R186" s="36"/>
      <c r="S186" s="36"/>
      <c r="T186" s="36"/>
      <c r="U186" s="36"/>
      <c r="V186" s="36"/>
      <c r="W186" s="36" t="s">
        <v>151</v>
      </c>
      <c r="X186" s="143"/>
      <c r="Y186" s="144"/>
      <c r="Z186" s="147"/>
      <c r="AA186" s="12"/>
      <c r="AB186" s="89"/>
      <c r="AC186" s="89"/>
      <c r="AD186" s="76"/>
      <c r="AE186" s="75"/>
      <c r="AF186" s="11">
        <f t="shared" si="96"/>
        <v>0</v>
      </c>
      <c r="AJ186" s="127">
        <f t="shared" si="97"/>
        <v>0</v>
      </c>
      <c r="AL186" s="53">
        <f t="shared" si="98"/>
        <v>0</v>
      </c>
      <c r="AM186" s="53">
        <f t="shared" si="99"/>
        <v>0</v>
      </c>
      <c r="AN186" s="53">
        <f t="shared" si="74"/>
        <v>0</v>
      </c>
      <c r="AO186" s="90">
        <f t="shared" si="100"/>
        <v>0</v>
      </c>
      <c r="AP186" s="90">
        <f t="shared" si="101"/>
        <v>0</v>
      </c>
      <c r="AQ186" s="29">
        <f t="shared" si="102"/>
        <v>0</v>
      </c>
      <c r="AR186" s="30">
        <f t="shared" si="103"/>
        <v>0</v>
      </c>
      <c r="AS186" s="29">
        <f t="shared" si="104"/>
        <v>0</v>
      </c>
      <c r="AT186" s="10">
        <f t="shared" si="75"/>
        <v>0</v>
      </c>
      <c r="AU186" s="10">
        <f t="shared" si="105"/>
        <v>0</v>
      </c>
      <c r="AV186" s="3"/>
      <c r="AW186" s="53">
        <f t="shared" si="91"/>
        <v>0</v>
      </c>
      <c r="AX186" s="53" t="str">
        <f t="shared" si="92"/>
        <v>0</v>
      </c>
      <c r="AY186" s="95">
        <f t="shared" si="106"/>
        <v>0</v>
      </c>
      <c r="AZ186" s="95">
        <f t="shared" si="93"/>
        <v>0</v>
      </c>
      <c r="BA186" s="36">
        <f t="shared" si="107"/>
        <v>0</v>
      </c>
      <c r="BB186" s="2"/>
      <c r="BC186" s="53">
        <f t="shared" si="94"/>
        <v>0</v>
      </c>
      <c r="BD186" s="53" t="str">
        <f t="shared" si="108"/>
        <v>0</v>
      </c>
      <c r="BE186" s="95">
        <f t="shared" si="109"/>
        <v>0</v>
      </c>
      <c r="BF186" s="95">
        <f t="shared" si="95"/>
        <v>0</v>
      </c>
      <c r="BG186" s="36" t="str">
        <f t="shared" si="110"/>
        <v>0</v>
      </c>
    </row>
    <row r="187" spans="1:59" ht="10.95" hidden="1" customHeight="1" x14ac:dyDescent="0.3">
      <c r="A187" s="15">
        <v>183</v>
      </c>
      <c r="B187" s="15"/>
      <c r="C187" s="143"/>
      <c r="D187" s="144"/>
      <c r="E187" s="15"/>
      <c r="F187" s="143"/>
      <c r="G187" s="147"/>
      <c r="H187" s="52"/>
      <c r="I187" s="14"/>
      <c r="J187" s="36"/>
      <c r="K187" s="36"/>
      <c r="L187" s="13"/>
      <c r="M187" s="56"/>
      <c r="N187" s="145"/>
      <c r="O187" s="146"/>
      <c r="P187" s="57"/>
      <c r="Q187" s="36"/>
      <c r="R187" s="36"/>
      <c r="S187" s="36"/>
      <c r="T187" s="36"/>
      <c r="U187" s="36"/>
      <c r="V187" s="36"/>
      <c r="W187" s="36" t="s">
        <v>151</v>
      </c>
      <c r="X187" s="143"/>
      <c r="Y187" s="144"/>
      <c r="Z187" s="147"/>
      <c r="AA187" s="12"/>
      <c r="AB187" s="89"/>
      <c r="AC187" s="89"/>
      <c r="AD187" s="76"/>
      <c r="AE187" s="75"/>
      <c r="AF187" s="11">
        <f t="shared" si="96"/>
        <v>0</v>
      </c>
      <c r="AJ187" s="127">
        <f t="shared" si="97"/>
        <v>0</v>
      </c>
      <c r="AL187" s="53">
        <f t="shared" si="98"/>
        <v>0</v>
      </c>
      <c r="AM187" s="53">
        <f t="shared" si="99"/>
        <v>0</v>
      </c>
      <c r="AN187" s="53">
        <f t="shared" si="74"/>
        <v>0</v>
      </c>
      <c r="AO187" s="90">
        <f t="shared" si="100"/>
        <v>0</v>
      </c>
      <c r="AP187" s="90">
        <f t="shared" si="101"/>
        <v>0</v>
      </c>
      <c r="AQ187" s="29">
        <f t="shared" si="102"/>
        <v>0</v>
      </c>
      <c r="AR187" s="30">
        <f t="shared" si="103"/>
        <v>0</v>
      </c>
      <c r="AS187" s="29">
        <f t="shared" si="104"/>
        <v>0</v>
      </c>
      <c r="AT187" s="10">
        <f t="shared" si="75"/>
        <v>0</v>
      </c>
      <c r="AU187" s="10">
        <f t="shared" si="105"/>
        <v>0</v>
      </c>
      <c r="AV187" s="3"/>
      <c r="AW187" s="53">
        <f t="shared" si="91"/>
        <v>0</v>
      </c>
      <c r="AX187" s="53" t="str">
        <f t="shared" si="92"/>
        <v>0</v>
      </c>
      <c r="AY187" s="95">
        <f t="shared" si="106"/>
        <v>0</v>
      </c>
      <c r="AZ187" s="95">
        <f t="shared" si="93"/>
        <v>0</v>
      </c>
      <c r="BA187" s="36">
        <f t="shared" si="107"/>
        <v>0</v>
      </c>
      <c r="BB187" s="2"/>
      <c r="BC187" s="53">
        <f t="shared" si="94"/>
        <v>0</v>
      </c>
      <c r="BD187" s="53" t="str">
        <f t="shared" si="108"/>
        <v>0</v>
      </c>
      <c r="BE187" s="95">
        <f t="shared" si="109"/>
        <v>0</v>
      </c>
      <c r="BF187" s="95">
        <f t="shared" si="95"/>
        <v>0</v>
      </c>
      <c r="BG187" s="36" t="str">
        <f t="shared" si="110"/>
        <v>0</v>
      </c>
    </row>
    <row r="188" spans="1:59" ht="10.95" hidden="1" customHeight="1" x14ac:dyDescent="0.3">
      <c r="A188" s="15">
        <v>184</v>
      </c>
      <c r="B188" s="15"/>
      <c r="C188" s="143"/>
      <c r="D188" s="144"/>
      <c r="E188" s="15"/>
      <c r="F188" s="143"/>
      <c r="G188" s="147"/>
      <c r="H188" s="52"/>
      <c r="I188" s="14"/>
      <c r="J188" s="36"/>
      <c r="K188" s="36"/>
      <c r="L188" s="13"/>
      <c r="M188" s="56"/>
      <c r="N188" s="145"/>
      <c r="O188" s="146"/>
      <c r="P188" s="57"/>
      <c r="Q188" s="36"/>
      <c r="R188" s="36"/>
      <c r="S188" s="36"/>
      <c r="T188" s="36"/>
      <c r="U188" s="36"/>
      <c r="V188" s="36"/>
      <c r="W188" s="36" t="s">
        <v>151</v>
      </c>
      <c r="X188" s="143"/>
      <c r="Y188" s="144"/>
      <c r="Z188" s="147"/>
      <c r="AA188" s="12"/>
      <c r="AB188" s="89"/>
      <c r="AC188" s="89"/>
      <c r="AD188" s="76"/>
      <c r="AE188" s="75"/>
      <c r="AF188" s="11">
        <f t="shared" si="96"/>
        <v>0</v>
      </c>
      <c r="AJ188" s="127">
        <f t="shared" si="97"/>
        <v>0</v>
      </c>
      <c r="AL188" s="53">
        <f t="shared" si="98"/>
        <v>0</v>
      </c>
      <c r="AM188" s="53">
        <f t="shared" si="99"/>
        <v>0</v>
      </c>
      <c r="AN188" s="53">
        <f t="shared" si="74"/>
        <v>0</v>
      </c>
      <c r="AO188" s="90">
        <f t="shared" si="100"/>
        <v>0</v>
      </c>
      <c r="AP188" s="90">
        <f t="shared" si="101"/>
        <v>0</v>
      </c>
      <c r="AQ188" s="29">
        <f t="shared" si="102"/>
        <v>0</v>
      </c>
      <c r="AR188" s="30">
        <f t="shared" si="103"/>
        <v>0</v>
      </c>
      <c r="AS188" s="29">
        <f t="shared" si="104"/>
        <v>0</v>
      </c>
      <c r="AT188" s="10">
        <f t="shared" si="75"/>
        <v>0</v>
      </c>
      <c r="AU188" s="10">
        <f t="shared" si="105"/>
        <v>0</v>
      </c>
      <c r="AV188" s="3"/>
      <c r="AW188" s="53">
        <f t="shared" si="91"/>
        <v>0</v>
      </c>
      <c r="AX188" s="53" t="str">
        <f t="shared" si="92"/>
        <v>0</v>
      </c>
      <c r="AY188" s="95">
        <f t="shared" si="106"/>
        <v>0</v>
      </c>
      <c r="AZ188" s="95">
        <f t="shared" si="93"/>
        <v>0</v>
      </c>
      <c r="BA188" s="36">
        <f t="shared" si="107"/>
        <v>0</v>
      </c>
      <c r="BB188" s="2"/>
      <c r="BC188" s="53">
        <f t="shared" si="94"/>
        <v>0</v>
      </c>
      <c r="BD188" s="53" t="str">
        <f t="shared" si="108"/>
        <v>0</v>
      </c>
      <c r="BE188" s="95">
        <f t="shared" si="109"/>
        <v>0</v>
      </c>
      <c r="BF188" s="95">
        <f t="shared" si="95"/>
        <v>0</v>
      </c>
      <c r="BG188" s="36" t="str">
        <f t="shared" si="110"/>
        <v>0</v>
      </c>
    </row>
    <row r="189" spans="1:59" ht="10.95" hidden="1" customHeight="1" x14ac:dyDescent="0.3">
      <c r="A189" s="15">
        <v>185</v>
      </c>
      <c r="B189" s="15"/>
      <c r="C189" s="143"/>
      <c r="D189" s="144"/>
      <c r="E189" s="15"/>
      <c r="F189" s="143"/>
      <c r="G189" s="147"/>
      <c r="H189" s="52"/>
      <c r="I189" s="14"/>
      <c r="J189" s="36"/>
      <c r="K189" s="36"/>
      <c r="L189" s="13"/>
      <c r="M189" s="56"/>
      <c r="N189" s="145"/>
      <c r="O189" s="146"/>
      <c r="P189" s="57"/>
      <c r="Q189" s="36"/>
      <c r="R189" s="36"/>
      <c r="S189" s="36"/>
      <c r="T189" s="36"/>
      <c r="U189" s="36"/>
      <c r="V189" s="36"/>
      <c r="W189" s="36" t="s">
        <v>151</v>
      </c>
      <c r="X189" s="143"/>
      <c r="Y189" s="144"/>
      <c r="Z189" s="147"/>
      <c r="AA189" s="12"/>
      <c r="AB189" s="89"/>
      <c r="AC189" s="89"/>
      <c r="AD189" s="76"/>
      <c r="AE189" s="75"/>
      <c r="AF189" s="11">
        <f t="shared" si="96"/>
        <v>0</v>
      </c>
      <c r="AJ189" s="127">
        <f t="shared" si="97"/>
        <v>0</v>
      </c>
      <c r="AL189" s="53">
        <f t="shared" si="98"/>
        <v>0</v>
      </c>
      <c r="AM189" s="53">
        <f t="shared" si="99"/>
        <v>0</v>
      </c>
      <c r="AN189" s="53">
        <f t="shared" si="74"/>
        <v>0</v>
      </c>
      <c r="AO189" s="90">
        <f t="shared" si="100"/>
        <v>0</v>
      </c>
      <c r="AP189" s="90">
        <f t="shared" si="101"/>
        <v>0</v>
      </c>
      <c r="AQ189" s="29">
        <f t="shared" si="102"/>
        <v>0</v>
      </c>
      <c r="AR189" s="30">
        <f t="shared" si="103"/>
        <v>0</v>
      </c>
      <c r="AS189" s="29">
        <f t="shared" si="104"/>
        <v>0</v>
      </c>
      <c r="AT189" s="10">
        <f t="shared" si="75"/>
        <v>0</v>
      </c>
      <c r="AU189" s="10">
        <f t="shared" si="105"/>
        <v>0</v>
      </c>
      <c r="AV189" s="3"/>
      <c r="AW189" s="53">
        <f t="shared" si="91"/>
        <v>0</v>
      </c>
      <c r="AX189" s="53" t="str">
        <f t="shared" si="92"/>
        <v>0</v>
      </c>
      <c r="AY189" s="95">
        <f t="shared" si="106"/>
        <v>0</v>
      </c>
      <c r="AZ189" s="95">
        <f t="shared" si="93"/>
        <v>0</v>
      </c>
      <c r="BA189" s="36">
        <f t="shared" si="107"/>
        <v>0</v>
      </c>
      <c r="BB189" s="2"/>
      <c r="BC189" s="53">
        <f t="shared" si="94"/>
        <v>0</v>
      </c>
      <c r="BD189" s="53" t="str">
        <f t="shared" si="108"/>
        <v>0</v>
      </c>
      <c r="BE189" s="95">
        <f t="shared" si="109"/>
        <v>0</v>
      </c>
      <c r="BF189" s="95">
        <f t="shared" si="95"/>
        <v>0</v>
      </c>
      <c r="BG189" s="36" t="str">
        <f t="shared" si="110"/>
        <v>0</v>
      </c>
    </row>
    <row r="190" spans="1:59" ht="10.95" hidden="1" customHeight="1" x14ac:dyDescent="0.3">
      <c r="A190" s="15">
        <v>186</v>
      </c>
      <c r="B190" s="15"/>
      <c r="C190" s="143"/>
      <c r="D190" s="144"/>
      <c r="E190" s="15"/>
      <c r="F190" s="143"/>
      <c r="G190" s="147"/>
      <c r="H190" s="52"/>
      <c r="I190" s="14"/>
      <c r="J190" s="36"/>
      <c r="K190" s="36"/>
      <c r="L190" s="13"/>
      <c r="M190" s="56"/>
      <c r="N190" s="145"/>
      <c r="O190" s="146"/>
      <c r="P190" s="57"/>
      <c r="Q190" s="36"/>
      <c r="R190" s="36"/>
      <c r="S190" s="36"/>
      <c r="T190" s="36"/>
      <c r="U190" s="36"/>
      <c r="V190" s="36"/>
      <c r="W190" s="36" t="s">
        <v>151</v>
      </c>
      <c r="X190" s="143"/>
      <c r="Y190" s="144"/>
      <c r="Z190" s="147"/>
      <c r="AA190" s="12"/>
      <c r="AB190" s="89"/>
      <c r="AC190" s="89"/>
      <c r="AD190" s="76"/>
      <c r="AE190" s="75"/>
      <c r="AF190" s="11">
        <f t="shared" si="96"/>
        <v>0</v>
      </c>
      <c r="AJ190" s="127">
        <f t="shared" si="97"/>
        <v>0</v>
      </c>
      <c r="AL190" s="53">
        <f t="shared" si="98"/>
        <v>0</v>
      </c>
      <c r="AM190" s="53">
        <f t="shared" si="99"/>
        <v>0</v>
      </c>
      <c r="AN190" s="53">
        <f t="shared" ref="AN190:AN201" si="111">(AD190/60)*$AH$5</f>
        <v>0</v>
      </c>
      <c r="AO190" s="90">
        <f t="shared" si="100"/>
        <v>0</v>
      </c>
      <c r="AP190" s="90">
        <f t="shared" si="101"/>
        <v>0</v>
      </c>
      <c r="AQ190" s="29">
        <f t="shared" si="102"/>
        <v>0</v>
      </c>
      <c r="AR190" s="30">
        <f t="shared" si="103"/>
        <v>0</v>
      </c>
      <c r="AS190" s="29">
        <f t="shared" si="104"/>
        <v>0</v>
      </c>
      <c r="AT190" s="10">
        <f t="shared" ref="AT190:AT201" si="112">SUM(AM190+AW190+AN190+AO190+AP190+BC190+AX190+BD190)</f>
        <v>0</v>
      </c>
      <c r="AU190" s="10">
        <f t="shared" si="105"/>
        <v>0</v>
      </c>
      <c r="AV190" s="3"/>
      <c r="AW190" s="53">
        <f t="shared" si="91"/>
        <v>0</v>
      </c>
      <c r="AX190" s="53" t="str">
        <f t="shared" si="92"/>
        <v>0</v>
      </c>
      <c r="AY190" s="95">
        <f t="shared" si="106"/>
        <v>0</v>
      </c>
      <c r="AZ190" s="95">
        <f t="shared" si="93"/>
        <v>0</v>
      </c>
      <c r="BA190" s="36">
        <f t="shared" si="107"/>
        <v>0</v>
      </c>
      <c r="BB190" s="2"/>
      <c r="BC190" s="53">
        <f t="shared" si="94"/>
        <v>0</v>
      </c>
      <c r="BD190" s="53" t="str">
        <f t="shared" si="108"/>
        <v>0</v>
      </c>
      <c r="BE190" s="95">
        <f t="shared" si="109"/>
        <v>0</v>
      </c>
      <c r="BF190" s="95">
        <f t="shared" si="95"/>
        <v>0</v>
      </c>
      <c r="BG190" s="36" t="str">
        <f t="shared" si="110"/>
        <v>0</v>
      </c>
    </row>
    <row r="191" spans="1:59" ht="10.95" hidden="1" customHeight="1" x14ac:dyDescent="0.3">
      <c r="A191" s="15">
        <v>187</v>
      </c>
      <c r="B191" s="15"/>
      <c r="C191" s="143"/>
      <c r="D191" s="144"/>
      <c r="E191" s="15"/>
      <c r="F191" s="143"/>
      <c r="G191" s="147"/>
      <c r="H191" s="52"/>
      <c r="I191" s="14"/>
      <c r="J191" s="36"/>
      <c r="K191" s="36"/>
      <c r="L191" s="13"/>
      <c r="M191" s="56"/>
      <c r="N191" s="145"/>
      <c r="O191" s="146"/>
      <c r="P191" s="57"/>
      <c r="Q191" s="36"/>
      <c r="R191" s="36"/>
      <c r="S191" s="36"/>
      <c r="T191" s="36"/>
      <c r="U191" s="36"/>
      <c r="V191" s="36"/>
      <c r="W191" s="36" t="s">
        <v>151</v>
      </c>
      <c r="X191" s="143"/>
      <c r="Y191" s="144"/>
      <c r="Z191" s="147"/>
      <c r="AA191" s="12"/>
      <c r="AB191" s="89"/>
      <c r="AC191" s="89"/>
      <c r="AD191" s="76"/>
      <c r="AE191" s="75"/>
      <c r="AF191" s="11">
        <f t="shared" si="96"/>
        <v>0</v>
      </c>
      <c r="AJ191" s="127">
        <f t="shared" si="97"/>
        <v>0</v>
      </c>
      <c r="AL191" s="53">
        <f t="shared" si="98"/>
        <v>0</v>
      </c>
      <c r="AM191" s="53">
        <f t="shared" si="99"/>
        <v>0</v>
      </c>
      <c r="AN191" s="53">
        <f t="shared" si="111"/>
        <v>0</v>
      </c>
      <c r="AO191" s="90">
        <f t="shared" si="100"/>
        <v>0</v>
      </c>
      <c r="AP191" s="90">
        <f t="shared" si="101"/>
        <v>0</v>
      </c>
      <c r="AQ191" s="29">
        <f t="shared" si="102"/>
        <v>0</v>
      </c>
      <c r="AR191" s="30">
        <f t="shared" si="103"/>
        <v>0</v>
      </c>
      <c r="AS191" s="29">
        <f t="shared" si="104"/>
        <v>0</v>
      </c>
      <c r="AT191" s="10">
        <f t="shared" si="112"/>
        <v>0</v>
      </c>
      <c r="AU191" s="10">
        <f t="shared" si="105"/>
        <v>0</v>
      </c>
      <c r="AV191" s="3"/>
      <c r="AW191" s="53">
        <f t="shared" si="91"/>
        <v>0</v>
      </c>
      <c r="AX191" s="53" t="str">
        <f t="shared" si="92"/>
        <v>0</v>
      </c>
      <c r="AY191" s="95">
        <f t="shared" si="106"/>
        <v>0</v>
      </c>
      <c r="AZ191" s="95">
        <f t="shared" si="93"/>
        <v>0</v>
      </c>
      <c r="BA191" s="36">
        <f t="shared" si="107"/>
        <v>0</v>
      </c>
      <c r="BB191" s="2"/>
      <c r="BC191" s="53">
        <f t="shared" si="94"/>
        <v>0</v>
      </c>
      <c r="BD191" s="53" t="str">
        <f t="shared" si="108"/>
        <v>0</v>
      </c>
      <c r="BE191" s="95">
        <f t="shared" si="109"/>
        <v>0</v>
      </c>
      <c r="BF191" s="95">
        <f t="shared" si="95"/>
        <v>0</v>
      </c>
      <c r="BG191" s="36" t="str">
        <f t="shared" si="110"/>
        <v>0</v>
      </c>
    </row>
    <row r="192" spans="1:59" ht="10.95" hidden="1" customHeight="1" x14ac:dyDescent="0.3">
      <c r="A192" s="15">
        <v>188</v>
      </c>
      <c r="B192" s="15"/>
      <c r="C192" s="143"/>
      <c r="D192" s="144"/>
      <c r="E192" s="15"/>
      <c r="F192" s="143"/>
      <c r="G192" s="147"/>
      <c r="H192" s="52"/>
      <c r="I192" s="14"/>
      <c r="J192" s="36"/>
      <c r="K192" s="36"/>
      <c r="L192" s="13"/>
      <c r="M192" s="56"/>
      <c r="N192" s="145"/>
      <c r="O192" s="146"/>
      <c r="P192" s="57"/>
      <c r="Q192" s="36"/>
      <c r="R192" s="36"/>
      <c r="S192" s="36"/>
      <c r="T192" s="36"/>
      <c r="U192" s="36"/>
      <c r="V192" s="36"/>
      <c r="W192" s="36" t="s">
        <v>151</v>
      </c>
      <c r="X192" s="143"/>
      <c r="Y192" s="144"/>
      <c r="Z192" s="147"/>
      <c r="AA192" s="12"/>
      <c r="AB192" s="89"/>
      <c r="AC192" s="89"/>
      <c r="AD192" s="76"/>
      <c r="AE192" s="75"/>
      <c r="AF192" s="11">
        <f t="shared" si="96"/>
        <v>0</v>
      </c>
      <c r="AJ192" s="127">
        <f t="shared" si="97"/>
        <v>0</v>
      </c>
      <c r="AL192" s="53">
        <f t="shared" si="98"/>
        <v>0</v>
      </c>
      <c r="AM192" s="53">
        <f t="shared" si="99"/>
        <v>0</v>
      </c>
      <c r="AN192" s="53">
        <f t="shared" si="111"/>
        <v>0</v>
      </c>
      <c r="AO192" s="90">
        <f t="shared" si="100"/>
        <v>0</v>
      </c>
      <c r="AP192" s="90">
        <f t="shared" si="101"/>
        <v>0</v>
      </c>
      <c r="AQ192" s="29">
        <f t="shared" si="102"/>
        <v>0</v>
      </c>
      <c r="AR192" s="30">
        <f t="shared" si="103"/>
        <v>0</v>
      </c>
      <c r="AS192" s="29">
        <f t="shared" si="104"/>
        <v>0</v>
      </c>
      <c r="AT192" s="10">
        <f t="shared" si="112"/>
        <v>0</v>
      </c>
      <c r="AU192" s="10">
        <f t="shared" si="105"/>
        <v>0</v>
      </c>
      <c r="AV192" s="3"/>
      <c r="AW192" s="53">
        <f t="shared" si="91"/>
        <v>0</v>
      </c>
      <c r="AX192" s="53" t="str">
        <f t="shared" si="92"/>
        <v>0</v>
      </c>
      <c r="AY192" s="95">
        <f t="shared" si="106"/>
        <v>0</v>
      </c>
      <c r="AZ192" s="95">
        <f t="shared" si="93"/>
        <v>0</v>
      </c>
      <c r="BA192" s="36">
        <f t="shared" si="107"/>
        <v>0</v>
      </c>
      <c r="BB192" s="2"/>
      <c r="BC192" s="53">
        <f t="shared" si="94"/>
        <v>0</v>
      </c>
      <c r="BD192" s="53" t="str">
        <f t="shared" si="108"/>
        <v>0</v>
      </c>
      <c r="BE192" s="95">
        <f t="shared" si="109"/>
        <v>0</v>
      </c>
      <c r="BF192" s="95">
        <f t="shared" si="95"/>
        <v>0</v>
      </c>
      <c r="BG192" s="36" t="str">
        <f t="shared" si="110"/>
        <v>0</v>
      </c>
    </row>
    <row r="193" spans="1:59" ht="10.95" hidden="1" customHeight="1" x14ac:dyDescent="0.3">
      <c r="A193" s="15">
        <v>189</v>
      </c>
      <c r="B193" s="15"/>
      <c r="C193" s="143"/>
      <c r="D193" s="144"/>
      <c r="E193" s="15"/>
      <c r="F193" s="143"/>
      <c r="G193" s="147"/>
      <c r="H193" s="52"/>
      <c r="I193" s="14"/>
      <c r="J193" s="36"/>
      <c r="K193" s="36"/>
      <c r="L193" s="13"/>
      <c r="M193" s="56"/>
      <c r="N193" s="145"/>
      <c r="O193" s="146"/>
      <c r="P193" s="57"/>
      <c r="Q193" s="36"/>
      <c r="R193" s="36"/>
      <c r="S193" s="36"/>
      <c r="T193" s="36"/>
      <c r="U193" s="36"/>
      <c r="V193" s="36"/>
      <c r="W193" s="36" t="s">
        <v>151</v>
      </c>
      <c r="X193" s="143"/>
      <c r="Y193" s="144"/>
      <c r="Z193" s="147"/>
      <c r="AA193" s="12"/>
      <c r="AB193" s="89"/>
      <c r="AC193" s="89"/>
      <c r="AD193" s="76"/>
      <c r="AE193" s="75"/>
      <c r="AF193" s="11">
        <f t="shared" si="96"/>
        <v>0</v>
      </c>
      <c r="AJ193" s="127">
        <f t="shared" si="97"/>
        <v>0</v>
      </c>
      <c r="AL193" s="53">
        <f t="shared" si="98"/>
        <v>0</v>
      </c>
      <c r="AM193" s="53">
        <f t="shared" si="99"/>
        <v>0</v>
      </c>
      <c r="AN193" s="53">
        <f t="shared" si="111"/>
        <v>0</v>
      </c>
      <c r="AO193" s="90">
        <f t="shared" si="100"/>
        <v>0</v>
      </c>
      <c r="AP193" s="90">
        <f t="shared" si="101"/>
        <v>0</v>
      </c>
      <c r="AQ193" s="29">
        <f t="shared" si="102"/>
        <v>0</v>
      </c>
      <c r="AR193" s="30">
        <f t="shared" si="103"/>
        <v>0</v>
      </c>
      <c r="AS193" s="29">
        <f t="shared" si="104"/>
        <v>0</v>
      </c>
      <c r="AT193" s="10">
        <f t="shared" si="112"/>
        <v>0</v>
      </c>
      <c r="AU193" s="10">
        <f t="shared" si="105"/>
        <v>0</v>
      </c>
      <c r="AV193" s="3"/>
      <c r="AW193" s="53">
        <f t="shared" si="91"/>
        <v>0</v>
      </c>
      <c r="AX193" s="53" t="str">
        <f t="shared" si="92"/>
        <v>0</v>
      </c>
      <c r="AY193" s="95">
        <f t="shared" si="106"/>
        <v>0</v>
      </c>
      <c r="AZ193" s="95">
        <f t="shared" si="93"/>
        <v>0</v>
      </c>
      <c r="BA193" s="36">
        <f t="shared" si="107"/>
        <v>0</v>
      </c>
      <c r="BB193" s="2"/>
      <c r="BC193" s="53">
        <f t="shared" si="94"/>
        <v>0</v>
      </c>
      <c r="BD193" s="53" t="str">
        <f t="shared" si="108"/>
        <v>0</v>
      </c>
      <c r="BE193" s="95">
        <f t="shared" si="109"/>
        <v>0</v>
      </c>
      <c r="BF193" s="95">
        <f t="shared" si="95"/>
        <v>0</v>
      </c>
      <c r="BG193" s="36" t="str">
        <f t="shared" si="110"/>
        <v>0</v>
      </c>
    </row>
    <row r="194" spans="1:59" ht="10.95" hidden="1" customHeight="1" x14ac:dyDescent="0.3">
      <c r="A194" s="15">
        <v>190</v>
      </c>
      <c r="B194" s="15"/>
      <c r="C194" s="143"/>
      <c r="D194" s="144"/>
      <c r="E194" s="15"/>
      <c r="F194" s="143"/>
      <c r="G194" s="147"/>
      <c r="H194" s="52"/>
      <c r="I194" s="14"/>
      <c r="J194" s="36"/>
      <c r="K194" s="36"/>
      <c r="L194" s="13"/>
      <c r="M194" s="56"/>
      <c r="N194" s="145"/>
      <c r="O194" s="146"/>
      <c r="P194" s="57"/>
      <c r="Q194" s="36"/>
      <c r="R194" s="36"/>
      <c r="S194" s="36"/>
      <c r="T194" s="36"/>
      <c r="U194" s="36"/>
      <c r="V194" s="36"/>
      <c r="W194" s="36" t="s">
        <v>151</v>
      </c>
      <c r="X194" s="143"/>
      <c r="Y194" s="144"/>
      <c r="Z194" s="147"/>
      <c r="AA194" s="12"/>
      <c r="AB194" s="89"/>
      <c r="AC194" s="89"/>
      <c r="AD194" s="76"/>
      <c r="AE194" s="75"/>
      <c r="AF194" s="11">
        <f t="shared" si="96"/>
        <v>0</v>
      </c>
      <c r="AJ194" s="127">
        <f t="shared" si="97"/>
        <v>0</v>
      </c>
      <c r="AL194" s="53">
        <f t="shared" si="98"/>
        <v>0</v>
      </c>
      <c r="AM194" s="53">
        <f t="shared" si="99"/>
        <v>0</v>
      </c>
      <c r="AN194" s="53">
        <f t="shared" si="111"/>
        <v>0</v>
      </c>
      <c r="AO194" s="90">
        <f t="shared" si="100"/>
        <v>0</v>
      </c>
      <c r="AP194" s="90">
        <f t="shared" si="101"/>
        <v>0</v>
      </c>
      <c r="AQ194" s="29">
        <f t="shared" si="102"/>
        <v>0</v>
      </c>
      <c r="AR194" s="30">
        <f t="shared" si="103"/>
        <v>0</v>
      </c>
      <c r="AS194" s="29">
        <f t="shared" si="104"/>
        <v>0</v>
      </c>
      <c r="AT194" s="10">
        <f t="shared" si="112"/>
        <v>0</v>
      </c>
      <c r="AU194" s="10">
        <f t="shared" si="105"/>
        <v>0</v>
      </c>
      <c r="AV194" s="3"/>
      <c r="AW194" s="53">
        <f t="shared" si="91"/>
        <v>0</v>
      </c>
      <c r="AX194" s="53" t="str">
        <f t="shared" si="92"/>
        <v>0</v>
      </c>
      <c r="AY194" s="95">
        <f t="shared" si="106"/>
        <v>0</v>
      </c>
      <c r="AZ194" s="95">
        <f t="shared" si="93"/>
        <v>0</v>
      </c>
      <c r="BA194" s="36">
        <f t="shared" si="107"/>
        <v>0</v>
      </c>
      <c r="BB194" s="2"/>
      <c r="BC194" s="53">
        <f t="shared" si="94"/>
        <v>0</v>
      </c>
      <c r="BD194" s="53" t="str">
        <f t="shared" si="108"/>
        <v>0</v>
      </c>
      <c r="BE194" s="95">
        <f t="shared" si="109"/>
        <v>0</v>
      </c>
      <c r="BF194" s="95">
        <f t="shared" si="95"/>
        <v>0</v>
      </c>
      <c r="BG194" s="36" t="str">
        <f t="shared" si="110"/>
        <v>0</v>
      </c>
    </row>
    <row r="195" spans="1:59" ht="10.95" hidden="1" customHeight="1" x14ac:dyDescent="0.3">
      <c r="A195" s="15">
        <v>191</v>
      </c>
      <c r="B195" s="15"/>
      <c r="C195" s="143"/>
      <c r="D195" s="144"/>
      <c r="E195" s="15"/>
      <c r="F195" s="143"/>
      <c r="G195" s="147"/>
      <c r="H195" s="52"/>
      <c r="I195" s="14"/>
      <c r="J195" s="36"/>
      <c r="K195" s="36"/>
      <c r="L195" s="13"/>
      <c r="M195" s="56"/>
      <c r="N195" s="145"/>
      <c r="O195" s="146"/>
      <c r="P195" s="57"/>
      <c r="Q195" s="36"/>
      <c r="R195" s="36"/>
      <c r="S195" s="36"/>
      <c r="T195" s="36"/>
      <c r="U195" s="36"/>
      <c r="V195" s="36"/>
      <c r="W195" s="36" t="s">
        <v>151</v>
      </c>
      <c r="X195" s="143"/>
      <c r="Y195" s="144"/>
      <c r="Z195" s="147"/>
      <c r="AA195" s="12"/>
      <c r="AB195" s="89"/>
      <c r="AC195" s="89"/>
      <c r="AD195" s="76"/>
      <c r="AE195" s="75"/>
      <c r="AF195" s="11">
        <f t="shared" si="96"/>
        <v>0</v>
      </c>
      <c r="AJ195" s="127">
        <f t="shared" si="97"/>
        <v>0</v>
      </c>
      <c r="AL195" s="53">
        <f t="shared" si="98"/>
        <v>0</v>
      </c>
      <c r="AM195" s="53">
        <f t="shared" si="99"/>
        <v>0</v>
      </c>
      <c r="AN195" s="53">
        <f t="shared" si="111"/>
        <v>0</v>
      </c>
      <c r="AO195" s="90">
        <f t="shared" si="100"/>
        <v>0</v>
      </c>
      <c r="AP195" s="90">
        <f t="shared" si="101"/>
        <v>0</v>
      </c>
      <c r="AQ195" s="29">
        <f t="shared" si="102"/>
        <v>0</v>
      </c>
      <c r="AR195" s="30">
        <f t="shared" si="103"/>
        <v>0</v>
      </c>
      <c r="AS195" s="29">
        <f t="shared" si="104"/>
        <v>0</v>
      </c>
      <c r="AT195" s="10">
        <f t="shared" si="112"/>
        <v>0</v>
      </c>
      <c r="AU195" s="10">
        <f t="shared" si="105"/>
        <v>0</v>
      </c>
      <c r="AV195" s="3"/>
      <c r="AW195" s="53">
        <f t="shared" si="91"/>
        <v>0</v>
      </c>
      <c r="AX195" s="53" t="str">
        <f t="shared" si="92"/>
        <v>0</v>
      </c>
      <c r="AY195" s="95">
        <f t="shared" si="106"/>
        <v>0</v>
      </c>
      <c r="AZ195" s="95">
        <f t="shared" si="93"/>
        <v>0</v>
      </c>
      <c r="BA195" s="36">
        <f t="shared" si="107"/>
        <v>0</v>
      </c>
      <c r="BB195" s="2"/>
      <c r="BC195" s="53">
        <f t="shared" si="94"/>
        <v>0</v>
      </c>
      <c r="BD195" s="53" t="str">
        <f t="shared" si="108"/>
        <v>0</v>
      </c>
      <c r="BE195" s="95">
        <f t="shared" si="109"/>
        <v>0</v>
      </c>
      <c r="BF195" s="95">
        <f t="shared" si="95"/>
        <v>0</v>
      </c>
      <c r="BG195" s="36" t="str">
        <f t="shared" si="110"/>
        <v>0</v>
      </c>
    </row>
    <row r="196" spans="1:59" ht="10.95" hidden="1" customHeight="1" x14ac:dyDescent="0.3">
      <c r="A196" s="15">
        <v>192</v>
      </c>
      <c r="B196" s="15"/>
      <c r="C196" s="143"/>
      <c r="D196" s="144"/>
      <c r="E196" s="15"/>
      <c r="F196" s="143"/>
      <c r="G196" s="147"/>
      <c r="H196" s="52"/>
      <c r="I196" s="14"/>
      <c r="J196" s="36"/>
      <c r="K196" s="36"/>
      <c r="L196" s="13"/>
      <c r="M196" s="56"/>
      <c r="N196" s="145"/>
      <c r="O196" s="146"/>
      <c r="P196" s="57"/>
      <c r="Q196" s="36"/>
      <c r="R196" s="36"/>
      <c r="S196" s="36"/>
      <c r="T196" s="36"/>
      <c r="U196" s="36"/>
      <c r="V196" s="36"/>
      <c r="W196" s="36" t="s">
        <v>151</v>
      </c>
      <c r="X196" s="143"/>
      <c r="Y196" s="144"/>
      <c r="Z196" s="147"/>
      <c r="AA196" s="12"/>
      <c r="AB196" s="89"/>
      <c r="AC196" s="89"/>
      <c r="AD196" s="76"/>
      <c r="AE196" s="75"/>
      <c r="AF196" s="11">
        <f t="shared" si="96"/>
        <v>0</v>
      </c>
      <c r="AJ196" s="127">
        <f t="shared" si="97"/>
        <v>0</v>
      </c>
      <c r="AL196" s="53">
        <f t="shared" si="98"/>
        <v>0</v>
      </c>
      <c r="AM196" s="53">
        <f t="shared" si="99"/>
        <v>0</v>
      </c>
      <c r="AN196" s="53">
        <f t="shared" si="111"/>
        <v>0</v>
      </c>
      <c r="AO196" s="90">
        <f t="shared" si="100"/>
        <v>0</v>
      </c>
      <c r="AP196" s="90">
        <f t="shared" si="101"/>
        <v>0</v>
      </c>
      <c r="AQ196" s="29">
        <f t="shared" si="102"/>
        <v>0</v>
      </c>
      <c r="AR196" s="30">
        <f t="shared" si="103"/>
        <v>0</v>
      </c>
      <c r="AS196" s="29">
        <f t="shared" si="104"/>
        <v>0</v>
      </c>
      <c r="AT196" s="10">
        <f t="shared" si="112"/>
        <v>0</v>
      </c>
      <c r="AU196" s="10">
        <f t="shared" si="105"/>
        <v>0</v>
      </c>
      <c r="AV196" s="3"/>
      <c r="AW196" s="53">
        <f t="shared" si="91"/>
        <v>0</v>
      </c>
      <c r="AX196" s="53" t="str">
        <f t="shared" si="92"/>
        <v>0</v>
      </c>
      <c r="AY196" s="95">
        <f t="shared" si="106"/>
        <v>0</v>
      </c>
      <c r="AZ196" s="95">
        <f t="shared" si="93"/>
        <v>0</v>
      </c>
      <c r="BA196" s="36">
        <f t="shared" si="107"/>
        <v>0</v>
      </c>
      <c r="BB196" s="2"/>
      <c r="BC196" s="53">
        <f t="shared" si="94"/>
        <v>0</v>
      </c>
      <c r="BD196" s="53" t="str">
        <f t="shared" si="108"/>
        <v>0</v>
      </c>
      <c r="BE196" s="95">
        <f t="shared" si="109"/>
        <v>0</v>
      </c>
      <c r="BF196" s="95">
        <f t="shared" si="95"/>
        <v>0</v>
      </c>
      <c r="BG196" s="36" t="str">
        <f t="shared" si="110"/>
        <v>0</v>
      </c>
    </row>
    <row r="197" spans="1:59" ht="10.95" hidden="1" customHeight="1" x14ac:dyDescent="0.3">
      <c r="A197" s="15">
        <v>193</v>
      </c>
      <c r="B197" s="15"/>
      <c r="C197" s="143"/>
      <c r="D197" s="144"/>
      <c r="E197" s="15"/>
      <c r="F197" s="143"/>
      <c r="G197" s="147"/>
      <c r="H197" s="52"/>
      <c r="I197" s="14"/>
      <c r="J197" s="36"/>
      <c r="K197" s="36"/>
      <c r="L197" s="13"/>
      <c r="M197" s="56"/>
      <c r="N197" s="145"/>
      <c r="O197" s="146"/>
      <c r="P197" s="57"/>
      <c r="Q197" s="36"/>
      <c r="R197" s="36"/>
      <c r="S197" s="36"/>
      <c r="T197" s="36"/>
      <c r="U197" s="36"/>
      <c r="V197" s="36"/>
      <c r="W197" s="36" t="s">
        <v>151</v>
      </c>
      <c r="X197" s="143"/>
      <c r="Y197" s="144"/>
      <c r="Z197" s="147"/>
      <c r="AA197" s="12"/>
      <c r="AB197" s="89"/>
      <c r="AC197" s="89"/>
      <c r="AD197" s="76"/>
      <c r="AE197" s="75"/>
      <c r="AF197" s="11">
        <f t="shared" ref="AF197:AF204" si="113">SUM(AT197+AU197)</f>
        <v>0</v>
      </c>
      <c r="AJ197" s="127">
        <f t="shared" ref="AJ197:AJ204" si="114">(I197*H197)/12</f>
        <v>0</v>
      </c>
      <c r="AL197" s="53">
        <f t="shared" ref="AL197:AL204" si="115">IFERROR((AY197/$B$3)*$AA$2,0)</f>
        <v>0</v>
      </c>
      <c r="AM197" s="53">
        <f t="shared" ref="AM197:AM204" si="116">AA197+AL197</f>
        <v>0</v>
      </c>
      <c r="AN197" s="53">
        <f t="shared" si="111"/>
        <v>0</v>
      </c>
      <c r="AO197" s="90">
        <f t="shared" ref="AO197:AO204" si="117">IFERROR((AY197/$B$3)*($AD$2*$AH$5),0)</f>
        <v>0</v>
      </c>
      <c r="AP197" s="90">
        <f t="shared" ref="AP197:AP204" si="118">IF($S$3="Yes",(AY197/$B$3)*($AH$5*2),0)</f>
        <v>0</v>
      </c>
      <c r="AQ197" s="29">
        <f t="shared" ref="AQ197:AQ204" si="119">((AZ197+BF197))*$AH$8</f>
        <v>0</v>
      </c>
      <c r="AR197" s="30">
        <f t="shared" ref="AR197:AR204" si="120">AF197*$AC$210</f>
        <v>0</v>
      </c>
      <c r="AS197" s="29">
        <f t="shared" ref="AS197:AS204" si="121">AF197-AT197-AR197-AQ197</f>
        <v>0</v>
      </c>
      <c r="AT197" s="10">
        <f t="shared" si="112"/>
        <v>0</v>
      </c>
      <c r="AU197" s="10">
        <f t="shared" ref="AU197:AU204" si="122">AT197*$AC$214</f>
        <v>0</v>
      </c>
      <c r="AV197" s="3"/>
      <c r="AW197" s="53">
        <f t="shared" si="91"/>
        <v>0</v>
      </c>
      <c r="AX197" s="53" t="str">
        <f t="shared" si="92"/>
        <v>0</v>
      </c>
      <c r="AY197" s="95">
        <f t="shared" ref="AY197:AY204" si="123">(I197*J197*H197)/144</f>
        <v>0</v>
      </c>
      <c r="AZ197" s="95">
        <f t="shared" si="93"/>
        <v>0</v>
      </c>
      <c r="BA197" s="36">
        <f t="shared" ref="BA197:BA204" si="124">H197</f>
        <v>0</v>
      </c>
      <c r="BB197" s="2"/>
      <c r="BC197" s="53">
        <f t="shared" si="94"/>
        <v>0</v>
      </c>
      <c r="BD197" s="53" t="str">
        <f t="shared" ref="BD197:BD204" si="125">IF($V$3="Yes",(BC197*0.4),"0")</f>
        <v>0</v>
      </c>
      <c r="BE197" s="95">
        <f t="shared" ref="BE197:BE204" si="126">IF(W197="Yes",((I197*J197*H197)/144),0)</f>
        <v>0</v>
      </c>
      <c r="BF197" s="95">
        <f t="shared" si="95"/>
        <v>0</v>
      </c>
      <c r="BG197" s="36" t="str">
        <f t="shared" ref="BG197:BG204" si="127">IF(W197="Yes",H197,"0")</f>
        <v>0</v>
      </c>
    </row>
    <row r="198" spans="1:59" ht="10.95" hidden="1" customHeight="1" x14ac:dyDescent="0.3">
      <c r="A198" s="15">
        <v>194</v>
      </c>
      <c r="B198" s="15"/>
      <c r="C198" s="143"/>
      <c r="D198" s="144"/>
      <c r="E198" s="15"/>
      <c r="F198" s="143"/>
      <c r="G198" s="147"/>
      <c r="H198" s="52"/>
      <c r="I198" s="14"/>
      <c r="J198" s="36"/>
      <c r="K198" s="36"/>
      <c r="L198" s="13"/>
      <c r="M198" s="56"/>
      <c r="N198" s="145"/>
      <c r="O198" s="146"/>
      <c r="P198" s="57"/>
      <c r="Q198" s="36"/>
      <c r="R198" s="36"/>
      <c r="S198" s="36"/>
      <c r="T198" s="36"/>
      <c r="U198" s="36"/>
      <c r="V198" s="36"/>
      <c r="W198" s="36" t="s">
        <v>151</v>
      </c>
      <c r="X198" s="143"/>
      <c r="Y198" s="144"/>
      <c r="Z198" s="147"/>
      <c r="AA198" s="12"/>
      <c r="AB198" s="89"/>
      <c r="AC198" s="89"/>
      <c r="AD198" s="76"/>
      <c r="AE198" s="75"/>
      <c r="AF198" s="11">
        <f t="shared" si="113"/>
        <v>0</v>
      </c>
      <c r="AJ198" s="127">
        <f t="shared" si="114"/>
        <v>0</v>
      </c>
      <c r="AL198" s="53">
        <f t="shared" si="115"/>
        <v>0</v>
      </c>
      <c r="AM198" s="53">
        <f t="shared" si="116"/>
        <v>0</v>
      </c>
      <c r="AN198" s="53">
        <f t="shared" si="111"/>
        <v>0</v>
      </c>
      <c r="AO198" s="90">
        <f t="shared" si="117"/>
        <v>0</v>
      </c>
      <c r="AP198" s="90">
        <f t="shared" si="118"/>
        <v>0</v>
      </c>
      <c r="AQ198" s="29">
        <f t="shared" si="119"/>
        <v>0</v>
      </c>
      <c r="AR198" s="30">
        <f t="shared" si="120"/>
        <v>0</v>
      </c>
      <c r="AS198" s="29">
        <f t="shared" si="121"/>
        <v>0</v>
      </c>
      <c r="AT198" s="10">
        <f t="shared" si="112"/>
        <v>0</v>
      </c>
      <c r="AU198" s="10">
        <f t="shared" si="122"/>
        <v>0</v>
      </c>
      <c r="AV198" s="3"/>
      <c r="AW198" s="53">
        <f t="shared" ref="AW198:AW204" si="128">IF($X$3="No",((AB198*BA198)/60)*$AH$5,((AB198*BA198)/60)*$AH$11)</f>
        <v>0</v>
      </c>
      <c r="AX198" s="53" t="str">
        <f t="shared" ref="AX198:AX204" si="129">IF($V$3="Yes",((AW198+AN198+AO198)*0.4),"0")</f>
        <v>0</v>
      </c>
      <c r="AY198" s="95">
        <f t="shared" si="123"/>
        <v>0</v>
      </c>
      <c r="AZ198" s="95">
        <f t="shared" ref="AZ198:AZ204" si="130">IF($X$3="No",((AN198+AW198+AO198)/$AH$5),((AN198+AW198+AO198)/$AH$11))</f>
        <v>0</v>
      </c>
      <c r="BA198" s="36">
        <f t="shared" si="124"/>
        <v>0</v>
      </c>
      <c r="BB198" s="2"/>
      <c r="BC198" s="53">
        <f t="shared" ref="BC198:BC204" si="131">IF($X$3="No",((((AC198)*BG198)/60)*$AH$5),((((AC198)*BG198)/60)*$AH$11))</f>
        <v>0</v>
      </c>
      <c r="BD198" s="53" t="str">
        <f t="shared" si="125"/>
        <v>0</v>
      </c>
      <c r="BE198" s="95">
        <f t="shared" si="126"/>
        <v>0</v>
      </c>
      <c r="BF198" s="95">
        <f t="shared" ref="BF198:BF204" si="132">IF($X$3="No",(BC198/$AH$5),(BC198/$AH$11))</f>
        <v>0</v>
      </c>
      <c r="BG198" s="36" t="str">
        <f t="shared" si="127"/>
        <v>0</v>
      </c>
    </row>
    <row r="199" spans="1:59" ht="10.95" hidden="1" customHeight="1" x14ac:dyDescent="0.3">
      <c r="A199" s="15">
        <v>195</v>
      </c>
      <c r="B199" s="15"/>
      <c r="C199" s="143"/>
      <c r="D199" s="144"/>
      <c r="E199" s="15"/>
      <c r="F199" s="143"/>
      <c r="G199" s="147"/>
      <c r="H199" s="52"/>
      <c r="I199" s="14"/>
      <c r="J199" s="36"/>
      <c r="K199" s="36"/>
      <c r="L199" s="13"/>
      <c r="M199" s="56"/>
      <c r="N199" s="145"/>
      <c r="O199" s="146"/>
      <c r="P199" s="57"/>
      <c r="Q199" s="36"/>
      <c r="R199" s="36"/>
      <c r="S199" s="36"/>
      <c r="T199" s="36"/>
      <c r="U199" s="36"/>
      <c r="V199" s="36"/>
      <c r="W199" s="36" t="s">
        <v>151</v>
      </c>
      <c r="X199" s="143"/>
      <c r="Y199" s="144"/>
      <c r="Z199" s="147"/>
      <c r="AA199" s="12"/>
      <c r="AB199" s="89"/>
      <c r="AC199" s="89"/>
      <c r="AD199" s="76"/>
      <c r="AE199" s="75"/>
      <c r="AF199" s="11">
        <f t="shared" si="113"/>
        <v>0</v>
      </c>
      <c r="AJ199" s="127">
        <f t="shared" si="114"/>
        <v>0</v>
      </c>
      <c r="AL199" s="53">
        <f t="shared" si="115"/>
        <v>0</v>
      </c>
      <c r="AM199" s="53">
        <f t="shared" si="116"/>
        <v>0</v>
      </c>
      <c r="AN199" s="53">
        <f t="shared" si="111"/>
        <v>0</v>
      </c>
      <c r="AO199" s="90">
        <f t="shared" si="117"/>
        <v>0</v>
      </c>
      <c r="AP199" s="90">
        <f t="shared" si="118"/>
        <v>0</v>
      </c>
      <c r="AQ199" s="29">
        <f t="shared" si="119"/>
        <v>0</v>
      </c>
      <c r="AR199" s="30">
        <f t="shared" si="120"/>
        <v>0</v>
      </c>
      <c r="AS199" s="29">
        <f t="shared" si="121"/>
        <v>0</v>
      </c>
      <c r="AT199" s="10">
        <f t="shared" si="112"/>
        <v>0</v>
      </c>
      <c r="AU199" s="10">
        <f t="shared" si="122"/>
        <v>0</v>
      </c>
      <c r="AV199" s="3"/>
      <c r="AW199" s="53">
        <f t="shared" si="128"/>
        <v>0</v>
      </c>
      <c r="AX199" s="53" t="str">
        <f t="shared" si="129"/>
        <v>0</v>
      </c>
      <c r="AY199" s="95">
        <f t="shared" si="123"/>
        <v>0</v>
      </c>
      <c r="AZ199" s="95">
        <f t="shared" si="130"/>
        <v>0</v>
      </c>
      <c r="BA199" s="36">
        <f t="shared" si="124"/>
        <v>0</v>
      </c>
      <c r="BB199" s="2"/>
      <c r="BC199" s="53">
        <f t="shared" si="131"/>
        <v>0</v>
      </c>
      <c r="BD199" s="53" t="str">
        <f t="shared" si="125"/>
        <v>0</v>
      </c>
      <c r="BE199" s="95">
        <f t="shared" si="126"/>
        <v>0</v>
      </c>
      <c r="BF199" s="95">
        <f t="shared" si="132"/>
        <v>0</v>
      </c>
      <c r="BG199" s="36" t="str">
        <f t="shared" si="127"/>
        <v>0</v>
      </c>
    </row>
    <row r="200" spans="1:59" ht="10.95" hidden="1" customHeight="1" x14ac:dyDescent="0.3">
      <c r="A200" s="15">
        <v>196</v>
      </c>
      <c r="B200" s="15"/>
      <c r="C200" s="143"/>
      <c r="D200" s="144"/>
      <c r="E200" s="15"/>
      <c r="F200" s="143"/>
      <c r="G200" s="147"/>
      <c r="H200" s="52"/>
      <c r="I200" s="14"/>
      <c r="J200" s="36"/>
      <c r="K200" s="36"/>
      <c r="L200" s="13"/>
      <c r="M200" s="56"/>
      <c r="N200" s="145"/>
      <c r="O200" s="146"/>
      <c r="P200" s="57"/>
      <c r="Q200" s="36"/>
      <c r="R200" s="36"/>
      <c r="S200" s="36"/>
      <c r="T200" s="36"/>
      <c r="U200" s="36"/>
      <c r="V200" s="36"/>
      <c r="W200" s="36" t="s">
        <v>151</v>
      </c>
      <c r="X200" s="143"/>
      <c r="Y200" s="144"/>
      <c r="Z200" s="147"/>
      <c r="AA200" s="12"/>
      <c r="AB200" s="89"/>
      <c r="AC200" s="89"/>
      <c r="AD200" s="76"/>
      <c r="AE200" s="75"/>
      <c r="AF200" s="11">
        <f t="shared" si="113"/>
        <v>0</v>
      </c>
      <c r="AJ200" s="127">
        <f t="shared" si="114"/>
        <v>0</v>
      </c>
      <c r="AL200" s="53">
        <f t="shared" si="115"/>
        <v>0</v>
      </c>
      <c r="AM200" s="53">
        <f t="shared" si="116"/>
        <v>0</v>
      </c>
      <c r="AN200" s="53">
        <f t="shared" si="111"/>
        <v>0</v>
      </c>
      <c r="AO200" s="90">
        <f t="shared" si="117"/>
        <v>0</v>
      </c>
      <c r="AP200" s="90">
        <f t="shared" si="118"/>
        <v>0</v>
      </c>
      <c r="AQ200" s="29">
        <f t="shared" si="119"/>
        <v>0</v>
      </c>
      <c r="AR200" s="30">
        <f t="shared" si="120"/>
        <v>0</v>
      </c>
      <c r="AS200" s="29">
        <f t="shared" si="121"/>
        <v>0</v>
      </c>
      <c r="AT200" s="10">
        <f t="shared" si="112"/>
        <v>0</v>
      </c>
      <c r="AU200" s="10">
        <f t="shared" si="122"/>
        <v>0</v>
      </c>
      <c r="AV200" s="3"/>
      <c r="AW200" s="53">
        <f t="shared" si="128"/>
        <v>0</v>
      </c>
      <c r="AX200" s="53" t="str">
        <f t="shared" si="129"/>
        <v>0</v>
      </c>
      <c r="AY200" s="95">
        <f t="shared" si="123"/>
        <v>0</v>
      </c>
      <c r="AZ200" s="95">
        <f t="shared" si="130"/>
        <v>0</v>
      </c>
      <c r="BA200" s="36">
        <f t="shared" si="124"/>
        <v>0</v>
      </c>
      <c r="BB200" s="2"/>
      <c r="BC200" s="53">
        <f t="shared" si="131"/>
        <v>0</v>
      </c>
      <c r="BD200" s="53" t="str">
        <f t="shared" si="125"/>
        <v>0</v>
      </c>
      <c r="BE200" s="95">
        <f t="shared" si="126"/>
        <v>0</v>
      </c>
      <c r="BF200" s="95">
        <f t="shared" si="132"/>
        <v>0</v>
      </c>
      <c r="BG200" s="36" t="str">
        <f t="shared" si="127"/>
        <v>0</v>
      </c>
    </row>
    <row r="201" spans="1:59" ht="10.95" hidden="1" customHeight="1" x14ac:dyDescent="0.3">
      <c r="A201" s="15">
        <v>197</v>
      </c>
      <c r="B201" s="15"/>
      <c r="C201" s="143"/>
      <c r="D201" s="144"/>
      <c r="E201" s="15"/>
      <c r="F201" s="143"/>
      <c r="G201" s="147"/>
      <c r="H201" s="52"/>
      <c r="I201" s="14"/>
      <c r="J201" s="36"/>
      <c r="K201" s="36"/>
      <c r="L201" s="13"/>
      <c r="M201" s="56"/>
      <c r="N201" s="145"/>
      <c r="O201" s="146"/>
      <c r="P201" s="57"/>
      <c r="Q201" s="36"/>
      <c r="R201" s="36"/>
      <c r="S201" s="36"/>
      <c r="T201" s="36"/>
      <c r="U201" s="36"/>
      <c r="V201" s="36"/>
      <c r="W201" s="36" t="s">
        <v>151</v>
      </c>
      <c r="X201" s="143"/>
      <c r="Y201" s="144"/>
      <c r="Z201" s="147"/>
      <c r="AA201" s="12"/>
      <c r="AB201" s="89"/>
      <c r="AC201" s="89"/>
      <c r="AD201" s="76"/>
      <c r="AE201" s="75"/>
      <c r="AF201" s="11">
        <f t="shared" si="113"/>
        <v>0</v>
      </c>
      <c r="AJ201" s="127">
        <f t="shared" si="114"/>
        <v>0</v>
      </c>
      <c r="AL201" s="53">
        <f t="shared" si="115"/>
        <v>0</v>
      </c>
      <c r="AM201" s="53">
        <f t="shared" si="116"/>
        <v>0</v>
      </c>
      <c r="AN201" s="53">
        <f t="shared" si="111"/>
        <v>0</v>
      </c>
      <c r="AO201" s="90">
        <f t="shared" si="117"/>
        <v>0</v>
      </c>
      <c r="AP201" s="90">
        <f t="shared" si="118"/>
        <v>0</v>
      </c>
      <c r="AQ201" s="29">
        <f t="shared" si="119"/>
        <v>0</v>
      </c>
      <c r="AR201" s="30">
        <f t="shared" si="120"/>
        <v>0</v>
      </c>
      <c r="AS201" s="29">
        <f t="shared" si="121"/>
        <v>0</v>
      </c>
      <c r="AT201" s="10">
        <f t="shared" si="112"/>
        <v>0</v>
      </c>
      <c r="AU201" s="10">
        <f t="shared" si="122"/>
        <v>0</v>
      </c>
      <c r="AV201" s="3"/>
      <c r="AW201" s="53">
        <f t="shared" si="128"/>
        <v>0</v>
      </c>
      <c r="AX201" s="53" t="str">
        <f t="shared" si="129"/>
        <v>0</v>
      </c>
      <c r="AY201" s="95">
        <f t="shared" si="123"/>
        <v>0</v>
      </c>
      <c r="AZ201" s="95">
        <f t="shared" si="130"/>
        <v>0</v>
      </c>
      <c r="BA201" s="36">
        <f t="shared" si="124"/>
        <v>0</v>
      </c>
      <c r="BB201" s="2"/>
      <c r="BC201" s="53">
        <f t="shared" si="131"/>
        <v>0</v>
      </c>
      <c r="BD201" s="53" t="str">
        <f t="shared" si="125"/>
        <v>0</v>
      </c>
      <c r="BE201" s="95">
        <f t="shared" si="126"/>
        <v>0</v>
      </c>
      <c r="BF201" s="95">
        <f t="shared" si="132"/>
        <v>0</v>
      </c>
      <c r="BG201" s="36" t="str">
        <f t="shared" si="127"/>
        <v>0</v>
      </c>
    </row>
    <row r="202" spans="1:59" ht="10.95" hidden="1" customHeight="1" x14ac:dyDescent="0.3">
      <c r="A202" s="15">
        <v>198</v>
      </c>
      <c r="B202" s="15"/>
      <c r="C202" s="143"/>
      <c r="D202" s="144"/>
      <c r="E202" s="15"/>
      <c r="F202" s="143"/>
      <c r="G202" s="147"/>
      <c r="H202" s="52"/>
      <c r="I202" s="14"/>
      <c r="J202" s="36"/>
      <c r="K202" s="36"/>
      <c r="L202" s="13"/>
      <c r="M202" s="56"/>
      <c r="N202" s="145"/>
      <c r="O202" s="146"/>
      <c r="P202" s="57"/>
      <c r="Q202" s="36"/>
      <c r="R202" s="36"/>
      <c r="S202" s="36"/>
      <c r="T202" s="36"/>
      <c r="U202" s="36"/>
      <c r="V202" s="36"/>
      <c r="W202" s="36" t="s">
        <v>151</v>
      </c>
      <c r="X202" s="143"/>
      <c r="Y202" s="144"/>
      <c r="Z202" s="147"/>
      <c r="AA202" s="12"/>
      <c r="AB202" s="89"/>
      <c r="AC202" s="89"/>
      <c r="AD202" s="76"/>
      <c r="AE202" s="75"/>
      <c r="AF202" s="11">
        <f t="shared" si="113"/>
        <v>0</v>
      </c>
      <c r="AJ202" s="127">
        <f t="shared" si="114"/>
        <v>0</v>
      </c>
      <c r="AL202" s="53">
        <f t="shared" si="115"/>
        <v>0</v>
      </c>
      <c r="AM202" s="53">
        <f t="shared" si="116"/>
        <v>0</v>
      </c>
      <c r="AN202" s="53">
        <f t="shared" ref="AN202:AN203" si="133">(AD202/60)*$AH$5</f>
        <v>0</v>
      </c>
      <c r="AO202" s="90">
        <f t="shared" si="117"/>
        <v>0</v>
      </c>
      <c r="AP202" s="90">
        <f t="shared" si="118"/>
        <v>0</v>
      </c>
      <c r="AQ202" s="29">
        <f t="shared" si="119"/>
        <v>0</v>
      </c>
      <c r="AR202" s="30">
        <f t="shared" si="120"/>
        <v>0</v>
      </c>
      <c r="AS202" s="29">
        <f t="shared" si="121"/>
        <v>0</v>
      </c>
      <c r="AT202" s="10">
        <f t="shared" ref="AT202:AT203" si="134">SUM(AM202+AW202+AN202+AO202+AP202+BC202+AX202+BD202)</f>
        <v>0</v>
      </c>
      <c r="AU202" s="10">
        <f t="shared" si="122"/>
        <v>0</v>
      </c>
      <c r="AV202" s="3"/>
      <c r="AW202" s="53">
        <f t="shared" si="128"/>
        <v>0</v>
      </c>
      <c r="AX202" s="53" t="str">
        <f t="shared" si="129"/>
        <v>0</v>
      </c>
      <c r="AY202" s="95">
        <f t="shared" si="123"/>
        <v>0</v>
      </c>
      <c r="AZ202" s="95">
        <f t="shared" si="130"/>
        <v>0</v>
      </c>
      <c r="BA202" s="36">
        <f t="shared" si="124"/>
        <v>0</v>
      </c>
      <c r="BB202" s="2"/>
      <c r="BC202" s="53">
        <f t="shared" si="131"/>
        <v>0</v>
      </c>
      <c r="BD202" s="53" t="str">
        <f t="shared" si="125"/>
        <v>0</v>
      </c>
      <c r="BE202" s="95">
        <f t="shared" si="126"/>
        <v>0</v>
      </c>
      <c r="BF202" s="95">
        <f t="shared" si="132"/>
        <v>0</v>
      </c>
      <c r="BG202" s="36" t="str">
        <f t="shared" si="127"/>
        <v>0</v>
      </c>
    </row>
    <row r="203" spans="1:59" ht="10.95" hidden="1" customHeight="1" x14ac:dyDescent="0.3">
      <c r="A203" s="15">
        <v>199</v>
      </c>
      <c r="B203" s="15"/>
      <c r="C203" s="143"/>
      <c r="D203" s="144"/>
      <c r="E203" s="15"/>
      <c r="F203" s="143"/>
      <c r="G203" s="147"/>
      <c r="H203" s="52"/>
      <c r="I203" s="14"/>
      <c r="J203" s="36"/>
      <c r="K203" s="36"/>
      <c r="L203" s="13"/>
      <c r="M203" s="56"/>
      <c r="N203" s="145"/>
      <c r="O203" s="146"/>
      <c r="P203" s="57"/>
      <c r="Q203" s="36"/>
      <c r="R203" s="36"/>
      <c r="S203" s="36"/>
      <c r="T203" s="36"/>
      <c r="U203" s="36"/>
      <c r="V203" s="36"/>
      <c r="W203" s="36" t="s">
        <v>151</v>
      </c>
      <c r="X203" s="143"/>
      <c r="Y203" s="144"/>
      <c r="Z203" s="147"/>
      <c r="AA203" s="12"/>
      <c r="AB203" s="89"/>
      <c r="AC203" s="89"/>
      <c r="AD203" s="76"/>
      <c r="AE203" s="75"/>
      <c r="AF203" s="11">
        <f t="shared" si="113"/>
        <v>0</v>
      </c>
      <c r="AJ203" s="127">
        <f t="shared" si="114"/>
        <v>0</v>
      </c>
      <c r="AL203" s="53">
        <f t="shared" si="115"/>
        <v>0</v>
      </c>
      <c r="AM203" s="53">
        <f t="shared" si="116"/>
        <v>0</v>
      </c>
      <c r="AN203" s="53">
        <f t="shared" si="133"/>
        <v>0</v>
      </c>
      <c r="AO203" s="90">
        <f t="shared" si="117"/>
        <v>0</v>
      </c>
      <c r="AP203" s="90">
        <f t="shared" si="118"/>
        <v>0</v>
      </c>
      <c r="AQ203" s="29">
        <f t="shared" si="119"/>
        <v>0</v>
      </c>
      <c r="AR203" s="30">
        <f t="shared" si="120"/>
        <v>0</v>
      </c>
      <c r="AS203" s="29">
        <f t="shared" si="121"/>
        <v>0</v>
      </c>
      <c r="AT203" s="10">
        <f t="shared" si="134"/>
        <v>0</v>
      </c>
      <c r="AU203" s="10">
        <f t="shared" si="122"/>
        <v>0</v>
      </c>
      <c r="AV203" s="3"/>
      <c r="AW203" s="53">
        <f t="shared" si="128"/>
        <v>0</v>
      </c>
      <c r="AX203" s="53" t="str">
        <f t="shared" si="129"/>
        <v>0</v>
      </c>
      <c r="AY203" s="95">
        <f t="shared" si="123"/>
        <v>0</v>
      </c>
      <c r="AZ203" s="95">
        <f t="shared" si="130"/>
        <v>0</v>
      </c>
      <c r="BA203" s="36">
        <f t="shared" si="124"/>
        <v>0</v>
      </c>
      <c r="BB203" s="2"/>
      <c r="BC203" s="53">
        <f t="shared" si="131"/>
        <v>0</v>
      </c>
      <c r="BD203" s="53" t="str">
        <f t="shared" si="125"/>
        <v>0</v>
      </c>
      <c r="BE203" s="95">
        <f t="shared" si="126"/>
        <v>0</v>
      </c>
      <c r="BF203" s="95">
        <f t="shared" si="132"/>
        <v>0</v>
      </c>
      <c r="BG203" s="36" t="str">
        <f t="shared" si="127"/>
        <v>0</v>
      </c>
    </row>
    <row r="204" spans="1:59" ht="12" hidden="1" thickBot="1" x14ac:dyDescent="0.35">
      <c r="A204" s="15">
        <v>200</v>
      </c>
      <c r="B204" s="15"/>
      <c r="C204" s="143"/>
      <c r="D204" s="144"/>
      <c r="E204" s="15"/>
      <c r="F204" s="143"/>
      <c r="G204" s="147"/>
      <c r="H204" s="52"/>
      <c r="I204" s="14"/>
      <c r="J204" s="36"/>
      <c r="K204" s="36"/>
      <c r="L204" s="13"/>
      <c r="M204" s="56"/>
      <c r="N204" s="145"/>
      <c r="O204" s="146"/>
      <c r="P204" s="57"/>
      <c r="Q204" s="36"/>
      <c r="R204" s="36"/>
      <c r="S204" s="36"/>
      <c r="T204" s="36"/>
      <c r="U204" s="36"/>
      <c r="V204" s="36"/>
      <c r="W204" s="36" t="s">
        <v>151</v>
      </c>
      <c r="X204" s="143"/>
      <c r="Y204" s="144"/>
      <c r="Z204" s="147"/>
      <c r="AA204" s="12"/>
      <c r="AB204" s="89"/>
      <c r="AC204" s="89"/>
      <c r="AD204" s="76"/>
      <c r="AE204" s="75"/>
      <c r="AF204" s="26">
        <f t="shared" si="113"/>
        <v>0</v>
      </c>
      <c r="AJ204" s="127">
        <f t="shared" si="114"/>
        <v>0</v>
      </c>
      <c r="AL204" s="53">
        <f t="shared" si="115"/>
        <v>0</v>
      </c>
      <c r="AM204" s="53">
        <f t="shared" si="116"/>
        <v>0</v>
      </c>
      <c r="AN204" s="53">
        <f t="shared" si="15"/>
        <v>0</v>
      </c>
      <c r="AO204" s="90">
        <f t="shared" si="117"/>
        <v>0</v>
      </c>
      <c r="AP204" s="90">
        <f t="shared" si="118"/>
        <v>0</v>
      </c>
      <c r="AQ204" s="29">
        <f t="shared" si="119"/>
        <v>0</v>
      </c>
      <c r="AR204" s="30">
        <f t="shared" si="120"/>
        <v>0</v>
      </c>
      <c r="AS204" s="29">
        <f t="shared" si="121"/>
        <v>0</v>
      </c>
      <c r="AT204" s="10">
        <f t="shared" si="16"/>
        <v>0</v>
      </c>
      <c r="AU204" s="10">
        <f t="shared" si="122"/>
        <v>0</v>
      </c>
      <c r="AV204" s="3"/>
      <c r="AW204" s="53">
        <f t="shared" si="128"/>
        <v>0</v>
      </c>
      <c r="AX204" s="53" t="str">
        <f t="shared" si="129"/>
        <v>0</v>
      </c>
      <c r="AY204" s="95">
        <f t="shared" si="123"/>
        <v>0</v>
      </c>
      <c r="AZ204" s="95">
        <f t="shared" si="130"/>
        <v>0</v>
      </c>
      <c r="BA204" s="36">
        <f t="shared" si="124"/>
        <v>0</v>
      </c>
      <c r="BB204" s="2"/>
      <c r="BC204" s="53">
        <f t="shared" si="131"/>
        <v>0</v>
      </c>
      <c r="BD204" s="53" t="str">
        <f t="shared" si="125"/>
        <v>0</v>
      </c>
      <c r="BE204" s="95">
        <f t="shared" si="126"/>
        <v>0</v>
      </c>
      <c r="BF204" s="95">
        <f t="shared" si="132"/>
        <v>0</v>
      </c>
      <c r="BG204" s="36" t="str">
        <f t="shared" si="127"/>
        <v>0</v>
      </c>
    </row>
    <row r="205" spans="1:59" ht="10.95" customHeight="1" x14ac:dyDescent="0.3">
      <c r="A205" s="96"/>
      <c r="B205" s="84"/>
      <c r="C205" s="84"/>
      <c r="D205" s="84"/>
      <c r="E205" s="96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97"/>
      <c r="AA205" s="238" t="s">
        <v>5</v>
      </c>
      <c r="AB205" s="239"/>
      <c r="AC205" s="94">
        <f>SUM(AM5:AM204)</f>
        <v>0</v>
      </c>
      <c r="AD205" s="37" t="s">
        <v>4</v>
      </c>
      <c r="AE205" s="236" cm="1">
        <f t="array" ref="AE205">SUM(AN5:AN204+AO5:AO204+AP5:AP204+AW5:AW204+BC5:BC204+AX5:AX204+BD5:BD204)</f>
        <v>0</v>
      </c>
      <c r="AF205" s="237"/>
      <c r="AQ205" s="3"/>
      <c r="AR205" s="3"/>
      <c r="AS205" s="3"/>
      <c r="AT205" s="3"/>
      <c r="AU205" s="3"/>
      <c r="AV205" s="3"/>
    </row>
    <row r="206" spans="1:59" ht="10.95" customHeight="1" x14ac:dyDescent="0.3">
      <c r="A206" s="91"/>
      <c r="B206" s="85"/>
      <c r="C206" s="85"/>
      <c r="D206" s="85"/>
      <c r="E206" s="91"/>
      <c r="F206" s="85"/>
      <c r="G206" s="85"/>
      <c r="H206" s="85"/>
      <c r="I206" s="85"/>
      <c r="J206" s="85"/>
      <c r="K206" s="85"/>
      <c r="L206" s="85"/>
      <c r="M206" s="85"/>
      <c r="N206" s="85"/>
      <c r="O206" s="85"/>
      <c r="P206" s="85"/>
      <c r="Q206" s="85"/>
      <c r="R206" s="85"/>
      <c r="S206" s="85"/>
      <c r="T206" s="85"/>
      <c r="U206" s="85"/>
      <c r="V206" s="85"/>
      <c r="W206" s="72"/>
      <c r="X206" s="85"/>
      <c r="Y206" s="85"/>
      <c r="Z206" s="109"/>
      <c r="AA206" s="200" t="s">
        <v>76</v>
      </c>
      <c r="AB206" s="201"/>
      <c r="AC206" s="196">
        <f>IFERROR((AE206/AE214),0)</f>
        <v>0</v>
      </c>
      <c r="AD206" s="228" t="s">
        <v>72</v>
      </c>
      <c r="AE206" s="232">
        <f>SUM(AE205,AC205)</f>
        <v>0</v>
      </c>
      <c r="AF206" s="233"/>
      <c r="AQ206" s="3"/>
      <c r="AR206" s="3"/>
      <c r="AS206" s="3"/>
      <c r="AT206" s="3"/>
      <c r="AU206" s="3"/>
      <c r="AV206" s="3"/>
    </row>
    <row r="207" spans="1:59" ht="10.95" customHeight="1" x14ac:dyDescent="0.3">
      <c r="A207" s="110"/>
      <c r="B207" s="99"/>
      <c r="C207" s="99"/>
      <c r="D207" s="249" t="s">
        <v>66</v>
      </c>
      <c r="E207" s="250"/>
      <c r="F207" s="251"/>
      <c r="G207" s="246"/>
      <c r="H207" s="247"/>
      <c r="I207" s="248"/>
      <c r="J207" s="246"/>
      <c r="K207" s="247"/>
      <c r="L207" s="247"/>
      <c r="M207" s="247"/>
      <c r="N207" s="247"/>
      <c r="O207" s="247"/>
      <c r="P207" s="248"/>
      <c r="Q207" s="54">
        <v>0</v>
      </c>
      <c r="R207" s="43" t="s">
        <v>3</v>
      </c>
      <c r="S207" s="49" t="s">
        <v>87</v>
      </c>
      <c r="T207" s="45">
        <f>BJ5</f>
        <v>0</v>
      </c>
      <c r="U207" s="46">
        <f>IFERROR((W207/W210),0)</f>
        <v>0</v>
      </c>
      <c r="V207" s="44" t="s">
        <v>91</v>
      </c>
      <c r="W207" s="45">
        <f>BL5</f>
        <v>0</v>
      </c>
      <c r="X207" s="82"/>
      <c r="Y207" s="82"/>
      <c r="Z207" s="111"/>
      <c r="AA207" s="202"/>
      <c r="AB207" s="203"/>
      <c r="AC207" s="197"/>
      <c r="AD207" s="229"/>
      <c r="AE207" s="234"/>
      <c r="AF207" s="235"/>
      <c r="AQ207" s="20"/>
      <c r="AR207" s="20"/>
      <c r="AS207" s="20"/>
      <c r="AT207" s="20"/>
      <c r="AU207" s="20"/>
      <c r="AV207" s="20"/>
    </row>
    <row r="208" spans="1:59" ht="10.95" customHeight="1" x14ac:dyDescent="0.3">
      <c r="A208" s="110"/>
      <c r="B208" s="99"/>
      <c r="C208" s="99"/>
      <c r="D208" s="252"/>
      <c r="E208" s="253"/>
      <c r="F208" s="254"/>
      <c r="G208" s="240"/>
      <c r="H208" s="241"/>
      <c r="I208" s="242"/>
      <c r="J208" s="240"/>
      <c r="K208" s="241"/>
      <c r="L208" s="241"/>
      <c r="M208" s="241"/>
      <c r="N208" s="241"/>
      <c r="O208" s="241"/>
      <c r="P208" s="242"/>
      <c r="Q208" s="54">
        <v>0</v>
      </c>
      <c r="R208" s="43" t="s">
        <v>84</v>
      </c>
      <c r="S208" s="273" t="s">
        <v>2</v>
      </c>
      <c r="T208" s="265">
        <v>1.18</v>
      </c>
      <c r="U208" s="47">
        <v>0.1</v>
      </c>
      <c r="V208" s="44" t="s">
        <v>90</v>
      </c>
      <c r="W208" s="45">
        <f>W210*U208</f>
        <v>0</v>
      </c>
      <c r="X208" s="82"/>
      <c r="Y208" s="82"/>
      <c r="Z208" s="111"/>
      <c r="AA208" s="204" t="s">
        <v>79</v>
      </c>
      <c r="AB208" s="205"/>
      <c r="AC208" s="198">
        <f>IFERROR((AE208/AE214),0)</f>
        <v>0</v>
      </c>
      <c r="AD208" s="230" t="s">
        <v>77</v>
      </c>
      <c r="AE208" s="214">
        <f>SUM(AQ5:AQ204)</f>
        <v>0</v>
      </c>
      <c r="AF208" s="215"/>
      <c r="AQ208" s="20"/>
      <c r="AR208" s="20"/>
      <c r="AS208" s="20"/>
      <c r="AT208" s="20"/>
      <c r="AU208" s="20"/>
      <c r="AV208" s="20"/>
    </row>
    <row r="209" spans="1:56" ht="10.95" customHeight="1" x14ac:dyDescent="0.3">
      <c r="A209" s="110"/>
      <c r="B209" s="99"/>
      <c r="C209" s="99"/>
      <c r="D209" s="252"/>
      <c r="E209" s="253"/>
      <c r="F209" s="254"/>
      <c r="G209" s="240"/>
      <c r="H209" s="241"/>
      <c r="I209" s="242"/>
      <c r="J209" s="240"/>
      <c r="K209" s="241"/>
      <c r="L209" s="241"/>
      <c r="M209" s="241"/>
      <c r="N209" s="241"/>
      <c r="O209" s="241"/>
      <c r="P209" s="242"/>
      <c r="Q209" s="54">
        <v>0</v>
      </c>
      <c r="R209" s="43" t="s">
        <v>84</v>
      </c>
      <c r="S209" s="274"/>
      <c r="T209" s="266"/>
      <c r="U209" s="48">
        <f>IFERROR(W209/W210,0)</f>
        <v>0</v>
      </c>
      <c r="V209" s="44" t="s">
        <v>1</v>
      </c>
      <c r="W209" s="45">
        <f>W210-T207-W207-W208</f>
        <v>0</v>
      </c>
      <c r="X209" s="82"/>
      <c r="Y209" s="82"/>
      <c r="Z209" s="111"/>
      <c r="AA209" s="206"/>
      <c r="AB209" s="207"/>
      <c r="AC209" s="199"/>
      <c r="AD209" s="231"/>
      <c r="AE209" s="216"/>
      <c r="AF209" s="217"/>
      <c r="AQ209" s="21"/>
      <c r="AR209" s="21"/>
      <c r="AS209" s="21"/>
      <c r="AT209" s="21"/>
      <c r="AU209" s="21"/>
      <c r="AV209" s="21"/>
    </row>
    <row r="210" spans="1:56" ht="10.95" customHeight="1" x14ac:dyDescent="0.3">
      <c r="A210" s="110"/>
      <c r="B210" s="99"/>
      <c r="C210" s="99"/>
      <c r="D210" s="252"/>
      <c r="E210" s="253"/>
      <c r="F210" s="254"/>
      <c r="G210" s="240"/>
      <c r="H210" s="241"/>
      <c r="I210" s="242"/>
      <c r="J210" s="240"/>
      <c r="K210" s="241"/>
      <c r="L210" s="241"/>
      <c r="M210" s="241"/>
      <c r="N210" s="241"/>
      <c r="O210" s="241"/>
      <c r="P210" s="242"/>
      <c r="Q210" s="130">
        <v>0</v>
      </c>
      <c r="R210" s="43" t="s">
        <v>185</v>
      </c>
      <c r="S210" s="261"/>
      <c r="T210" s="262"/>
      <c r="U210" s="267" t="s">
        <v>75</v>
      </c>
      <c r="V210" s="272"/>
      <c r="W210" s="58">
        <f>SUM(BJ5:BK5)</f>
        <v>0</v>
      </c>
      <c r="X210" s="82"/>
      <c r="Y210" s="82"/>
      <c r="Z210" s="111"/>
      <c r="AA210" s="204" t="s">
        <v>80</v>
      </c>
      <c r="AB210" s="205"/>
      <c r="AC210" s="196">
        <v>0.1</v>
      </c>
      <c r="AD210" s="230" t="s">
        <v>78</v>
      </c>
      <c r="AE210" s="214">
        <f>SUM(AR5:AR204)</f>
        <v>0</v>
      </c>
      <c r="AF210" s="215"/>
      <c r="AQ210" s="21"/>
      <c r="AR210" s="21"/>
      <c r="AS210" s="21"/>
      <c r="AT210" s="21"/>
      <c r="AU210" s="21"/>
      <c r="AV210" s="21"/>
    </row>
    <row r="211" spans="1:56" ht="10.95" customHeight="1" x14ac:dyDescent="0.3">
      <c r="A211" s="110"/>
      <c r="B211" s="99"/>
      <c r="C211" s="99"/>
      <c r="D211" s="255"/>
      <c r="E211" s="256"/>
      <c r="F211" s="257"/>
      <c r="G211" s="243"/>
      <c r="H211" s="244"/>
      <c r="I211" s="245"/>
      <c r="J211" s="243"/>
      <c r="K211" s="244"/>
      <c r="L211" s="244"/>
      <c r="M211" s="244"/>
      <c r="N211" s="244"/>
      <c r="O211" s="244"/>
      <c r="P211" s="245"/>
      <c r="Q211" s="130">
        <v>0</v>
      </c>
      <c r="R211" s="43" t="s">
        <v>185</v>
      </c>
      <c r="S211" s="263"/>
      <c r="T211" s="264"/>
      <c r="U211" s="267" t="s">
        <v>85</v>
      </c>
      <c r="V211" s="272"/>
      <c r="W211" s="59"/>
      <c r="X211" s="82"/>
      <c r="Y211" s="82"/>
      <c r="Z211" s="111"/>
      <c r="AA211" s="206"/>
      <c r="AB211" s="207"/>
      <c r="AC211" s="197"/>
      <c r="AD211" s="231"/>
      <c r="AE211" s="216"/>
      <c r="AF211" s="217"/>
      <c r="AQ211" s="21"/>
      <c r="AR211" s="21"/>
      <c r="AS211" s="21"/>
      <c r="AT211" s="21"/>
      <c r="AU211" s="21"/>
      <c r="AV211" s="21"/>
    </row>
    <row r="212" spans="1:56" ht="10.95" customHeight="1" x14ac:dyDescent="0.3">
      <c r="A212" s="112"/>
      <c r="B212" s="98"/>
      <c r="C212" s="98"/>
      <c r="D212" s="98"/>
      <c r="E212" s="112"/>
      <c r="F212" s="83"/>
      <c r="G212" s="83"/>
      <c r="H212" s="83"/>
      <c r="I212" s="83"/>
      <c r="J212" s="83"/>
      <c r="K212" s="83"/>
      <c r="L212" s="83"/>
      <c r="M212" s="83"/>
      <c r="N212" s="83"/>
      <c r="O212" s="83"/>
      <c r="P212" s="83"/>
      <c r="Q212" s="83"/>
      <c r="R212" s="83"/>
      <c r="S212" s="83"/>
      <c r="T212" s="83"/>
      <c r="U212" s="83"/>
      <c r="V212" s="83"/>
      <c r="W212" s="83"/>
      <c r="X212" s="83"/>
      <c r="Y212" s="83"/>
      <c r="Z212" s="113"/>
      <c r="AA212" s="204" t="s">
        <v>81</v>
      </c>
      <c r="AB212" s="205"/>
      <c r="AC212" s="194">
        <f>IFERROR(AE212/AE214,0)</f>
        <v>0</v>
      </c>
      <c r="AD212" s="230" t="s">
        <v>73</v>
      </c>
      <c r="AE212" s="214">
        <f>SUM(AS5:AS204)</f>
        <v>0</v>
      </c>
      <c r="AF212" s="215"/>
      <c r="AQ212" s="21"/>
      <c r="AR212" s="21"/>
      <c r="AS212" s="21"/>
      <c r="AT212" s="21"/>
      <c r="AU212" s="21"/>
      <c r="AV212" s="21"/>
    </row>
    <row r="213" spans="1:56" ht="10.95" customHeight="1" x14ac:dyDescent="0.3">
      <c r="A213" s="112"/>
      <c r="B213" s="98"/>
      <c r="C213" s="98"/>
      <c r="D213" s="249" t="s">
        <v>67</v>
      </c>
      <c r="E213" s="250"/>
      <c r="F213" s="251"/>
      <c r="G213" s="246"/>
      <c r="H213" s="247"/>
      <c r="I213" s="248"/>
      <c r="J213" s="246"/>
      <c r="K213" s="247"/>
      <c r="L213" s="247"/>
      <c r="M213" s="247"/>
      <c r="N213" s="247"/>
      <c r="O213" s="247"/>
      <c r="P213" s="270"/>
      <c r="Q213" s="34">
        <v>0</v>
      </c>
      <c r="R213" s="31" t="s">
        <v>3</v>
      </c>
      <c r="S213" s="49" t="s">
        <v>87</v>
      </c>
      <c r="T213" s="50">
        <f>BJ6</f>
        <v>0</v>
      </c>
      <c r="U213" s="46">
        <f>IFERROR((W213/W216),0)</f>
        <v>0</v>
      </c>
      <c r="V213" s="42" t="s">
        <v>91</v>
      </c>
      <c r="W213" s="45">
        <f>BL6</f>
        <v>0</v>
      </c>
      <c r="X213" s="83"/>
      <c r="Y213" s="83"/>
      <c r="Z213" s="113"/>
      <c r="AA213" s="206"/>
      <c r="AB213" s="207"/>
      <c r="AC213" s="195"/>
      <c r="AD213" s="231"/>
      <c r="AE213" s="216"/>
      <c r="AF213" s="217"/>
      <c r="AQ213" s="21"/>
      <c r="AR213" s="21"/>
      <c r="AS213" s="21"/>
      <c r="AT213" s="21"/>
      <c r="AU213" s="21"/>
      <c r="AV213" s="21"/>
    </row>
    <row r="214" spans="1:56" ht="10.95" customHeight="1" x14ac:dyDescent="0.3">
      <c r="A214" s="110"/>
      <c r="B214" s="99"/>
      <c r="C214" s="99"/>
      <c r="D214" s="252"/>
      <c r="E214" s="253"/>
      <c r="F214" s="254"/>
      <c r="G214" s="240"/>
      <c r="H214" s="241"/>
      <c r="I214" s="242"/>
      <c r="J214" s="240"/>
      <c r="K214" s="241"/>
      <c r="L214" s="241"/>
      <c r="M214" s="241"/>
      <c r="N214" s="241"/>
      <c r="O214" s="241"/>
      <c r="P214" s="271"/>
      <c r="Q214" s="34">
        <v>0</v>
      </c>
      <c r="R214" s="39" t="s">
        <v>84</v>
      </c>
      <c r="S214" s="259" t="s">
        <v>2</v>
      </c>
      <c r="T214" s="265">
        <v>2</v>
      </c>
      <c r="U214" s="35">
        <v>0.1</v>
      </c>
      <c r="V214" s="42" t="s">
        <v>90</v>
      </c>
      <c r="W214" s="60">
        <f>W216*U214</f>
        <v>0</v>
      </c>
      <c r="X214" s="82"/>
      <c r="Y214" s="82"/>
      <c r="Z214" s="111"/>
      <c r="AA214" s="204" t="s">
        <v>2</v>
      </c>
      <c r="AB214" s="205"/>
      <c r="AC214" s="191">
        <v>0.8</v>
      </c>
      <c r="AD214" s="38" t="s">
        <v>74</v>
      </c>
      <c r="AE214" s="218">
        <f>SUM(AE206+AE208+AE210+AE212)</f>
        <v>0</v>
      </c>
      <c r="AF214" s="219"/>
      <c r="AQ214" s="21"/>
      <c r="AR214" s="21"/>
      <c r="AS214" s="21"/>
      <c r="AT214" s="21"/>
      <c r="AU214" s="21"/>
      <c r="AV214" s="21"/>
    </row>
    <row r="215" spans="1:56" ht="10.95" customHeight="1" x14ac:dyDescent="0.3">
      <c r="A215" s="110"/>
      <c r="B215" s="99"/>
      <c r="C215" s="99"/>
      <c r="D215" s="252"/>
      <c r="E215" s="253"/>
      <c r="F215" s="254"/>
      <c r="G215" s="240"/>
      <c r="H215" s="241"/>
      <c r="I215" s="242"/>
      <c r="J215" s="240"/>
      <c r="K215" s="241"/>
      <c r="L215" s="241"/>
      <c r="M215" s="241"/>
      <c r="N215" s="241"/>
      <c r="O215" s="241"/>
      <c r="P215" s="271"/>
      <c r="Q215" s="34">
        <v>0</v>
      </c>
      <c r="R215" s="43" t="s">
        <v>84</v>
      </c>
      <c r="S215" s="260"/>
      <c r="T215" s="266"/>
      <c r="U215" s="25">
        <f>IFERROR(W215/W216,0)</f>
        <v>0</v>
      </c>
      <c r="V215" s="42" t="s">
        <v>1</v>
      </c>
      <c r="W215" s="60">
        <f>W216-T213-W213-W214</f>
        <v>0</v>
      </c>
      <c r="X215" s="82"/>
      <c r="Y215" s="82"/>
      <c r="Z215" s="111"/>
      <c r="AA215" s="208"/>
      <c r="AB215" s="209"/>
      <c r="AC215" s="192"/>
      <c r="AD215" s="70" t="s">
        <v>86</v>
      </c>
      <c r="AE215" s="220">
        <f>SUM(BJ9:BJ10)</f>
        <v>0</v>
      </c>
      <c r="AF215" s="221"/>
      <c r="AH215" s="8"/>
      <c r="AI215" s="8"/>
      <c r="AJ215" s="125"/>
      <c r="AQ215" s="22"/>
      <c r="AR215" s="22"/>
      <c r="AS215" s="22"/>
      <c r="AT215" s="22"/>
      <c r="AU215" s="22"/>
      <c r="AV215" s="22"/>
    </row>
    <row r="216" spans="1:56" ht="10.95" customHeight="1" x14ac:dyDescent="0.3">
      <c r="A216" s="110"/>
      <c r="B216" s="99"/>
      <c r="C216" s="99"/>
      <c r="D216" s="252"/>
      <c r="E216" s="253"/>
      <c r="F216" s="254"/>
      <c r="G216" s="240"/>
      <c r="H216" s="241"/>
      <c r="I216" s="242"/>
      <c r="J216" s="240"/>
      <c r="K216" s="241"/>
      <c r="L216" s="241"/>
      <c r="M216" s="241"/>
      <c r="N216" s="241"/>
      <c r="O216" s="241"/>
      <c r="P216" s="271"/>
      <c r="Q216" s="130">
        <v>0</v>
      </c>
      <c r="R216" s="43" t="s">
        <v>185</v>
      </c>
      <c r="S216" s="261"/>
      <c r="T216" s="262"/>
      <c r="U216" s="267" t="s">
        <v>75</v>
      </c>
      <c r="V216" s="268"/>
      <c r="W216" s="61">
        <f>SUM(BJ6:BK6)</f>
        <v>0</v>
      </c>
      <c r="X216" s="82"/>
      <c r="Y216" s="82"/>
      <c r="Z216" s="111"/>
      <c r="AA216" s="206"/>
      <c r="AB216" s="207"/>
      <c r="AC216" s="193"/>
      <c r="AD216" s="226" t="s">
        <v>75</v>
      </c>
      <c r="AE216" s="222">
        <f>SUM(BJ9:BJ11)</f>
        <v>0</v>
      </c>
      <c r="AF216" s="223"/>
      <c r="AQ216" s="23"/>
      <c r="AR216" s="23"/>
      <c r="AS216" s="23"/>
      <c r="AT216" s="23"/>
      <c r="AU216" s="23"/>
      <c r="AV216" s="23"/>
    </row>
    <row r="217" spans="1:56" ht="10.95" customHeight="1" x14ac:dyDescent="0.3">
      <c r="A217" s="110"/>
      <c r="B217" s="99"/>
      <c r="C217" s="99"/>
      <c r="D217" s="255"/>
      <c r="E217" s="256"/>
      <c r="F217" s="257"/>
      <c r="G217" s="243"/>
      <c r="H217" s="244"/>
      <c r="I217" s="245"/>
      <c r="J217" s="243"/>
      <c r="K217" s="244"/>
      <c r="L217" s="244"/>
      <c r="M217" s="244"/>
      <c r="N217" s="244"/>
      <c r="O217" s="244"/>
      <c r="P217" s="258"/>
      <c r="Q217" s="130">
        <v>0</v>
      </c>
      <c r="R217" s="43" t="s">
        <v>185</v>
      </c>
      <c r="S217" s="263"/>
      <c r="T217" s="264"/>
      <c r="U217" s="267" t="s">
        <v>85</v>
      </c>
      <c r="V217" s="269"/>
      <c r="W217" s="62"/>
      <c r="X217" s="82"/>
      <c r="Y217" s="82"/>
      <c r="Z217" s="111"/>
      <c r="AA217" s="210" t="s">
        <v>107</v>
      </c>
      <c r="AB217" s="211"/>
      <c r="AC217" s="189">
        <f>IFERROR(AE214/D3,0)</f>
        <v>0</v>
      </c>
      <c r="AD217" s="227"/>
      <c r="AE217" s="224"/>
      <c r="AF217" s="225"/>
      <c r="AQ217" s="24"/>
      <c r="AR217" s="24"/>
      <c r="AS217" s="24"/>
      <c r="AT217" s="24"/>
      <c r="AU217" s="24"/>
      <c r="AV217" s="24"/>
      <c r="AZ217" s="1"/>
    </row>
    <row r="218" spans="1:56" ht="16.05" customHeight="1" thickBot="1" x14ac:dyDescent="0.35">
      <c r="A218" s="114"/>
      <c r="B218" s="115"/>
      <c r="C218" s="115"/>
      <c r="D218" s="115"/>
      <c r="E218" s="114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6"/>
      <c r="U218" s="116"/>
      <c r="V218" s="116"/>
      <c r="W218" s="116"/>
      <c r="X218" s="116"/>
      <c r="Y218" s="116"/>
      <c r="Z218" s="117"/>
      <c r="AA218" s="212"/>
      <c r="AB218" s="213"/>
      <c r="AC218" s="190"/>
      <c r="AD218" s="86" t="s">
        <v>85</v>
      </c>
      <c r="AE218" s="181"/>
      <c r="AF218" s="182"/>
      <c r="AH218" s="7"/>
      <c r="AI218" s="7"/>
      <c r="AJ218" s="125"/>
      <c r="AQ218" s="21"/>
      <c r="AR218" s="21"/>
      <c r="AS218" s="21"/>
      <c r="AT218" s="21"/>
      <c r="AU218" s="21"/>
      <c r="AV218" s="21"/>
      <c r="AZ218" s="1"/>
    </row>
    <row r="219" spans="1:56" ht="10.95" customHeight="1" x14ac:dyDescent="0.3">
      <c r="AE219" s="7"/>
      <c r="AF219" s="7"/>
      <c r="AH219" s="7"/>
      <c r="AI219" s="7"/>
      <c r="AJ219" s="125"/>
      <c r="AQ219" s="21"/>
      <c r="AR219" s="21"/>
      <c r="AS219" s="21"/>
      <c r="AT219" s="21"/>
      <c r="AU219" s="21"/>
      <c r="AV219" s="21"/>
      <c r="AZ219" s="1"/>
    </row>
    <row r="220" spans="1:56" ht="10.95" customHeight="1" x14ac:dyDescent="0.3">
      <c r="AE220" s="7"/>
      <c r="AF220" s="7"/>
      <c r="AH220" s="7"/>
      <c r="AI220" s="7"/>
      <c r="AJ220" s="125"/>
      <c r="AZ220" s="1"/>
    </row>
    <row r="221" spans="1:56" ht="10.95" customHeight="1" x14ac:dyDescent="0.3">
      <c r="X221" s="40"/>
      <c r="Y221" s="41"/>
      <c r="AD221" s="7"/>
      <c r="AE221" s="7"/>
      <c r="AF221" s="7"/>
      <c r="AG221" s="8"/>
      <c r="AH221" s="7"/>
      <c r="AI221" s="7"/>
      <c r="AJ221" s="125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Z221" s="1"/>
      <c r="BC221" s="8"/>
      <c r="BD221" s="8"/>
    </row>
    <row r="222" spans="1:56" ht="10.95" customHeight="1" x14ac:dyDescent="0.3">
      <c r="AD222" s="7"/>
      <c r="AH222" s="7"/>
      <c r="AI222" s="7"/>
      <c r="AJ222" s="125"/>
      <c r="AZ222" s="1"/>
    </row>
    <row r="223" spans="1:56" ht="10.95" customHeight="1" x14ac:dyDescent="0.3">
      <c r="AD223" s="7"/>
      <c r="AE223" s="7"/>
      <c r="AF223" s="7"/>
      <c r="AH223" s="7"/>
      <c r="AI223" s="7"/>
      <c r="AJ223" s="125"/>
      <c r="AZ223" s="1"/>
    </row>
    <row r="224" spans="1:56" ht="10.95" customHeight="1" x14ac:dyDescent="0.3">
      <c r="AD224" s="7"/>
      <c r="AE224" s="7"/>
      <c r="AF224" s="7"/>
      <c r="AG224" s="7"/>
      <c r="AH224" s="7"/>
      <c r="AI224" s="7"/>
      <c r="AJ224" s="125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Z224" s="1"/>
      <c r="BC224" s="7"/>
      <c r="BD224" s="7"/>
    </row>
    <row r="225" spans="30:56" ht="10.95" customHeight="1" x14ac:dyDescent="0.3">
      <c r="AD225" s="7"/>
      <c r="AE225" s="7"/>
      <c r="AF225" s="7"/>
      <c r="AG225" s="7"/>
      <c r="AH225" s="7"/>
      <c r="AI225" s="7"/>
      <c r="AJ225" s="125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Z225" s="1"/>
      <c r="BC225" s="7"/>
      <c r="BD225" s="7"/>
    </row>
    <row r="226" spans="30:56" ht="10.95" customHeight="1" x14ac:dyDescent="0.3">
      <c r="AD226" s="7"/>
      <c r="AG226" s="7"/>
      <c r="AH226" s="6"/>
      <c r="AI226" s="6"/>
      <c r="AJ226" s="129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Z226" s="1"/>
      <c r="BC226" s="7"/>
      <c r="BD226" s="7"/>
    </row>
    <row r="227" spans="30:56" ht="10.95" customHeight="1" x14ac:dyDescent="0.3">
      <c r="AD227" s="7"/>
      <c r="AE227" s="7"/>
      <c r="AF227" s="7"/>
      <c r="AG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Z227" s="1"/>
      <c r="BC227" s="7"/>
      <c r="BD227" s="7"/>
    </row>
    <row r="228" spans="30:56" ht="10.95" customHeight="1" x14ac:dyDescent="0.3">
      <c r="AG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Z228" s="1"/>
      <c r="BC228" s="7"/>
      <c r="BD228" s="7"/>
    </row>
    <row r="229" spans="30:56" ht="10.95" customHeight="1" x14ac:dyDescent="0.3">
      <c r="AG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BC229" s="7"/>
      <c r="BD229" s="7"/>
    </row>
    <row r="230" spans="30:56" ht="10.95" customHeight="1" x14ac:dyDescent="0.3">
      <c r="AG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BC230" s="7"/>
      <c r="BD230" s="7"/>
    </row>
    <row r="231" spans="30:56" ht="10.95" customHeight="1" x14ac:dyDescent="0.3">
      <c r="AG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BC231" s="7"/>
      <c r="BD231" s="7"/>
    </row>
    <row r="232" spans="30:56" ht="10.95" customHeight="1" x14ac:dyDescent="0.3">
      <c r="AG232" s="6"/>
      <c r="AK232" s="6"/>
      <c r="AL232" s="6"/>
      <c r="AM232" s="6"/>
      <c r="AN232" s="6"/>
      <c r="AO232" s="6"/>
      <c r="AP232" s="6"/>
      <c r="AW232" s="6"/>
      <c r="AX232" s="6"/>
      <c r="BC232" s="6"/>
      <c r="BD232" s="6"/>
    </row>
  </sheetData>
  <sheetProtection selectLockedCells="1"/>
  <mergeCells count="883">
    <mergeCell ref="C182:D182"/>
    <mergeCell ref="C196:D196"/>
    <mergeCell ref="F196:G196"/>
    <mergeCell ref="N196:O196"/>
    <mergeCell ref="X196:Z196"/>
    <mergeCell ref="C190:D190"/>
    <mergeCell ref="F190:G190"/>
    <mergeCell ref="N190:O190"/>
    <mergeCell ref="X190:Z190"/>
    <mergeCell ref="C183:D183"/>
    <mergeCell ref="F183:G183"/>
    <mergeCell ref="N183:O183"/>
    <mergeCell ref="X183:Z183"/>
    <mergeCell ref="C184:D184"/>
    <mergeCell ref="F184:G184"/>
    <mergeCell ref="N184:O184"/>
    <mergeCell ref="X184:Z184"/>
    <mergeCell ref="C194:D194"/>
    <mergeCell ref="F194:G194"/>
    <mergeCell ref="N194:O194"/>
    <mergeCell ref="C191:D191"/>
    <mergeCell ref="F191:G191"/>
    <mergeCell ref="N191:O191"/>
    <mergeCell ref="X191:Z191"/>
    <mergeCell ref="C197:D197"/>
    <mergeCell ref="F197:G197"/>
    <mergeCell ref="N197:O197"/>
    <mergeCell ref="X197:Z197"/>
    <mergeCell ref="C198:D198"/>
    <mergeCell ref="F198:G198"/>
    <mergeCell ref="N198:O198"/>
    <mergeCell ref="X198:Z198"/>
    <mergeCell ref="C203:D203"/>
    <mergeCell ref="F203:G203"/>
    <mergeCell ref="N203:O203"/>
    <mergeCell ref="X203:Z203"/>
    <mergeCell ref="C199:D199"/>
    <mergeCell ref="F199:G199"/>
    <mergeCell ref="N199:O199"/>
    <mergeCell ref="X199:Z199"/>
    <mergeCell ref="C200:D200"/>
    <mergeCell ref="F200:G200"/>
    <mergeCell ref="N200:O200"/>
    <mergeCell ref="X200:Z200"/>
    <mergeCell ref="C201:D201"/>
    <mergeCell ref="F201:G201"/>
    <mergeCell ref="N201:O201"/>
    <mergeCell ref="X201:Z201"/>
    <mergeCell ref="C202:D202"/>
    <mergeCell ref="F202:G202"/>
    <mergeCell ref="N202:O202"/>
    <mergeCell ref="X202:Z202"/>
    <mergeCell ref="C195:D195"/>
    <mergeCell ref="F195:G195"/>
    <mergeCell ref="N195:O195"/>
    <mergeCell ref="X195:Z195"/>
    <mergeCell ref="C188:D188"/>
    <mergeCell ref="F188:G188"/>
    <mergeCell ref="N188:O188"/>
    <mergeCell ref="X188:Z188"/>
    <mergeCell ref="C189:D189"/>
    <mergeCell ref="F189:G189"/>
    <mergeCell ref="N189:O189"/>
    <mergeCell ref="X189:Z189"/>
    <mergeCell ref="C192:D192"/>
    <mergeCell ref="F192:G192"/>
    <mergeCell ref="N192:O192"/>
    <mergeCell ref="X192:Z192"/>
    <mergeCell ref="C193:D193"/>
    <mergeCell ref="F193:G193"/>
    <mergeCell ref="N193:O193"/>
    <mergeCell ref="X193:Z193"/>
    <mergeCell ref="C185:D185"/>
    <mergeCell ref="F185:G185"/>
    <mergeCell ref="N185:O185"/>
    <mergeCell ref="X185:Z185"/>
    <mergeCell ref="C186:D186"/>
    <mergeCell ref="F186:G186"/>
    <mergeCell ref="N186:O186"/>
    <mergeCell ref="X186:Z186"/>
    <mergeCell ref="C187:D187"/>
    <mergeCell ref="F187:G187"/>
    <mergeCell ref="N187:O187"/>
    <mergeCell ref="X187:Z187"/>
    <mergeCell ref="C179:D179"/>
    <mergeCell ref="F179:G179"/>
    <mergeCell ref="N179:O179"/>
    <mergeCell ref="X179:Z179"/>
    <mergeCell ref="C180:D180"/>
    <mergeCell ref="F180:G180"/>
    <mergeCell ref="N180:O180"/>
    <mergeCell ref="X180:Z180"/>
    <mergeCell ref="C181:D181"/>
    <mergeCell ref="F181:G181"/>
    <mergeCell ref="N181:O181"/>
    <mergeCell ref="X181:Z181"/>
    <mergeCell ref="C176:D176"/>
    <mergeCell ref="F176:G176"/>
    <mergeCell ref="N176:O176"/>
    <mergeCell ref="X176:Z176"/>
    <mergeCell ref="C177:D177"/>
    <mergeCell ref="F177:G177"/>
    <mergeCell ref="N177:O177"/>
    <mergeCell ref="X177:Z177"/>
    <mergeCell ref="C178:D178"/>
    <mergeCell ref="F178:G178"/>
    <mergeCell ref="N178:O178"/>
    <mergeCell ref="X178:Z178"/>
    <mergeCell ref="C173:D173"/>
    <mergeCell ref="F173:G173"/>
    <mergeCell ref="N173:O173"/>
    <mergeCell ref="X173:Z173"/>
    <mergeCell ref="C174:D174"/>
    <mergeCell ref="F174:G174"/>
    <mergeCell ref="N174:O174"/>
    <mergeCell ref="X174:Z174"/>
    <mergeCell ref="C175:D175"/>
    <mergeCell ref="F175:G175"/>
    <mergeCell ref="N175:O175"/>
    <mergeCell ref="X175:Z175"/>
    <mergeCell ref="C170:D170"/>
    <mergeCell ref="F170:G170"/>
    <mergeCell ref="N170:O170"/>
    <mergeCell ref="X170:Z170"/>
    <mergeCell ref="C171:D171"/>
    <mergeCell ref="F171:G171"/>
    <mergeCell ref="N171:O171"/>
    <mergeCell ref="X171:Z171"/>
    <mergeCell ref="C172:D172"/>
    <mergeCell ref="F172:G172"/>
    <mergeCell ref="N172:O172"/>
    <mergeCell ref="X172:Z172"/>
    <mergeCell ref="C167:D167"/>
    <mergeCell ref="F167:G167"/>
    <mergeCell ref="N167:O167"/>
    <mergeCell ref="X167:Z167"/>
    <mergeCell ref="C168:D168"/>
    <mergeCell ref="F168:G168"/>
    <mergeCell ref="N168:O168"/>
    <mergeCell ref="X168:Z168"/>
    <mergeCell ref="C169:D169"/>
    <mergeCell ref="F169:G169"/>
    <mergeCell ref="N169:O169"/>
    <mergeCell ref="X169:Z169"/>
    <mergeCell ref="C164:D164"/>
    <mergeCell ref="F164:G164"/>
    <mergeCell ref="N164:O164"/>
    <mergeCell ref="X164:Z164"/>
    <mergeCell ref="C165:D165"/>
    <mergeCell ref="F165:G165"/>
    <mergeCell ref="N165:O165"/>
    <mergeCell ref="X165:Z165"/>
    <mergeCell ref="C166:D166"/>
    <mergeCell ref="F166:G166"/>
    <mergeCell ref="N166:O166"/>
    <mergeCell ref="X166:Z166"/>
    <mergeCell ref="C161:D161"/>
    <mergeCell ref="F161:G161"/>
    <mergeCell ref="N161:O161"/>
    <mergeCell ref="X161:Z161"/>
    <mergeCell ref="C162:D162"/>
    <mergeCell ref="F162:G162"/>
    <mergeCell ref="N162:O162"/>
    <mergeCell ref="X162:Z162"/>
    <mergeCell ref="C163:D163"/>
    <mergeCell ref="F163:G163"/>
    <mergeCell ref="N163:O163"/>
    <mergeCell ref="X163:Z163"/>
    <mergeCell ref="C158:D158"/>
    <mergeCell ref="F158:G158"/>
    <mergeCell ref="N158:O158"/>
    <mergeCell ref="X158:Z158"/>
    <mergeCell ref="C159:D159"/>
    <mergeCell ref="F159:G159"/>
    <mergeCell ref="N159:O159"/>
    <mergeCell ref="X159:Z159"/>
    <mergeCell ref="C160:D160"/>
    <mergeCell ref="F160:G160"/>
    <mergeCell ref="N160:O160"/>
    <mergeCell ref="X160:Z160"/>
    <mergeCell ref="C155:D155"/>
    <mergeCell ref="F155:G155"/>
    <mergeCell ref="N155:O155"/>
    <mergeCell ref="X155:Z155"/>
    <mergeCell ref="C156:D156"/>
    <mergeCell ref="F156:G156"/>
    <mergeCell ref="N156:O156"/>
    <mergeCell ref="X156:Z156"/>
    <mergeCell ref="C157:D157"/>
    <mergeCell ref="F157:G157"/>
    <mergeCell ref="N157:O157"/>
    <mergeCell ref="X157:Z157"/>
    <mergeCell ref="C152:D152"/>
    <mergeCell ref="F152:G152"/>
    <mergeCell ref="N152:O152"/>
    <mergeCell ref="X152:Z152"/>
    <mergeCell ref="C153:D153"/>
    <mergeCell ref="F153:G153"/>
    <mergeCell ref="N153:O153"/>
    <mergeCell ref="X153:Z153"/>
    <mergeCell ref="C154:D154"/>
    <mergeCell ref="F154:G154"/>
    <mergeCell ref="N154:O154"/>
    <mergeCell ref="X154:Z154"/>
    <mergeCell ref="C149:D149"/>
    <mergeCell ref="F149:G149"/>
    <mergeCell ref="N149:O149"/>
    <mergeCell ref="X149:Z149"/>
    <mergeCell ref="C150:D150"/>
    <mergeCell ref="F150:G150"/>
    <mergeCell ref="N150:O150"/>
    <mergeCell ref="X150:Z150"/>
    <mergeCell ref="C151:D151"/>
    <mergeCell ref="F151:G151"/>
    <mergeCell ref="N151:O151"/>
    <mergeCell ref="X151:Z151"/>
    <mergeCell ref="C146:D146"/>
    <mergeCell ref="F146:G146"/>
    <mergeCell ref="N146:O146"/>
    <mergeCell ref="X146:Z146"/>
    <mergeCell ref="C147:D147"/>
    <mergeCell ref="F147:G147"/>
    <mergeCell ref="N147:O147"/>
    <mergeCell ref="X147:Z147"/>
    <mergeCell ref="C148:D148"/>
    <mergeCell ref="F148:G148"/>
    <mergeCell ref="N148:O148"/>
    <mergeCell ref="X148:Z148"/>
    <mergeCell ref="C143:D143"/>
    <mergeCell ref="F143:G143"/>
    <mergeCell ref="N143:O143"/>
    <mergeCell ref="X143:Z143"/>
    <mergeCell ref="C144:D144"/>
    <mergeCell ref="F144:G144"/>
    <mergeCell ref="N144:O144"/>
    <mergeCell ref="X144:Z144"/>
    <mergeCell ref="C145:D145"/>
    <mergeCell ref="F145:G145"/>
    <mergeCell ref="N145:O145"/>
    <mergeCell ref="X145:Z145"/>
    <mergeCell ref="C140:D140"/>
    <mergeCell ref="F140:G140"/>
    <mergeCell ref="N140:O140"/>
    <mergeCell ref="X140:Z140"/>
    <mergeCell ref="C141:D141"/>
    <mergeCell ref="F141:G141"/>
    <mergeCell ref="N141:O141"/>
    <mergeCell ref="X141:Z141"/>
    <mergeCell ref="C142:D142"/>
    <mergeCell ref="F142:G142"/>
    <mergeCell ref="N142:O142"/>
    <mergeCell ref="X142:Z142"/>
    <mergeCell ref="C137:D137"/>
    <mergeCell ref="F137:G137"/>
    <mergeCell ref="N137:O137"/>
    <mergeCell ref="X137:Z137"/>
    <mergeCell ref="C138:D138"/>
    <mergeCell ref="F138:G138"/>
    <mergeCell ref="N138:O138"/>
    <mergeCell ref="X138:Z138"/>
    <mergeCell ref="C139:D139"/>
    <mergeCell ref="F139:G139"/>
    <mergeCell ref="N139:O139"/>
    <mergeCell ref="X139:Z139"/>
    <mergeCell ref="C134:D134"/>
    <mergeCell ref="F134:G134"/>
    <mergeCell ref="N134:O134"/>
    <mergeCell ref="X134:Z134"/>
    <mergeCell ref="C135:D135"/>
    <mergeCell ref="F135:G135"/>
    <mergeCell ref="N135:O135"/>
    <mergeCell ref="X135:Z135"/>
    <mergeCell ref="C136:D136"/>
    <mergeCell ref="F136:G136"/>
    <mergeCell ref="N136:O136"/>
    <mergeCell ref="X136:Z136"/>
    <mergeCell ref="C131:D131"/>
    <mergeCell ref="F131:G131"/>
    <mergeCell ref="N131:O131"/>
    <mergeCell ref="X131:Z131"/>
    <mergeCell ref="C132:D132"/>
    <mergeCell ref="F132:G132"/>
    <mergeCell ref="N132:O132"/>
    <mergeCell ref="X132:Z132"/>
    <mergeCell ref="C133:D133"/>
    <mergeCell ref="F133:G133"/>
    <mergeCell ref="N133:O133"/>
    <mergeCell ref="X133:Z133"/>
    <mergeCell ref="C128:D128"/>
    <mergeCell ref="F128:G128"/>
    <mergeCell ref="N128:O128"/>
    <mergeCell ref="X128:Z128"/>
    <mergeCell ref="C129:D129"/>
    <mergeCell ref="F129:G129"/>
    <mergeCell ref="N129:O129"/>
    <mergeCell ref="X129:Z129"/>
    <mergeCell ref="C130:D130"/>
    <mergeCell ref="F130:G130"/>
    <mergeCell ref="N130:O130"/>
    <mergeCell ref="X130:Z130"/>
    <mergeCell ref="C125:D125"/>
    <mergeCell ref="F125:G125"/>
    <mergeCell ref="N125:O125"/>
    <mergeCell ref="X125:Z125"/>
    <mergeCell ref="C126:D126"/>
    <mergeCell ref="F126:G126"/>
    <mergeCell ref="N126:O126"/>
    <mergeCell ref="X126:Z126"/>
    <mergeCell ref="C127:D127"/>
    <mergeCell ref="F127:G127"/>
    <mergeCell ref="N127:O127"/>
    <mergeCell ref="X127:Z127"/>
    <mergeCell ref="C122:D122"/>
    <mergeCell ref="F122:G122"/>
    <mergeCell ref="N122:O122"/>
    <mergeCell ref="X122:Z122"/>
    <mergeCell ref="C123:D123"/>
    <mergeCell ref="F123:G123"/>
    <mergeCell ref="N123:O123"/>
    <mergeCell ref="X123:Z123"/>
    <mergeCell ref="C124:D124"/>
    <mergeCell ref="F124:G124"/>
    <mergeCell ref="N124:O124"/>
    <mergeCell ref="X124:Z124"/>
    <mergeCell ref="C119:D119"/>
    <mergeCell ref="F119:G119"/>
    <mergeCell ref="N119:O119"/>
    <mergeCell ref="X119:Z119"/>
    <mergeCell ref="C120:D120"/>
    <mergeCell ref="F120:G120"/>
    <mergeCell ref="N120:O120"/>
    <mergeCell ref="X120:Z120"/>
    <mergeCell ref="C121:D121"/>
    <mergeCell ref="F121:G121"/>
    <mergeCell ref="N121:O121"/>
    <mergeCell ref="X121:Z121"/>
    <mergeCell ref="C116:D116"/>
    <mergeCell ref="F116:G116"/>
    <mergeCell ref="N116:O116"/>
    <mergeCell ref="X116:Z116"/>
    <mergeCell ref="C117:D117"/>
    <mergeCell ref="F117:G117"/>
    <mergeCell ref="N117:O117"/>
    <mergeCell ref="X117:Z117"/>
    <mergeCell ref="C118:D118"/>
    <mergeCell ref="F118:G118"/>
    <mergeCell ref="N118:O118"/>
    <mergeCell ref="X118:Z118"/>
    <mergeCell ref="C113:D113"/>
    <mergeCell ref="F113:G113"/>
    <mergeCell ref="N113:O113"/>
    <mergeCell ref="X113:Z113"/>
    <mergeCell ref="C114:D114"/>
    <mergeCell ref="F114:G114"/>
    <mergeCell ref="N114:O114"/>
    <mergeCell ref="X114:Z114"/>
    <mergeCell ref="C115:D115"/>
    <mergeCell ref="F115:G115"/>
    <mergeCell ref="N115:O115"/>
    <mergeCell ref="X115:Z115"/>
    <mergeCell ref="C110:D110"/>
    <mergeCell ref="F110:G110"/>
    <mergeCell ref="N110:O110"/>
    <mergeCell ref="X110:Z110"/>
    <mergeCell ref="C111:D111"/>
    <mergeCell ref="F111:G111"/>
    <mergeCell ref="N111:O111"/>
    <mergeCell ref="X111:Z111"/>
    <mergeCell ref="C112:D112"/>
    <mergeCell ref="F112:G112"/>
    <mergeCell ref="N112:O112"/>
    <mergeCell ref="X112:Z112"/>
    <mergeCell ref="C107:D107"/>
    <mergeCell ref="F107:G107"/>
    <mergeCell ref="N107:O107"/>
    <mergeCell ref="X107:Z107"/>
    <mergeCell ref="C108:D108"/>
    <mergeCell ref="F108:G108"/>
    <mergeCell ref="N108:O108"/>
    <mergeCell ref="X108:Z108"/>
    <mergeCell ref="C109:D109"/>
    <mergeCell ref="F109:G109"/>
    <mergeCell ref="N109:O109"/>
    <mergeCell ref="X109:Z109"/>
    <mergeCell ref="C104:D104"/>
    <mergeCell ref="F104:G104"/>
    <mergeCell ref="N104:O104"/>
    <mergeCell ref="X104:Z104"/>
    <mergeCell ref="C105:D105"/>
    <mergeCell ref="F105:G105"/>
    <mergeCell ref="N105:O105"/>
    <mergeCell ref="X105:Z105"/>
    <mergeCell ref="C106:D106"/>
    <mergeCell ref="F106:G106"/>
    <mergeCell ref="N106:O106"/>
    <mergeCell ref="X106:Z106"/>
    <mergeCell ref="C101:D101"/>
    <mergeCell ref="F101:G101"/>
    <mergeCell ref="N101:O101"/>
    <mergeCell ref="X101:Z101"/>
    <mergeCell ref="C102:D102"/>
    <mergeCell ref="F102:G102"/>
    <mergeCell ref="N102:O102"/>
    <mergeCell ref="X102:Z102"/>
    <mergeCell ref="C103:D103"/>
    <mergeCell ref="F103:G103"/>
    <mergeCell ref="N103:O103"/>
    <mergeCell ref="X103:Z103"/>
    <mergeCell ref="C98:D98"/>
    <mergeCell ref="F98:G98"/>
    <mergeCell ref="N98:O98"/>
    <mergeCell ref="X98:Z98"/>
    <mergeCell ref="C99:D99"/>
    <mergeCell ref="F99:G99"/>
    <mergeCell ref="N99:O99"/>
    <mergeCell ref="X99:Z99"/>
    <mergeCell ref="C100:D100"/>
    <mergeCell ref="F100:G100"/>
    <mergeCell ref="N100:O100"/>
    <mergeCell ref="X100:Z100"/>
    <mergeCell ref="C96:D96"/>
    <mergeCell ref="F96:G96"/>
    <mergeCell ref="N96:O96"/>
    <mergeCell ref="X96:Z96"/>
    <mergeCell ref="C97:D97"/>
    <mergeCell ref="F97:G97"/>
    <mergeCell ref="N97:O97"/>
    <mergeCell ref="X97:Z97"/>
    <mergeCell ref="C93:D93"/>
    <mergeCell ref="F93:G93"/>
    <mergeCell ref="N93:O93"/>
    <mergeCell ref="X93:Z93"/>
    <mergeCell ref="C94:D94"/>
    <mergeCell ref="F94:G94"/>
    <mergeCell ref="N94:O94"/>
    <mergeCell ref="X94:Z94"/>
    <mergeCell ref="C95:D95"/>
    <mergeCell ref="F95:G95"/>
    <mergeCell ref="N95:O95"/>
    <mergeCell ref="X95:Z95"/>
    <mergeCell ref="C90:D90"/>
    <mergeCell ref="F90:G90"/>
    <mergeCell ref="N90:O90"/>
    <mergeCell ref="X90:Z90"/>
    <mergeCell ref="C91:D91"/>
    <mergeCell ref="F91:G91"/>
    <mergeCell ref="N91:O91"/>
    <mergeCell ref="X91:Z91"/>
    <mergeCell ref="C92:D92"/>
    <mergeCell ref="F92:G92"/>
    <mergeCell ref="N92:O92"/>
    <mergeCell ref="X92:Z92"/>
    <mergeCell ref="C87:D87"/>
    <mergeCell ref="F87:G87"/>
    <mergeCell ref="N87:O87"/>
    <mergeCell ref="X87:Z87"/>
    <mergeCell ref="C88:D88"/>
    <mergeCell ref="F88:G88"/>
    <mergeCell ref="N88:O88"/>
    <mergeCell ref="X88:Z88"/>
    <mergeCell ref="C89:D89"/>
    <mergeCell ref="F89:G89"/>
    <mergeCell ref="N89:O89"/>
    <mergeCell ref="X89:Z89"/>
    <mergeCell ref="C84:D84"/>
    <mergeCell ref="F84:G84"/>
    <mergeCell ref="N84:O84"/>
    <mergeCell ref="X84:Z84"/>
    <mergeCell ref="C85:D85"/>
    <mergeCell ref="F85:G85"/>
    <mergeCell ref="N85:O85"/>
    <mergeCell ref="X85:Z85"/>
    <mergeCell ref="C86:D86"/>
    <mergeCell ref="F86:G86"/>
    <mergeCell ref="N86:O86"/>
    <mergeCell ref="X86:Z86"/>
    <mergeCell ref="C81:D81"/>
    <mergeCell ref="F81:G81"/>
    <mergeCell ref="N81:O81"/>
    <mergeCell ref="X81:Z81"/>
    <mergeCell ref="C82:D82"/>
    <mergeCell ref="F82:G82"/>
    <mergeCell ref="N82:O82"/>
    <mergeCell ref="X82:Z82"/>
    <mergeCell ref="C83:D83"/>
    <mergeCell ref="F83:G83"/>
    <mergeCell ref="N83:O83"/>
    <mergeCell ref="X83:Z83"/>
    <mergeCell ref="C78:D78"/>
    <mergeCell ref="F78:G78"/>
    <mergeCell ref="N78:O78"/>
    <mergeCell ref="X78:Z78"/>
    <mergeCell ref="C79:D79"/>
    <mergeCell ref="F79:G79"/>
    <mergeCell ref="N79:O79"/>
    <mergeCell ref="X79:Z79"/>
    <mergeCell ref="C80:D80"/>
    <mergeCell ref="F80:G80"/>
    <mergeCell ref="N80:O80"/>
    <mergeCell ref="X80:Z80"/>
    <mergeCell ref="C75:D75"/>
    <mergeCell ref="F75:G75"/>
    <mergeCell ref="N75:O75"/>
    <mergeCell ref="X75:Z75"/>
    <mergeCell ref="C76:D76"/>
    <mergeCell ref="F76:G76"/>
    <mergeCell ref="N76:O76"/>
    <mergeCell ref="X76:Z76"/>
    <mergeCell ref="C77:D77"/>
    <mergeCell ref="F77:G77"/>
    <mergeCell ref="N77:O77"/>
    <mergeCell ref="X77:Z77"/>
    <mergeCell ref="C72:D72"/>
    <mergeCell ref="F72:G72"/>
    <mergeCell ref="N72:O72"/>
    <mergeCell ref="X72:Z72"/>
    <mergeCell ref="C73:D73"/>
    <mergeCell ref="F73:G73"/>
    <mergeCell ref="N73:O73"/>
    <mergeCell ref="X73:Z73"/>
    <mergeCell ref="C74:D74"/>
    <mergeCell ref="F74:G74"/>
    <mergeCell ref="N74:O74"/>
    <mergeCell ref="X74:Z74"/>
    <mergeCell ref="C69:D69"/>
    <mergeCell ref="F69:G69"/>
    <mergeCell ref="N69:O69"/>
    <mergeCell ref="X69:Z69"/>
    <mergeCell ref="C70:D70"/>
    <mergeCell ref="F70:G70"/>
    <mergeCell ref="N70:O70"/>
    <mergeCell ref="X70:Z70"/>
    <mergeCell ref="C71:D71"/>
    <mergeCell ref="F71:G71"/>
    <mergeCell ref="N71:O71"/>
    <mergeCell ref="X71:Z71"/>
    <mergeCell ref="C66:D66"/>
    <mergeCell ref="F66:G66"/>
    <mergeCell ref="N66:O66"/>
    <mergeCell ref="X66:Z66"/>
    <mergeCell ref="C67:D67"/>
    <mergeCell ref="F67:G67"/>
    <mergeCell ref="N67:O67"/>
    <mergeCell ref="X67:Z67"/>
    <mergeCell ref="C68:D68"/>
    <mergeCell ref="F68:G68"/>
    <mergeCell ref="N68:O68"/>
    <mergeCell ref="X68:Z68"/>
    <mergeCell ref="C63:D63"/>
    <mergeCell ref="F63:G63"/>
    <mergeCell ref="N63:O63"/>
    <mergeCell ref="X63:Z63"/>
    <mergeCell ref="C64:D64"/>
    <mergeCell ref="F64:G64"/>
    <mergeCell ref="N64:O64"/>
    <mergeCell ref="X64:Z64"/>
    <mergeCell ref="C65:D65"/>
    <mergeCell ref="F65:G65"/>
    <mergeCell ref="N65:O65"/>
    <mergeCell ref="X65:Z65"/>
    <mergeCell ref="C61:D61"/>
    <mergeCell ref="F61:G61"/>
    <mergeCell ref="N61:O61"/>
    <mergeCell ref="X61:Z61"/>
    <mergeCell ref="C62:D62"/>
    <mergeCell ref="F62:G62"/>
    <mergeCell ref="N62:O62"/>
    <mergeCell ref="X62:Z62"/>
    <mergeCell ref="C60:D60"/>
    <mergeCell ref="F60:G60"/>
    <mergeCell ref="N60:O60"/>
    <mergeCell ref="X60:Z60"/>
    <mergeCell ref="C58:D58"/>
    <mergeCell ref="F58:G58"/>
    <mergeCell ref="N58:O58"/>
    <mergeCell ref="X58:Z58"/>
    <mergeCell ref="C59:D59"/>
    <mergeCell ref="F59:G59"/>
    <mergeCell ref="N59:O59"/>
    <mergeCell ref="X59:Z59"/>
    <mergeCell ref="C57:D57"/>
    <mergeCell ref="F57:G57"/>
    <mergeCell ref="N57:O57"/>
    <mergeCell ref="X57:Z57"/>
    <mergeCell ref="C55:D55"/>
    <mergeCell ref="F55:G55"/>
    <mergeCell ref="N55:O55"/>
    <mergeCell ref="X55:Z55"/>
    <mergeCell ref="C56:D56"/>
    <mergeCell ref="F56:G56"/>
    <mergeCell ref="N56:O56"/>
    <mergeCell ref="X56:Z56"/>
    <mergeCell ref="C54:D54"/>
    <mergeCell ref="F54:G54"/>
    <mergeCell ref="N54:O54"/>
    <mergeCell ref="X54:Z54"/>
    <mergeCell ref="J217:P217"/>
    <mergeCell ref="S214:S215"/>
    <mergeCell ref="S216:T217"/>
    <mergeCell ref="T214:T215"/>
    <mergeCell ref="U216:V216"/>
    <mergeCell ref="U217:V217"/>
    <mergeCell ref="J207:P207"/>
    <mergeCell ref="J208:P208"/>
    <mergeCell ref="J209:P209"/>
    <mergeCell ref="J210:P210"/>
    <mergeCell ref="J211:P211"/>
    <mergeCell ref="J213:P213"/>
    <mergeCell ref="J214:P214"/>
    <mergeCell ref="J215:P215"/>
    <mergeCell ref="J216:P216"/>
    <mergeCell ref="U211:V211"/>
    <mergeCell ref="U210:V210"/>
    <mergeCell ref="T208:T209"/>
    <mergeCell ref="S210:T211"/>
    <mergeCell ref="S208:S209"/>
    <mergeCell ref="G209:I209"/>
    <mergeCell ref="G210:I210"/>
    <mergeCell ref="G211:I211"/>
    <mergeCell ref="G213:I213"/>
    <mergeCell ref="G214:I214"/>
    <mergeCell ref="G215:I215"/>
    <mergeCell ref="G216:I216"/>
    <mergeCell ref="G217:I217"/>
    <mergeCell ref="D207:F211"/>
    <mergeCell ref="D213:F217"/>
    <mergeCell ref="G207:I207"/>
    <mergeCell ref="G208:I208"/>
    <mergeCell ref="F182:G182"/>
    <mergeCell ref="N182:O182"/>
    <mergeCell ref="X182:Z182"/>
    <mergeCell ref="X17:Z17"/>
    <mergeCell ref="N21:O21"/>
    <mergeCell ref="X21:Z21"/>
    <mergeCell ref="X194:Z194"/>
    <mergeCell ref="AE208:AF209"/>
    <mergeCell ref="AE206:AF207"/>
    <mergeCell ref="AE205:AF205"/>
    <mergeCell ref="X20:Z20"/>
    <mergeCell ref="F24:G24"/>
    <mergeCell ref="AA205:AB205"/>
    <mergeCell ref="F52:G52"/>
    <mergeCell ref="F53:G53"/>
    <mergeCell ref="F204:G204"/>
    <mergeCell ref="F27:G27"/>
    <mergeCell ref="F28:G28"/>
    <mergeCell ref="F29:G29"/>
    <mergeCell ref="F30:G30"/>
    <mergeCell ref="F31:G31"/>
    <mergeCell ref="F32:G32"/>
    <mergeCell ref="F33:G33"/>
    <mergeCell ref="F34:G34"/>
    <mergeCell ref="AE210:AF211"/>
    <mergeCell ref="AE212:AF213"/>
    <mergeCell ref="AE214:AF214"/>
    <mergeCell ref="AE215:AF215"/>
    <mergeCell ref="AE216:AF217"/>
    <mergeCell ref="AD216:AD217"/>
    <mergeCell ref="AD206:AD207"/>
    <mergeCell ref="AD208:AD209"/>
    <mergeCell ref="AD210:AD211"/>
    <mergeCell ref="AD212:AD213"/>
    <mergeCell ref="AC217:AC218"/>
    <mergeCell ref="AC214:AC216"/>
    <mergeCell ref="AC212:AC213"/>
    <mergeCell ref="AC210:AC211"/>
    <mergeCell ref="AC208:AC209"/>
    <mergeCell ref="AC206:AC207"/>
    <mergeCell ref="AA206:AB207"/>
    <mergeCell ref="AA208:AB209"/>
    <mergeCell ref="AA210:AB211"/>
    <mergeCell ref="AA212:AB213"/>
    <mergeCell ref="AA214:AB216"/>
    <mergeCell ref="AA217:AB218"/>
    <mergeCell ref="F10:G10"/>
    <mergeCell ref="F11:G11"/>
    <mergeCell ref="F12:G12"/>
    <mergeCell ref="F13:G13"/>
    <mergeCell ref="N33:O33"/>
    <mergeCell ref="X33:Z33"/>
    <mergeCell ref="F15:G15"/>
    <mergeCell ref="F16:G16"/>
    <mergeCell ref="F17:G17"/>
    <mergeCell ref="F18:G18"/>
    <mergeCell ref="F19:G19"/>
    <mergeCell ref="F20:G20"/>
    <mergeCell ref="F21:G21"/>
    <mergeCell ref="F22:G22"/>
    <mergeCell ref="C49:D49"/>
    <mergeCell ref="N49:O49"/>
    <mergeCell ref="X49:Z49"/>
    <mergeCell ref="C50:D50"/>
    <mergeCell ref="N50:O50"/>
    <mergeCell ref="X50:Z50"/>
    <mergeCell ref="C51:D51"/>
    <mergeCell ref="N51:O51"/>
    <mergeCell ref="X51:Z51"/>
    <mergeCell ref="F49:G49"/>
    <mergeCell ref="F50:G50"/>
    <mergeCell ref="F51:G51"/>
    <mergeCell ref="C46:D46"/>
    <mergeCell ref="N46:O46"/>
    <mergeCell ref="X46:Z46"/>
    <mergeCell ref="C47:D47"/>
    <mergeCell ref="N47:O47"/>
    <mergeCell ref="X47:Z47"/>
    <mergeCell ref="C48:D48"/>
    <mergeCell ref="N48:O48"/>
    <mergeCell ref="X48:Z48"/>
    <mergeCell ref="F46:G46"/>
    <mergeCell ref="F47:G47"/>
    <mergeCell ref="F48:G48"/>
    <mergeCell ref="C43:D43"/>
    <mergeCell ref="N43:O43"/>
    <mergeCell ref="X43:Z43"/>
    <mergeCell ref="C44:D44"/>
    <mergeCell ref="N44:O44"/>
    <mergeCell ref="X44:Z44"/>
    <mergeCell ref="C45:D45"/>
    <mergeCell ref="N45:O45"/>
    <mergeCell ref="X45:Z45"/>
    <mergeCell ref="F43:G43"/>
    <mergeCell ref="F44:G44"/>
    <mergeCell ref="F45:G45"/>
    <mergeCell ref="C41:D41"/>
    <mergeCell ref="N41:O41"/>
    <mergeCell ref="X41:Z41"/>
    <mergeCell ref="C42:D42"/>
    <mergeCell ref="N42:O42"/>
    <mergeCell ref="X42:Z42"/>
    <mergeCell ref="F40:G40"/>
    <mergeCell ref="F41:G41"/>
    <mergeCell ref="F42:G42"/>
    <mergeCell ref="C37:D37"/>
    <mergeCell ref="N37:O37"/>
    <mergeCell ref="X37:Z37"/>
    <mergeCell ref="F36:G36"/>
    <mergeCell ref="F37:G37"/>
    <mergeCell ref="F38:G38"/>
    <mergeCell ref="F39:G39"/>
    <mergeCell ref="C40:D40"/>
    <mergeCell ref="N40:O40"/>
    <mergeCell ref="X40:Z40"/>
    <mergeCell ref="C38:D38"/>
    <mergeCell ref="N38:O38"/>
    <mergeCell ref="X38:Z38"/>
    <mergeCell ref="X36:Z36"/>
    <mergeCell ref="C34:D34"/>
    <mergeCell ref="N34:O34"/>
    <mergeCell ref="X34:Z34"/>
    <mergeCell ref="C35:D35"/>
    <mergeCell ref="N35:O35"/>
    <mergeCell ref="X35:Z35"/>
    <mergeCell ref="C30:D30"/>
    <mergeCell ref="N30:O30"/>
    <mergeCell ref="X30:Z30"/>
    <mergeCell ref="C31:D31"/>
    <mergeCell ref="N31:O31"/>
    <mergeCell ref="X31:Z31"/>
    <mergeCell ref="C32:D32"/>
    <mergeCell ref="N32:O32"/>
    <mergeCell ref="X32:Z32"/>
    <mergeCell ref="F35:G35"/>
    <mergeCell ref="AE218:AF218"/>
    <mergeCell ref="AD2:AD3"/>
    <mergeCell ref="AE2:AF3"/>
    <mergeCell ref="C204:D204"/>
    <mergeCell ref="N204:O204"/>
    <mergeCell ref="X204:Z204"/>
    <mergeCell ref="C28:D28"/>
    <mergeCell ref="N28:O28"/>
    <mergeCell ref="X28:Z28"/>
    <mergeCell ref="C29:D29"/>
    <mergeCell ref="N29:O29"/>
    <mergeCell ref="X29:Z29"/>
    <mergeCell ref="C52:D52"/>
    <mergeCell ref="N52:O52"/>
    <mergeCell ref="X52:Z52"/>
    <mergeCell ref="X53:Z53"/>
    <mergeCell ref="N53:O53"/>
    <mergeCell ref="C53:D53"/>
    <mergeCell ref="C39:D39"/>
    <mergeCell ref="N39:O39"/>
    <mergeCell ref="X39:Z39"/>
    <mergeCell ref="C36:D36"/>
    <mergeCell ref="N36:O36"/>
    <mergeCell ref="C33:D33"/>
    <mergeCell ref="C12:D12"/>
    <mergeCell ref="C19:D19"/>
    <mergeCell ref="N19:O19"/>
    <mergeCell ref="X19:Z19"/>
    <mergeCell ref="N12:O12"/>
    <mergeCell ref="X12:Z12"/>
    <mergeCell ref="C13:D13"/>
    <mergeCell ref="N13:O13"/>
    <mergeCell ref="X13:Z13"/>
    <mergeCell ref="C16:D16"/>
    <mergeCell ref="N16:O16"/>
    <mergeCell ref="X16:Z16"/>
    <mergeCell ref="C17:D17"/>
    <mergeCell ref="N17:O17"/>
    <mergeCell ref="N18:O18"/>
    <mergeCell ref="X18:Z18"/>
    <mergeCell ref="X14:Z14"/>
    <mergeCell ref="C15:D15"/>
    <mergeCell ref="C18:D18"/>
    <mergeCell ref="N15:O15"/>
    <mergeCell ref="X15:Z15"/>
    <mergeCell ref="C14:D14"/>
    <mergeCell ref="N14:O14"/>
    <mergeCell ref="F14:G14"/>
    <mergeCell ref="C27:D27"/>
    <mergeCell ref="N27:O27"/>
    <mergeCell ref="X27:Z27"/>
    <mergeCell ref="C20:D20"/>
    <mergeCell ref="N20:O20"/>
    <mergeCell ref="C22:D22"/>
    <mergeCell ref="N22:O22"/>
    <mergeCell ref="X22:Z22"/>
    <mergeCell ref="C23:D23"/>
    <mergeCell ref="N23:O23"/>
    <mergeCell ref="X23:Z23"/>
    <mergeCell ref="F23:G23"/>
    <mergeCell ref="C24:D24"/>
    <mergeCell ref="N24:O24"/>
    <mergeCell ref="X24:Z24"/>
    <mergeCell ref="C25:D25"/>
    <mergeCell ref="N25:O25"/>
    <mergeCell ref="X25:Z25"/>
    <mergeCell ref="C26:D26"/>
    <mergeCell ref="N26:O26"/>
    <mergeCell ref="X26:Z26"/>
    <mergeCell ref="F25:G25"/>
    <mergeCell ref="F26:G26"/>
    <mergeCell ref="C21:D21"/>
    <mergeCell ref="AE1:AF1"/>
    <mergeCell ref="F1:G1"/>
    <mergeCell ref="C4:D4"/>
    <mergeCell ref="N4:O4"/>
    <mergeCell ref="X4:Z4"/>
    <mergeCell ref="F4:G4"/>
    <mergeCell ref="AA2:AA3"/>
    <mergeCell ref="AB2:AC3"/>
    <mergeCell ref="C6:D6"/>
    <mergeCell ref="N6:O6"/>
    <mergeCell ref="F2:G2"/>
    <mergeCell ref="H3:J3"/>
    <mergeCell ref="P3:R3"/>
    <mergeCell ref="AB1:AC1"/>
    <mergeCell ref="X6:Z6"/>
    <mergeCell ref="H1:O1"/>
    <mergeCell ref="H2:O2"/>
    <mergeCell ref="P1:R1"/>
    <mergeCell ref="P2:R2"/>
    <mergeCell ref="S1:Z1"/>
    <mergeCell ref="S2:Z2"/>
    <mergeCell ref="T3:U3"/>
    <mergeCell ref="D1:E1"/>
    <mergeCell ref="D2:E2"/>
    <mergeCell ref="D3:E3"/>
    <mergeCell ref="C11:D11"/>
    <mergeCell ref="N11:O11"/>
    <mergeCell ref="X11:Z11"/>
    <mergeCell ref="C10:D10"/>
    <mergeCell ref="N10:O10"/>
    <mergeCell ref="X10:Z10"/>
    <mergeCell ref="C5:D5"/>
    <mergeCell ref="N5:O5"/>
    <mergeCell ref="X5:Z5"/>
    <mergeCell ref="N8:O8"/>
    <mergeCell ref="X8:Z8"/>
    <mergeCell ref="C9:D9"/>
    <mergeCell ref="N9:O9"/>
    <mergeCell ref="C7:D7"/>
    <mergeCell ref="N7:O7"/>
    <mergeCell ref="X7:Z7"/>
    <mergeCell ref="C8:D8"/>
    <mergeCell ref="X9:Z9"/>
    <mergeCell ref="F5:G5"/>
    <mergeCell ref="F6:G6"/>
    <mergeCell ref="F7:G7"/>
    <mergeCell ref="F8:G8"/>
    <mergeCell ref="F9:G9"/>
  </mergeCells>
  <phoneticPr fontId="13" type="noConversion"/>
  <conditionalFormatting sqref="U209">
    <cfRule type="colorScale" priority="9">
      <colorScale>
        <cfvo type="num" val="0.13"/>
        <cfvo type="max"/>
        <color rgb="FFFF0000"/>
        <color rgb="FF98FB33"/>
      </colorScale>
    </cfRule>
  </conditionalFormatting>
  <conditionalFormatting sqref="U215">
    <cfRule type="colorScale" priority="8">
      <colorScale>
        <cfvo type="num" val="0.13"/>
        <cfvo type="max"/>
        <color rgb="FFFF0000"/>
        <color rgb="FF98FB33"/>
      </colorScale>
    </cfRule>
  </conditionalFormatting>
  <conditionalFormatting sqref="W211">
    <cfRule type="expression" dxfId="5" priority="3">
      <formula>($W$211/$W$210)&lt;=0.98</formula>
    </cfRule>
    <cfRule type="expression" dxfId="4" priority="4">
      <formula>($W$211/$W$210)&gt;=1.02</formula>
    </cfRule>
  </conditionalFormatting>
  <conditionalFormatting sqref="W217">
    <cfRule type="expression" dxfId="3" priority="1">
      <formula>($W$217/$W$216)&lt;=0.98</formula>
    </cfRule>
    <cfRule type="expression" dxfId="2" priority="2">
      <formula>($W$217/$W$216)&gt;=1.02</formula>
    </cfRule>
  </conditionalFormatting>
  <conditionalFormatting sqref="AC212">
    <cfRule type="colorScale" priority="10">
      <colorScale>
        <cfvo type="num" val="0.13"/>
        <cfvo type="max"/>
        <color rgb="FFFF0000"/>
        <color rgb="FF98FB33"/>
      </colorScale>
    </cfRule>
  </conditionalFormatting>
  <conditionalFormatting sqref="AE205">
    <cfRule type="colorScale" priority="11">
      <colorScale>
        <cfvo type="num" val="70"/>
        <cfvo type="max"/>
        <color rgb="FFFF0000"/>
        <color rgb="FFFFE5D5"/>
      </colorScale>
    </cfRule>
  </conditionalFormatting>
  <conditionalFormatting sqref="AE218">
    <cfRule type="expression" dxfId="1" priority="5">
      <formula>($AE$218/$AE$214)&lt;=0.99</formula>
    </cfRule>
    <cfRule type="expression" dxfId="0" priority="6">
      <formula>($AE$218/$AE$214)&gt;=1.01</formula>
    </cfRule>
  </conditionalFormatting>
  <dataValidations count="21">
    <dataValidation type="list" allowBlank="1" showInputMessage="1" showErrorMessage="1" sqref="S3 V3" xr:uid="{9C57CB84-6A7A-9A43-B5E4-09E2804CB589}">
      <formula1>$CB$5:$CB$7</formula1>
    </dataValidation>
    <dataValidation type="list" errorStyle="warning" allowBlank="1" showInputMessage="1" showErrorMessage="1" sqref="Q216:Q217 Q210:Q211" xr:uid="{56E19985-8429-E34A-8654-5E599466B561}">
      <formula1>$CE$5:$CE$22</formula1>
    </dataValidation>
    <dataValidation type="list" errorStyle="warning" allowBlank="1" showInputMessage="1" showErrorMessage="1" sqref="P2 S2:Z2" xr:uid="{F8DABBB1-713F-E848-91CE-8A7A3774E6DA}">
      <formula1>$BU$5:$BU$28</formula1>
    </dataValidation>
    <dataValidation type="list" errorStyle="warning" allowBlank="1" showInputMessage="1" showErrorMessage="1" sqref="B2" xr:uid="{0D5F7561-624F-4544-AC25-930DD3B60AD8}">
      <formula1>$BN$5:$BN$10</formula1>
    </dataValidation>
    <dataValidation type="list" errorStyle="warning" allowBlank="1" showInputMessage="1" showErrorMessage="1" sqref="D2" xr:uid="{65F7BEA2-D419-1F46-A98D-D270D05E0790}">
      <formula1>$BO$5:$BO$17</formula1>
    </dataValidation>
    <dataValidation type="list" allowBlank="1" showInputMessage="1" showErrorMessage="1" sqref="K5:K204" xr:uid="{14FDE2CB-064F-A347-A359-1A2EDA125360}">
      <formula1>$BR$4:$BR$8</formula1>
    </dataValidation>
    <dataValidation type="list" errorStyle="warning" allowBlank="1" showErrorMessage="1" sqref="P5:P204" xr:uid="{943C9CE9-D376-364F-8840-64AD3BFAFB7B}">
      <formula1>$BT$5:$BT$6</formula1>
    </dataValidation>
    <dataValidation type="list" errorStyle="warning" allowBlank="1" showErrorMessage="1" sqref="Q5:Q204" xr:uid="{DE4B5993-91EB-4C4E-BA78-7745D63A13C6}">
      <formula1>$BV$5:$BV$7</formula1>
    </dataValidation>
    <dataValidation type="list" errorStyle="warning" allowBlank="1" showErrorMessage="1" sqref="R5:R204" xr:uid="{F7CB3E9F-0E3D-DC4B-BD7A-283EB8363D2E}">
      <formula1>$BW$5:$BW$9</formula1>
    </dataValidation>
    <dataValidation type="list" errorStyle="warning" allowBlank="1" showErrorMessage="1" sqref="S5:S204" xr:uid="{9E0AEDA4-955A-CB4C-B74E-90ACE93DF1A2}">
      <formula1>$BX$5:$BX$11</formula1>
    </dataValidation>
    <dataValidation type="list" errorStyle="warning" allowBlank="1" showErrorMessage="1" sqref="T5:T204" xr:uid="{D9912A9B-DF22-0D4D-A43E-61AC6FD4058D}">
      <formula1>$BY$5:$BY$12</formula1>
    </dataValidation>
    <dataValidation type="list" errorStyle="warning" allowBlank="1" showErrorMessage="1" sqref="U5:U204" xr:uid="{29C3E4BA-C7B6-D04C-BC68-56E497317FCB}">
      <formula1>$BZ$5:$BZ$12</formula1>
    </dataValidation>
    <dataValidation type="list" errorStyle="warning" allowBlank="1" showErrorMessage="1" sqref="V5:V204" xr:uid="{5FC343FF-A564-D84E-B9E5-34805CD5E8B4}">
      <formula1>$CA$5:$CA$7</formula1>
    </dataValidation>
    <dataValidation type="list" errorStyle="warning" allowBlank="1" showErrorMessage="1" sqref="W5:W204" xr:uid="{B069656A-CF53-AF4D-9AFA-836BC5C2CC93}">
      <formula1>$CB$5:$CB$7</formula1>
    </dataValidation>
    <dataValidation type="list" allowBlank="1" showInputMessage="1" showErrorMessage="1" sqref="L5:L204" xr:uid="{9F11AE1E-D4B8-D14A-B13F-A51C754D9746}">
      <formula1>$BS$5:$BS$7</formula1>
    </dataValidation>
    <dataValidation type="list" errorStyle="warning" allowBlank="1" showInputMessage="1" sqref="AB5:AD204" xr:uid="{E6B15C76-728F-4A48-9A59-47C780CFA2F6}">
      <formula1>$CF$5:$CF$12</formula1>
    </dataValidation>
    <dataValidation type="list" errorStyle="warning" allowBlank="1" showInputMessage="1" showErrorMessage="1" sqref="X3" xr:uid="{E169A069-1D6D-0A4A-8CDC-B842EE201E24}">
      <formula1>$CC$5:$CC$7</formula1>
    </dataValidation>
    <dataValidation type="list" errorStyle="warning" allowBlank="1" showInputMessage="1" sqref="AD2:AD3" xr:uid="{98C749D5-DF23-3B4E-A9BA-16642EF413A2}">
      <formula1>$CE$5:$CE$22</formula1>
    </dataValidation>
    <dataValidation type="list" errorStyle="warning" allowBlank="1" showInputMessage="1" showErrorMessage="1" sqref="H2" xr:uid="{6D0F84BC-4F0C-1745-A873-AA28F90EDB31}">
      <formula1>#REF!</formula1>
    </dataValidation>
    <dataValidation type="list" errorStyle="information" allowBlank="1" showInputMessage="1" showErrorMessage="1" sqref="E5:E204" xr:uid="{4E783ECE-AD25-AA43-992A-EEEED8ED4E4B}">
      <formula1>$BP$5:$BP$9</formula1>
    </dataValidation>
    <dataValidation type="list" errorStyle="warning" allowBlank="1" showErrorMessage="1" sqref="F5:G204" xr:uid="{FD1FE326-C542-AB40-B0AD-3E3CE9F20E50}">
      <formula1>$BQ$5:$BQ$17</formula1>
    </dataValidation>
  </dataValidations>
  <pageMargins left="0.7" right="0.7" top="0.75" bottom="0.75" header="0.3" footer="0.3"/>
  <pageSetup pageOrder="overThenDown" orientation="portrait" r:id="rId1"/>
  <legacyDrawing r:id="rId2"/>
  <tableParts count="1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Survey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Caroline Nichols</dc:creator>
  <cp:lastModifiedBy>Matt Copeland - Pro Glass Works</cp:lastModifiedBy>
  <dcterms:created xsi:type="dcterms:W3CDTF">2020-04-22T16:12:45Z</dcterms:created>
  <dcterms:modified xsi:type="dcterms:W3CDTF">2024-02-26T19:30:51Z</dcterms:modified>
</cp:coreProperties>
</file>