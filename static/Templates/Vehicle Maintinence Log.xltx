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/>
  <mc:AlternateContent xmlns:mc="http://schemas.openxmlformats.org/markup-compatibility/2006">
    <mc:Choice Requires="x15">
      <x15ac:absPath xmlns:x15ac="http://schemas.microsoft.com/office/spreadsheetml/2010/11/ac" url="C:\Users\matt\Documents\Custom Office Templates\"/>
    </mc:Choice>
  </mc:AlternateContent>
  <xr:revisionPtr revIDLastSave="0" documentId="13_ncr:1_{3F196B00-AD23-4C1D-9655-164DDA4E5490}" xr6:coauthVersionLast="47" xr6:coauthVersionMax="47" xr10:uidLastSave="{00000000-0000-0000-0000-000000000000}"/>
  <bookViews>
    <workbookView xWindow="-96" yWindow="-96" windowWidth="23232" windowHeight="13152" xr2:uid="{80730415-BC68-42D9-B7AE-54D643470D0A}"/>
  </bookViews>
  <sheets>
    <sheet name="Temp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9" i="1" l="1"/>
  <c r="N59" i="1"/>
  <c r="M59" i="1"/>
  <c r="L59" i="1"/>
  <c r="K59" i="1"/>
  <c r="J59" i="1"/>
  <c r="I59" i="1"/>
  <c r="H59" i="1"/>
  <c r="G59" i="1"/>
  <c r="F59" i="1"/>
  <c r="E59" i="1"/>
  <c r="D57" i="1"/>
  <c r="D59" i="1" s="1"/>
  <c r="D60" i="1" s="1"/>
  <c r="O55" i="1"/>
  <c r="N55" i="1"/>
  <c r="M55" i="1"/>
  <c r="L55" i="1"/>
  <c r="K55" i="1"/>
  <c r="J55" i="1"/>
  <c r="I55" i="1"/>
  <c r="H55" i="1"/>
  <c r="G55" i="1"/>
  <c r="F55" i="1"/>
  <c r="E55" i="1"/>
  <c r="D55" i="1"/>
  <c r="D62" i="1" s="1"/>
  <c r="D61" i="1" s="1"/>
  <c r="C17" i="1"/>
  <c r="C18" i="1" s="1"/>
  <c r="L11" i="1" l="1" a="1"/>
  <c r="L11" i="1" s="1"/>
  <c r="I12" i="1" s="1"/>
  <c r="C19" i="1"/>
  <c r="C20" i="1" s="1"/>
  <c r="C21" i="1" s="1"/>
  <c r="C22" i="1" s="1"/>
  <c r="C23" i="1" s="1"/>
  <c r="C2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<sst xmlns="http://schemas.openxmlformats.org/spreadsheetml/2006/main" count="80" uniqueCount="73">
  <si>
    <t>Fleet Maintenance &amp; Repair Log</t>
  </si>
  <si>
    <t>Number</t>
  </si>
  <si>
    <t>00</t>
  </si>
  <si>
    <t>Operator</t>
  </si>
  <si>
    <t>Opperator</t>
  </si>
  <si>
    <t>Last updated on:</t>
  </si>
  <si>
    <t>Year</t>
  </si>
  <si>
    <t>Current Miles</t>
  </si>
  <si>
    <t>11/19/2025</t>
  </si>
  <si>
    <t>Brand</t>
  </si>
  <si>
    <t>Status</t>
  </si>
  <si>
    <t>Good</t>
  </si>
  <si>
    <t>Model</t>
  </si>
  <si>
    <t>VIN</t>
  </si>
  <si>
    <t>Next service due:</t>
  </si>
  <si>
    <t>Plate</t>
  </si>
  <si>
    <t>Last Service</t>
  </si>
  <si>
    <t>Fuel Type</t>
  </si>
  <si>
    <t>Gasoline</t>
  </si>
  <si>
    <t>Next Service</t>
  </si>
  <si>
    <t>Preventative Maintenance Schedule</t>
  </si>
  <si>
    <t>Mileage</t>
  </si>
  <si>
    <t>Recommended Maintenance</t>
  </si>
  <si>
    <t>Rotate Tires, Change Oil and Filter, Replace Engine Air Filter</t>
  </si>
  <si>
    <t>Rotate Tires, Change Oil and Filter, Replace Cabin Air Filter (if Equipped)</t>
  </si>
  <si>
    <t>Replace Engine Air Filter, Rotate Tires, Fuel Filter Replacement, Change Oil and Filter, Torque Rear Axle U-bolts to Specification</t>
  </si>
  <si>
    <t>Replace Engine Air Filter, Rotate Tires, Fuel Filter Replacement, Change Oil and Filter</t>
  </si>
  <si>
    <t>Rotate Tires, Change Oil and Filter</t>
  </si>
  <si>
    <t>Replace Engine Air Filter, Rotate Tires, Fuel Filter Replacement, Clean and Repack Wheel Bearing, Change Oil and Filter, Torque Rear Axle U-bolts to Specification</t>
  </si>
  <si>
    <t>…</t>
  </si>
  <si>
    <t>Vehicle Maintenance &amp; Repair Log</t>
  </si>
  <si>
    <t>Date</t>
  </si>
  <si>
    <t>Description</t>
  </si>
  <si>
    <t>Odometer</t>
  </si>
  <si>
    <t>Service Provider</t>
  </si>
  <si>
    <t>Mechanic</t>
  </si>
  <si>
    <t>Part No.</t>
  </si>
  <si>
    <t>Next Service Due</t>
  </si>
  <si>
    <t>Material Cost</t>
  </si>
  <si>
    <t>Labor Cost</t>
  </si>
  <si>
    <t>Warranty</t>
  </si>
  <si>
    <t>Total Cost</t>
  </si>
  <si>
    <t>...</t>
  </si>
  <si>
    <t>Month</t>
  </si>
  <si>
    <t>Maintenance &amp; Repair Cost Summary</t>
  </si>
  <si>
    <t>ENGINE</t>
  </si>
  <si>
    <t>Oil &amp; Filter Change</t>
  </si>
  <si>
    <t>Engine Air Filter Change</t>
  </si>
  <si>
    <t>Cabin Air Filter Change</t>
  </si>
  <si>
    <t>Fuel Filter Change</t>
  </si>
  <si>
    <t>Transmission Fluid</t>
  </si>
  <si>
    <t>Engine Coolant</t>
  </si>
  <si>
    <t>Hose Replacement</t>
  </si>
  <si>
    <t>Belt Replacement</t>
  </si>
  <si>
    <t>Battery Replacement</t>
  </si>
  <si>
    <t>CHASSIS</t>
  </si>
  <si>
    <t>Tire Repair / Replacement</t>
  </si>
  <si>
    <t>Tire Rotation / Balance</t>
  </si>
  <si>
    <t>Tire Alignment</t>
  </si>
  <si>
    <t>Brake Pad Replacement</t>
  </si>
  <si>
    <t>MISC</t>
  </si>
  <si>
    <t>Windshield Wiper Repl.</t>
  </si>
  <si>
    <t>Bulb Replacement</t>
  </si>
  <si>
    <t>Other</t>
  </si>
  <si>
    <t>TOTAL MONTHLY COSTS</t>
  </si>
  <si>
    <t>Cost Per Mile Summary</t>
  </si>
  <si>
    <t>Starting Mileage</t>
  </si>
  <si>
    <t>Ending Mileage</t>
  </si>
  <si>
    <t>Monthly Mileage</t>
  </si>
  <si>
    <t xml:space="preserve">Annual Mileage </t>
  </si>
  <si>
    <t>Cost Per Mile</t>
  </si>
  <si>
    <t>Annual Service Cost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</si>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</sst>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\ d\,\ yyyy"/>
    <numFmt numFmtId="165" formatCode="&quot;$&quot;#,##0.00"/>
    <numFmt numFmtId="166" formatCode="mmm&quot;-&quot;yy"/>
  </numFmts>
  <fonts count="23" x14ac:knownFonts="1">
    <font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8"/>
      <color rgb="FFFFFFFF"/>
      <name val="DM Sans"/>
    </font>
    <font>
      <b/>
      <sz val="24"/>
      <color rgb="FFFFFFFF"/>
      <name val="DM Sans"/>
    </font>
    <font>
      <sz val="10"/>
      <color theme="1"/>
      <name val="DM Sans"/>
    </font>
    <font>
      <sz val="10"/>
      <color rgb="FFCCCCCC"/>
      <name val="DM Sans"/>
    </font>
    <font>
      <b/>
      <sz val="8"/>
      <color rgb="FFFFFFFF"/>
      <name val="DM Sans"/>
    </font>
    <font>
      <sz val="9"/>
      <color theme="1"/>
      <name val="DM Sans"/>
    </font>
    <font>
      <sz val="10"/>
      <color theme="1"/>
      <name val="Arial"/>
      <family val="2"/>
      <scheme val="minor"/>
    </font>
    <font>
      <b/>
      <sz val="10"/>
      <color theme="1"/>
      <name val="DM Sans"/>
    </font>
    <font>
      <sz val="12"/>
      <color theme="1"/>
      <name val="Arial"/>
      <family val="2"/>
      <scheme val="minor"/>
    </font>
    <font>
      <b/>
      <u/>
      <sz val="8"/>
      <color rgb="FFFFFFFF"/>
      <name val="DM Sans"/>
    </font>
    <font>
      <sz val="8"/>
      <color theme="1"/>
      <name val="DM Sans"/>
    </font>
    <font>
      <b/>
      <sz val="9"/>
      <color theme="1"/>
      <name val="DM Sans"/>
    </font>
    <font>
      <b/>
      <sz val="12"/>
      <color rgb="FFFFFFFF"/>
      <name val="DM Sans"/>
    </font>
    <font>
      <sz val="10"/>
      <color theme="0"/>
      <name val="Arial"/>
      <family val="2"/>
      <scheme val="minor"/>
    </font>
    <font>
      <sz val="9"/>
      <color rgb="FF333333"/>
      <name val="DM Sans"/>
    </font>
    <font>
      <sz val="10"/>
      <name val="Arial"/>
      <family val="2"/>
    </font>
    <font>
      <b/>
      <sz val="10"/>
      <color rgb="FFFFFFFF"/>
      <name val="DM Sans"/>
    </font>
    <font>
      <b/>
      <sz val="9"/>
      <color rgb="FFFFFFFF"/>
      <name val="DM Sans"/>
    </font>
    <font>
      <b/>
      <sz val="12"/>
      <color theme="1"/>
      <name val="DM Sans"/>
    </font>
    <font>
      <b/>
      <sz val="11"/>
      <color theme="1"/>
      <name val="DM Sans"/>
    </font>
    <font>
      <b/>
      <sz val="11"/>
      <color rgb="FFFFFFFF"/>
      <name val="DM Sans"/>
    </font>
  </fonts>
  <fills count="12">
    <fill>
      <patternFill patternType="none"/>
    </fill>
    <fill>
      <patternFill patternType="gray125"/>
    </fill>
    <fill>
      <patternFill patternType="solid">
        <fgColor rgb="FFF3F3F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0A1D2C"/>
        <bgColor rgb="FF0A1D2C"/>
      </patternFill>
    </fill>
    <fill>
      <patternFill patternType="solid">
        <fgColor rgb="FFAA1E2D"/>
        <bgColor rgb="FFAA1E2D"/>
      </patternFill>
    </fill>
    <fill>
      <patternFill patternType="solid">
        <fgColor rgb="FFFFFFFF"/>
        <bgColor rgb="FFFFFFFF"/>
      </patternFill>
    </fill>
    <fill>
      <patternFill patternType="solid">
        <fgColor rgb="FFF8F8F8"/>
        <bgColor rgb="FFF8F8F8"/>
      </patternFill>
    </fill>
    <fill>
      <patternFill patternType="solid">
        <fgColor theme="0"/>
        <bgColor indexed="64"/>
      </patternFill>
    </fill>
    <fill>
      <patternFill patternType="solid">
        <fgColor rgb="FF0A1D2C"/>
        <bgColor rgb="FFF8F8F8"/>
      </patternFill>
    </fill>
    <fill>
      <patternFill patternType="solid">
        <fgColor rgb="FF0A1D2C"/>
        <bgColor rgb="FFF3F3F3"/>
      </patternFill>
    </fill>
  </fills>
  <borders count="28">
    <border>
      <left/>
      <right/>
      <top/>
      <bottom/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n">
        <color rgb="FFF3F3F3"/>
      </left>
      <right style="thin">
        <color rgb="FFF3F3F3"/>
      </right>
      <top style="thin">
        <color rgb="FFF3F3F3"/>
      </top>
      <bottom style="thin">
        <color rgb="FFF3F3F3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medium">
        <color rgb="FFB7B7B7"/>
      </left>
      <right style="thin">
        <color rgb="FFB7B7B7"/>
      </right>
      <top style="thin">
        <color rgb="FF0A1D2C"/>
      </top>
      <bottom/>
      <diagonal/>
    </border>
    <border>
      <left/>
      <right/>
      <top style="thin">
        <color rgb="FF0A1D2C"/>
      </top>
      <bottom/>
      <diagonal/>
    </border>
    <border>
      <left style="thin">
        <color rgb="FFAA1E2D"/>
      </left>
      <right/>
      <top style="thin">
        <color rgb="FFAA1E2D"/>
      </top>
      <bottom/>
      <diagonal/>
    </border>
    <border>
      <left/>
      <right/>
      <top style="thin">
        <color rgb="FFAA1E2D"/>
      </top>
      <bottom/>
      <diagonal/>
    </border>
    <border>
      <left/>
      <right style="thin">
        <color rgb="FFAA1E2D"/>
      </right>
      <top style="thin">
        <color rgb="FFAA1E2D"/>
      </top>
      <bottom/>
      <diagonal/>
    </border>
    <border>
      <left style="thin">
        <color rgb="FFAA1E2D"/>
      </left>
      <right/>
      <top/>
      <bottom/>
      <diagonal/>
    </border>
    <border>
      <left/>
      <right style="thin">
        <color rgb="FFAA1E2D"/>
      </right>
      <top/>
      <bottom/>
      <diagonal/>
    </border>
    <border>
      <left style="thin">
        <color rgb="FFAA1E2D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AA1E2D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rgb="FFFFFFFF"/>
      </bottom>
      <diagonal/>
    </border>
    <border>
      <left/>
      <right style="thick">
        <color rgb="FFFFFFFF"/>
      </right>
      <top style="thin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/>
    <xf numFmtId="0" fontId="0" fillId="3" borderId="0" xfId="0" applyFill="1"/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/>
    </xf>
    <xf numFmtId="0" fontId="0" fillId="0" borderId="0" xfId="0"/>
    <xf numFmtId="0" fontId="4" fillId="0" borderId="4" xfId="0" applyFont="1" applyBorder="1"/>
    <xf numFmtId="0" fontId="4" fillId="4" borderId="3" xfId="0" applyFont="1" applyFill="1" applyBorder="1"/>
    <xf numFmtId="0" fontId="4" fillId="0" borderId="3" xfId="0" applyFont="1" applyBorder="1"/>
    <xf numFmtId="0" fontId="5" fillId="5" borderId="0" xfId="0" applyFont="1" applyFill="1" applyAlignment="1">
      <alignment horizontal="center" vertical="top"/>
    </xf>
    <xf numFmtId="0" fontId="5" fillId="5" borderId="0" xfId="0" applyFont="1" applyFill="1" applyAlignment="1">
      <alignment horizontal="center" vertical="top"/>
    </xf>
    <xf numFmtId="0" fontId="4" fillId="5" borderId="0" xfId="0" applyFont="1" applyFill="1"/>
    <xf numFmtId="0" fontId="6" fillId="6" borderId="5" xfId="0" applyFont="1" applyFill="1" applyBorder="1" applyAlignment="1">
      <alignment horizontal="center"/>
    </xf>
    <xf numFmtId="1" fontId="7" fillId="7" borderId="5" xfId="0" quotePrefix="1" applyNumberFormat="1" applyFont="1" applyFill="1" applyBorder="1" applyAlignment="1">
      <alignment horizontal="center"/>
    </xf>
    <xf numFmtId="1" fontId="0" fillId="0" borderId="5" xfId="0" applyNumberFormat="1" applyBorder="1"/>
    <xf numFmtId="0" fontId="8" fillId="5" borderId="0" xfId="0" applyFont="1" applyFill="1"/>
    <xf numFmtId="0" fontId="7" fillId="7" borderId="5" xfId="0" applyFont="1" applyFill="1" applyBorder="1" applyAlignment="1">
      <alignment horizontal="center"/>
    </xf>
    <xf numFmtId="0" fontId="0" fillId="0" borderId="5" xfId="0" applyBorder="1"/>
    <xf numFmtId="0" fontId="6" fillId="6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3" fontId="7" fillId="7" borderId="5" xfId="0" applyNumberFormat="1" applyFont="1" applyFill="1" applyBorder="1" applyAlignment="1">
      <alignment horizontal="center"/>
    </xf>
    <xf numFmtId="49" fontId="9" fillId="7" borderId="0" xfId="0" applyNumberFormat="1" applyFont="1" applyFill="1" applyAlignment="1">
      <alignment horizontal="left"/>
    </xf>
    <xf numFmtId="0" fontId="10" fillId="5" borderId="0" xfId="0" applyFont="1" applyFill="1"/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49" fontId="8" fillId="5" borderId="0" xfId="0" applyNumberFormat="1" applyFont="1" applyFill="1"/>
    <xf numFmtId="49" fontId="6" fillId="6" borderId="0" xfId="0" applyNumberFormat="1" applyFont="1" applyFill="1" applyAlignment="1">
      <alignment horizontal="center"/>
    </xf>
    <xf numFmtId="0" fontId="11" fillId="5" borderId="0" xfId="0" applyFont="1" applyFill="1" applyAlignment="1">
      <alignment vertical="center"/>
    </xf>
    <xf numFmtId="1" fontId="7" fillId="7" borderId="5" xfId="0" applyNumberFormat="1" applyFont="1" applyFill="1" applyBorder="1" applyAlignment="1">
      <alignment horizontal="center"/>
    </xf>
    <xf numFmtId="164" fontId="12" fillId="5" borderId="0" xfId="0" applyNumberFormat="1" applyFont="1" applyFill="1" applyAlignment="1">
      <alignment horizontal="center"/>
    </xf>
    <xf numFmtId="3" fontId="13" fillId="8" borderId="6" xfId="0" applyNumberFormat="1" applyFont="1" applyFill="1" applyBorder="1" applyAlignment="1">
      <alignment horizontal="left"/>
    </xf>
    <xf numFmtId="3" fontId="13" fillId="8" borderId="7" xfId="0" applyNumberFormat="1" applyFont="1" applyFill="1" applyBorder="1" applyAlignment="1">
      <alignment horizontal="left"/>
    </xf>
    <xf numFmtId="1" fontId="7" fillId="7" borderId="6" xfId="0" applyNumberFormat="1" applyFont="1" applyFill="1" applyBorder="1" applyAlignment="1">
      <alignment horizontal="center"/>
    </xf>
    <xf numFmtId="1" fontId="7" fillId="7" borderId="7" xfId="0" applyNumberFormat="1" applyFont="1" applyFill="1" applyBorder="1" applyAlignment="1">
      <alignment horizontal="center"/>
    </xf>
    <xf numFmtId="0" fontId="13" fillId="0" borderId="8" xfId="0" applyFont="1" applyBorder="1"/>
    <xf numFmtId="0" fontId="4" fillId="0" borderId="8" xfId="0" applyFont="1" applyBorder="1"/>
    <xf numFmtId="0" fontId="4" fillId="0" borderId="9" xfId="0" applyFont="1" applyBorder="1"/>
    <xf numFmtId="0" fontId="14" fillId="6" borderId="5" xfId="0" applyFont="1" applyFill="1" applyBorder="1" applyAlignment="1">
      <alignment horizontal="center" vertical="center"/>
    </xf>
    <xf numFmtId="0" fontId="9" fillId="8" borderId="5" xfId="0" applyFont="1" applyFill="1" applyBorder="1"/>
    <xf numFmtId="0" fontId="9" fillId="0" borderId="5" xfId="0" applyFont="1" applyBorder="1"/>
    <xf numFmtId="3" fontId="13" fillId="8" borderId="5" xfId="0" applyNumberFormat="1" applyFont="1" applyFill="1" applyBorder="1" applyAlignment="1">
      <alignment horizontal="left"/>
    </xf>
    <xf numFmtId="0" fontId="15" fillId="9" borderId="5" xfId="0" applyFont="1" applyFill="1" applyBorder="1"/>
    <xf numFmtId="0" fontId="16" fillId="0" borderId="6" xfId="0" applyFont="1" applyBorder="1"/>
    <xf numFmtId="0" fontId="16" fillId="0" borderId="10" xfId="0" applyFont="1" applyBorder="1"/>
    <xf numFmtId="0" fontId="16" fillId="0" borderId="7" xfId="0" applyFont="1" applyBorder="1"/>
    <xf numFmtId="0" fontId="13" fillId="0" borderId="11" xfId="0" applyFont="1" applyBorder="1"/>
    <xf numFmtId="0" fontId="4" fillId="0" borderId="11" xfId="0" applyFont="1" applyBorder="1"/>
    <xf numFmtId="0" fontId="14" fillId="6" borderId="0" xfId="0" applyFont="1" applyFill="1" applyAlignment="1">
      <alignment horizontal="center" vertical="center"/>
    </xf>
    <xf numFmtId="0" fontId="13" fillId="8" borderId="5" xfId="0" applyFont="1" applyFill="1" applyBorder="1" applyAlignment="1">
      <alignment horizontal="left"/>
    </xf>
    <xf numFmtId="0" fontId="13" fillId="0" borderId="5" xfId="0" applyFont="1" applyBorder="1" applyAlignment="1">
      <alignment horizontal="left"/>
    </xf>
    <xf numFmtId="0" fontId="13" fillId="0" borderId="5" xfId="0" applyFont="1" applyBorder="1" applyAlignment="1">
      <alignment horizontal="center"/>
    </xf>
    <xf numFmtId="14" fontId="7" fillId="8" borderId="5" xfId="0" applyNumberFormat="1" applyFont="1" applyFill="1" applyBorder="1" applyAlignment="1">
      <alignment horizontal="left"/>
    </xf>
    <xf numFmtId="0" fontId="7" fillId="0" borderId="5" xfId="0" applyFont="1" applyBorder="1" applyAlignment="1">
      <alignment horizontal="left"/>
    </xf>
    <xf numFmtId="3" fontId="7" fillId="0" borderId="5" xfId="0" applyNumberFormat="1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164" fontId="7" fillId="0" borderId="5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0" fontId="4" fillId="8" borderId="5" xfId="0" applyFont="1" applyFill="1" applyBorder="1" applyAlignment="1">
      <alignment horizontal="left"/>
    </xf>
    <xf numFmtId="0" fontId="12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17" fillId="0" borderId="5" xfId="0" applyFont="1" applyBorder="1"/>
    <xf numFmtId="0" fontId="4" fillId="7" borderId="12" xfId="0" applyFont="1" applyFill="1" applyBorder="1" applyAlignment="1">
      <alignment horizontal="left"/>
    </xf>
    <xf numFmtId="0" fontId="7" fillId="7" borderId="13" xfId="0" applyFont="1" applyFill="1" applyBorder="1" applyAlignment="1">
      <alignment horizontal="left"/>
    </xf>
    <xf numFmtId="0" fontId="17" fillId="0" borderId="14" xfId="0" applyFont="1" applyBorder="1"/>
    <xf numFmtId="0" fontId="12" fillId="7" borderId="12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18" fillId="5" borderId="15" xfId="0" applyFont="1" applyFill="1" applyBorder="1" applyAlignment="1">
      <alignment horizontal="center" vertical="center"/>
    </xf>
    <xf numFmtId="166" fontId="18" fillId="5" borderId="16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4" fillId="6" borderId="17" xfId="0" applyFont="1" applyFill="1" applyBorder="1" applyAlignment="1">
      <alignment horizontal="center" vertical="center"/>
    </xf>
    <xf numFmtId="0" fontId="17" fillId="0" borderId="18" xfId="0" applyFont="1" applyBorder="1"/>
    <xf numFmtId="0" fontId="17" fillId="0" borderId="19" xfId="0" applyFont="1" applyBorder="1"/>
    <xf numFmtId="0" fontId="19" fillId="5" borderId="5" xfId="0" applyFont="1" applyFill="1" applyBorder="1" applyAlignment="1">
      <alignment horizontal="left"/>
    </xf>
    <xf numFmtId="165" fontId="4" fillId="10" borderId="5" xfId="0" applyNumberFormat="1" applyFont="1" applyFill="1" applyBorder="1"/>
    <xf numFmtId="165" fontId="4" fillId="0" borderId="5" xfId="0" applyNumberFormat="1" applyFont="1" applyBorder="1"/>
    <xf numFmtId="165" fontId="4" fillId="8" borderId="5" xfId="0" applyNumberFormat="1" applyFont="1" applyFill="1" applyBorder="1"/>
    <xf numFmtId="165" fontId="4" fillId="11" borderId="5" xfId="0" applyNumberFormat="1" applyFont="1" applyFill="1" applyBorder="1"/>
    <xf numFmtId="0" fontId="13" fillId="4" borderId="5" xfId="0" applyFont="1" applyFill="1" applyBorder="1" applyAlignment="1">
      <alignment horizontal="left"/>
    </xf>
    <xf numFmtId="0" fontId="4" fillId="0" borderId="0" xfId="0" applyFont="1"/>
    <xf numFmtId="0" fontId="13" fillId="8" borderId="5" xfId="0" applyFont="1" applyFill="1" applyBorder="1" applyAlignment="1">
      <alignment horizontal="center"/>
    </xf>
    <xf numFmtId="165" fontId="9" fillId="0" borderId="5" xfId="0" applyNumberFormat="1" applyFont="1" applyBorder="1"/>
    <xf numFmtId="165" fontId="9" fillId="8" borderId="5" xfId="0" applyNumberFormat="1" applyFont="1" applyFill="1" applyBorder="1"/>
    <xf numFmtId="0" fontId="14" fillId="6" borderId="20" xfId="0" applyFont="1" applyFill="1" applyBorder="1" applyAlignment="1">
      <alignment horizontal="center" vertical="center"/>
    </xf>
    <xf numFmtId="0" fontId="17" fillId="0" borderId="0" xfId="0" applyFont="1"/>
    <xf numFmtId="0" fontId="17" fillId="0" borderId="21" xfId="0" applyFont="1" applyBorder="1"/>
    <xf numFmtId="3" fontId="7" fillId="7" borderId="5" xfId="0" applyNumberFormat="1" applyFont="1" applyFill="1" applyBorder="1"/>
    <xf numFmtId="0" fontId="0" fillId="0" borderId="5" xfId="0" applyBorder="1"/>
    <xf numFmtId="3" fontId="4" fillId="0" borderId="5" xfId="0" applyNumberFormat="1" applyFont="1" applyBorder="1"/>
    <xf numFmtId="0" fontId="4" fillId="8" borderId="5" xfId="0" applyFont="1" applyFill="1" applyBorder="1"/>
    <xf numFmtId="0" fontId="4" fillId="0" borderId="5" xfId="0" applyFont="1" applyBorder="1"/>
    <xf numFmtId="3" fontId="9" fillId="8" borderId="5" xfId="0" applyNumberFormat="1" applyFont="1" applyFill="1" applyBorder="1"/>
    <xf numFmtId="0" fontId="9" fillId="0" borderId="5" xfId="0" applyFont="1" applyBorder="1"/>
    <xf numFmtId="0" fontId="13" fillId="8" borderId="5" xfId="0" applyFont="1" applyFill="1" applyBorder="1" applyAlignment="1">
      <alignment horizontal="left" vertical="center"/>
    </xf>
    <xf numFmtId="3" fontId="20" fillId="0" borderId="5" xfId="0" applyNumberFormat="1" applyFont="1" applyBorder="1" applyAlignment="1">
      <alignment horizontal="center" vertical="center"/>
    </xf>
    <xf numFmtId="165" fontId="20" fillId="0" borderId="5" xfId="0" applyNumberFormat="1" applyFont="1" applyBorder="1" applyAlignment="1">
      <alignment horizontal="center" vertical="center"/>
    </xf>
    <xf numFmtId="0" fontId="14" fillId="6" borderId="22" xfId="0" applyFont="1" applyFill="1" applyBorder="1" applyAlignment="1">
      <alignment horizontal="center" vertical="center"/>
    </xf>
    <xf numFmtId="0" fontId="14" fillId="6" borderId="10" xfId="0" applyFont="1" applyFill="1" applyBorder="1" applyAlignment="1">
      <alignment horizontal="center" vertical="center"/>
    </xf>
    <xf numFmtId="0" fontId="14" fillId="6" borderId="23" xfId="0" applyFont="1" applyFill="1" applyBorder="1" applyAlignment="1">
      <alignment horizontal="center" vertical="center"/>
    </xf>
    <xf numFmtId="3" fontId="4" fillId="0" borderId="6" xfId="0" applyNumberFormat="1" applyFont="1" applyBorder="1" applyAlignment="1">
      <alignment horizontal="left"/>
    </xf>
    <xf numFmtId="3" fontId="4" fillId="0" borderId="10" xfId="0" applyNumberFormat="1" applyFont="1" applyBorder="1" applyAlignment="1">
      <alignment horizontal="left"/>
    </xf>
    <xf numFmtId="3" fontId="4" fillId="0" borderId="7" xfId="0" applyNumberFormat="1" applyFont="1" applyBorder="1" applyAlignment="1">
      <alignment horizontal="left"/>
    </xf>
    <xf numFmtId="0" fontId="21" fillId="5" borderId="0" xfId="0" applyFont="1" applyFill="1"/>
    <xf numFmtId="49" fontId="22" fillId="5" borderId="24" xfId="0" applyNumberFormat="1" applyFont="1" applyFill="1" applyBorder="1" applyAlignment="1">
      <alignment horizontal="right" vertical="center"/>
    </xf>
    <xf numFmtId="49" fontId="22" fillId="5" borderId="25" xfId="0" applyNumberFormat="1" applyFont="1" applyFill="1" applyBorder="1" applyAlignment="1">
      <alignment horizontal="right" vertical="center"/>
    </xf>
    <xf numFmtId="0" fontId="4" fillId="0" borderId="26" xfId="0" applyFont="1" applyBorder="1"/>
    <xf numFmtId="0" fontId="4" fillId="0" borderId="27" xfId="0" applyFont="1" applyBorder="1"/>
  </cellXfs>
  <cellStyles count="1">
    <cellStyle name="Normal" xfId="0" builtinId="0"/>
  </cellStyles>
  <dxfs count="3">
    <dxf>
      <fill>
        <patternFill>
          <bgColor rgb="FF92D050"/>
        </patternFill>
      </fill>
    </dxf>
    <dxf>
      <font>
        <b/>
        <i val="0"/>
      </font>
      <fill>
        <patternFill>
          <bgColor rgb="FFFFCC66"/>
        </patternFill>
      </fill>
    </dxf>
    <dxf>
      <font>
        <b/>
        <i val="0"/>
        <strike val="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D$17" lockText="1"/>
</file>

<file path=xl/ctrlProps/ctrlProp2.xml><?xml version="1.0" encoding="utf-8"?>
<formControlPr xmlns="http://schemas.microsoft.com/office/spreadsheetml/2009/9/main" objectType="CheckBox" fmlaLink="$D$18" lockText="1"/>
</file>

<file path=xl/ctrlProps/ctrlProp3.xml><?xml version="1.0" encoding="utf-8"?>
<formControlPr xmlns="http://schemas.microsoft.com/office/spreadsheetml/2009/9/main" objectType="CheckBox" fmlaLink="$D$19" lockText="1"/>
</file>

<file path=xl/ctrlProps/ctrlProp4.xml><?xml version="1.0" encoding="utf-8"?>
<formControlPr xmlns="http://schemas.microsoft.com/office/spreadsheetml/2009/9/main" objectType="CheckBox" fmlaLink="$D$20" lockText="1"/>
</file>

<file path=xl/ctrlProps/ctrlProp5.xml><?xml version="1.0" encoding="utf-8"?>
<formControlPr xmlns="http://schemas.microsoft.com/office/spreadsheetml/2009/9/main" objectType="CheckBox" fmlaLink="$D$21" lockText="1"/>
</file>

<file path=xl/ctrlProps/ctrlProp6.xml><?xml version="1.0" encoding="utf-8"?>
<formControlPr xmlns="http://schemas.microsoft.com/office/spreadsheetml/2009/9/main" objectType="CheckBox" fmlaLink="$D$22" lockText="1"/>
</file>

<file path=xl/ctrlProps/ctrlProp7.xml><?xml version="1.0" encoding="utf-8"?>
<formControlPr xmlns="http://schemas.microsoft.com/office/spreadsheetml/2009/9/main" objectType="CheckBox" fmlaLink="$D$23" lockText="1"/>
</file>

<file path=xl/ctrlProps/ctrlProp8.xml><?xml version="1.0" encoding="utf-8"?>
<formControlPr xmlns="http://schemas.microsoft.com/office/spreadsheetml/2009/9/main" objectType="CheckBox" fmlaLink="$D$24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15</xdr:row>
          <xdr:rowOff>179070</xdr:rowOff>
        </xdr:from>
        <xdr:to>
          <xdr:col>3</xdr:col>
          <xdr:colOff>571500</xdr:colOff>
          <xdr:row>17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A9017E1-B713-4377-ACD5-EBF5C70BC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16</xdr:row>
          <xdr:rowOff>186690</xdr:rowOff>
        </xdr:from>
        <xdr:to>
          <xdr:col>3</xdr:col>
          <xdr:colOff>571500</xdr:colOff>
          <xdr:row>18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1216C91-2E18-4232-B90C-D96866F6D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17</xdr:row>
          <xdr:rowOff>179070</xdr:rowOff>
        </xdr:from>
        <xdr:to>
          <xdr:col>3</xdr:col>
          <xdr:colOff>571500</xdr:colOff>
          <xdr:row>19</xdr:row>
          <xdr:rowOff>15240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787DBC9-A4D7-4B29-8566-D07D803DE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18</xdr:row>
          <xdr:rowOff>167640</xdr:rowOff>
        </xdr:from>
        <xdr:to>
          <xdr:col>3</xdr:col>
          <xdr:colOff>571500</xdr:colOff>
          <xdr:row>20</xdr:row>
          <xdr:rowOff>11430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B4543CB-4E89-4AB5-9CBB-4D05DB245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19</xdr:row>
          <xdr:rowOff>175260</xdr:rowOff>
        </xdr:from>
        <xdr:to>
          <xdr:col>3</xdr:col>
          <xdr:colOff>571500</xdr:colOff>
          <xdr:row>21</xdr:row>
          <xdr:rowOff>15240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AF9BCAD-F7AE-46CD-AA32-23AD7BA58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20</xdr:row>
          <xdr:rowOff>175260</xdr:rowOff>
        </xdr:from>
        <xdr:to>
          <xdr:col>3</xdr:col>
          <xdr:colOff>571500</xdr:colOff>
          <xdr:row>22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60799B12-A8CD-4078-A4FD-91FA71EA7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21</xdr:row>
          <xdr:rowOff>171450</xdr:rowOff>
        </xdr:from>
        <xdr:to>
          <xdr:col>3</xdr:col>
          <xdr:colOff>571500</xdr:colOff>
          <xdr:row>23</xdr:row>
          <xdr:rowOff>11430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8FBCDA9-ADA2-47B0-9D6D-D178ACA95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346710</xdr:colOff>
          <xdr:row>22</xdr:row>
          <xdr:rowOff>171450</xdr:rowOff>
        </xdr:from>
        <xdr:to>
          <xdr:col>3</xdr:col>
          <xdr:colOff>571500</xdr:colOff>
          <xdr:row>24</xdr:row>
          <xdr:rowOff>11430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33B6014D-8F0D-44EB-AD2F-7F016BF48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B05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E797-4B26-44B4-91C3-E448FA32F3BC}">
  <sheetPr codeName="Sheet8">
    <outlinePr summaryBelow="0" summaryRight="0"/>
  </sheetPr>
  <dimension ref="A1:AB1015"/>
  <sheetViews>
    <sheetView tabSelected="1" zoomScale="115" zoomScaleNormal="115" workbookViewId="0">
      <selection activeCell="L8" sqref="L8:M8"/>
    </sheetView>
  </sheetViews>
  <sheetFormatPr defaultColWidth="12.609375" defaultRowHeight="15.75" customHeight="1" x14ac:dyDescent="0.4"/>
  <cols>
    <col min="1" max="1" width="10.5" customWidth="1"/>
    <col min="2" max="2" width="6" customWidth="1"/>
    <col min="3" max="3" width="22.0546875" bestFit="1" customWidth="1"/>
    <col min="8" max="8" width="14.1640625" bestFit="1" customWidth="1"/>
    <col min="11" max="11" width="13.71875" customWidth="1"/>
    <col min="16" max="16" width="6.21875" customWidth="1"/>
  </cols>
  <sheetData>
    <row r="1" spans="1:28" ht="15.75" customHeigh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7.25" customHeight="1" thickBot="1" x14ac:dyDescent="0.45">
      <c r="A2" s="1"/>
      <c r="B2" s="2"/>
      <c r="C2" s="3"/>
      <c r="D2" s="3"/>
      <c r="E2" s="3"/>
      <c r="F2" s="3"/>
      <c r="G2" s="3"/>
      <c r="H2" s="3"/>
      <c r="I2" s="3"/>
      <c r="J2" s="3"/>
      <c r="K2" s="4"/>
      <c r="L2" s="4"/>
      <c r="M2" s="4"/>
      <c r="N2" s="5"/>
      <c r="O2" s="4"/>
      <c r="Q2" s="6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ht="49.5" customHeight="1" thickTop="1" thickBot="1" x14ac:dyDescent="1.35">
      <c r="A3" s="1"/>
      <c r="B3" s="2"/>
      <c r="C3" s="8" t="s">
        <v>0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0"/>
      <c r="Q3" s="11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8.25" customHeight="1" thickTop="1" thickBot="1" x14ac:dyDescent="0.6">
      <c r="A4" s="1"/>
      <c r="B4" s="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0"/>
      <c r="Q4" s="11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27.75" customHeight="1" thickTop="1" thickBot="1" x14ac:dyDescent="0.6">
      <c r="A5" s="1"/>
      <c r="B5" s="2"/>
      <c r="C5" s="14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10"/>
      <c r="Q5" s="11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3.8" thickTop="1" thickBot="1" x14ac:dyDescent="0.6">
      <c r="A6" s="1"/>
      <c r="B6" s="2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0"/>
      <c r="Q6" s="11"/>
      <c r="R6" s="12"/>
      <c r="S6" s="12"/>
    </row>
    <row r="7" spans="1:28" ht="13.8" thickTop="1" thickBot="1" x14ac:dyDescent="0.6">
      <c r="A7" s="1"/>
      <c r="B7" s="2"/>
      <c r="C7" s="15"/>
      <c r="D7" s="16" t="s">
        <v>1</v>
      </c>
      <c r="E7" s="17" t="s">
        <v>2</v>
      </c>
      <c r="F7" s="18"/>
      <c r="G7" s="19"/>
      <c r="H7" s="16" t="s">
        <v>3</v>
      </c>
      <c r="I7" s="20" t="s">
        <v>4</v>
      </c>
      <c r="J7" s="21"/>
      <c r="K7" s="19"/>
      <c r="L7" s="22" t="s">
        <v>5</v>
      </c>
      <c r="M7" s="19"/>
      <c r="N7" s="19"/>
      <c r="O7" s="15"/>
      <c r="P7" s="10"/>
      <c r="Q7" s="11"/>
      <c r="R7" s="12"/>
      <c r="S7" s="12"/>
    </row>
    <row r="8" spans="1:28" ht="15.9" thickTop="1" thickBot="1" x14ac:dyDescent="0.6">
      <c r="A8" s="1"/>
      <c r="B8" s="2"/>
      <c r="C8" s="15"/>
      <c r="D8" s="16" t="s">
        <v>6</v>
      </c>
      <c r="E8" s="20">
        <v>1000</v>
      </c>
      <c r="F8" s="21"/>
      <c r="G8" s="23"/>
      <c r="H8" s="16" t="s">
        <v>7</v>
      </c>
      <c r="I8" s="24">
        <v>200000</v>
      </c>
      <c r="J8" s="21"/>
      <c r="K8" s="19"/>
      <c r="L8" s="25" t="s">
        <v>8</v>
      </c>
      <c r="M8" s="25"/>
      <c r="N8" s="26"/>
      <c r="O8" s="15"/>
      <c r="P8" s="10"/>
      <c r="Q8" s="11"/>
      <c r="R8" s="12"/>
      <c r="S8" s="12"/>
      <c r="T8" s="12"/>
      <c r="U8" s="12"/>
      <c r="V8" s="12"/>
    </row>
    <row r="9" spans="1:28" ht="13.8" thickTop="1" thickBot="1" x14ac:dyDescent="0.6">
      <c r="A9" s="1"/>
      <c r="B9" s="2"/>
      <c r="C9" s="15"/>
      <c r="D9" s="16" t="s">
        <v>9</v>
      </c>
      <c r="E9" s="27" t="s">
        <v>9</v>
      </c>
      <c r="F9" s="28"/>
      <c r="G9" s="23"/>
      <c r="H9" s="16" t="s">
        <v>10</v>
      </c>
      <c r="I9" s="20" t="s">
        <v>11</v>
      </c>
      <c r="J9" s="21"/>
      <c r="K9" s="19"/>
      <c r="L9" s="29"/>
      <c r="M9" s="29"/>
      <c r="N9" s="19"/>
      <c r="O9" s="15"/>
      <c r="P9" s="10"/>
      <c r="Q9" s="11"/>
      <c r="R9" s="12"/>
      <c r="S9" s="12"/>
      <c r="T9" s="12"/>
      <c r="U9" s="12"/>
      <c r="V9" s="12"/>
    </row>
    <row r="10" spans="1:28" ht="13.8" thickTop="1" thickBot="1" x14ac:dyDescent="0.6">
      <c r="A10" s="1"/>
      <c r="B10" s="2"/>
      <c r="C10" s="15"/>
      <c r="D10" s="16" t="s">
        <v>12</v>
      </c>
      <c r="E10" s="27" t="s">
        <v>12</v>
      </c>
      <c r="F10" s="28"/>
      <c r="G10" s="19"/>
      <c r="H10" s="16" t="s">
        <v>13</v>
      </c>
      <c r="I10" s="20" t="s">
        <v>13</v>
      </c>
      <c r="J10" s="21"/>
      <c r="K10" s="19"/>
      <c r="L10" s="30" t="s">
        <v>14</v>
      </c>
      <c r="M10" s="29"/>
      <c r="N10" s="19"/>
      <c r="O10" s="31"/>
      <c r="P10" s="10"/>
      <c r="Q10" s="11"/>
      <c r="R10" s="12"/>
      <c r="S10" s="12"/>
      <c r="T10" s="12"/>
      <c r="U10" s="12"/>
      <c r="V10" s="12"/>
    </row>
    <row r="11" spans="1:28" ht="13.8" thickTop="1" thickBot="1" x14ac:dyDescent="0.6">
      <c r="A11" s="1"/>
      <c r="B11" s="2"/>
      <c r="C11" s="15"/>
      <c r="D11" s="16" t="s">
        <v>15</v>
      </c>
      <c r="E11" s="27" t="s">
        <v>15</v>
      </c>
      <c r="F11" s="28"/>
      <c r="G11" s="23"/>
      <c r="H11" s="16" t="s">
        <v>16</v>
      </c>
      <c r="I11" s="32">
        <v>198000</v>
      </c>
      <c r="J11" s="18"/>
      <c r="K11" s="33"/>
      <c r="L11" s="34" cm="1">
        <f t="array" ref="L11">MIN(_xlfn._xlws.FILTER(C17:C24, D17:D24=FALSE))</f>
        <v>206000</v>
      </c>
      <c r="M11" s="35"/>
      <c r="N11" s="31"/>
      <c r="O11" s="31"/>
      <c r="P11" s="10"/>
      <c r="Q11" s="11"/>
      <c r="R11" s="12"/>
      <c r="S11" s="12"/>
      <c r="T11" s="12"/>
      <c r="U11" s="12"/>
      <c r="V11" s="12"/>
    </row>
    <row r="12" spans="1:28" ht="13.8" thickTop="1" thickBot="1" x14ac:dyDescent="0.6">
      <c r="A12" s="1"/>
      <c r="B12" s="2"/>
      <c r="C12" s="15"/>
      <c r="D12" s="16" t="s">
        <v>17</v>
      </c>
      <c r="E12" s="27" t="s">
        <v>18</v>
      </c>
      <c r="F12" s="28"/>
      <c r="G12" s="23"/>
      <c r="H12" s="16" t="s">
        <v>19</v>
      </c>
      <c r="I12" s="36">
        <f>L11-I8</f>
        <v>6000</v>
      </c>
      <c r="J12" s="37"/>
      <c r="K12" s="33"/>
      <c r="L12" s="15"/>
      <c r="M12" s="31"/>
      <c r="N12" s="31"/>
      <c r="O12" s="31"/>
      <c r="P12" s="10"/>
      <c r="Q12" s="11"/>
      <c r="R12" s="12"/>
      <c r="S12" s="12"/>
      <c r="T12" s="12"/>
      <c r="U12" s="12"/>
      <c r="V12" s="12"/>
    </row>
    <row r="13" spans="1:28" ht="33.75" customHeight="1" thickTop="1" thickBot="1" x14ac:dyDescent="0.6">
      <c r="A13" s="1"/>
      <c r="B13" s="2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0"/>
      <c r="Q13" s="11"/>
      <c r="R13" s="12"/>
      <c r="S13" s="12"/>
      <c r="T13" s="12"/>
      <c r="U13" s="12"/>
      <c r="V13" s="12"/>
    </row>
    <row r="14" spans="1:28" ht="13.8" thickTop="1" thickBot="1" x14ac:dyDescent="0.6">
      <c r="A14" s="1"/>
      <c r="B14" s="2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11"/>
      <c r="R14" s="12"/>
      <c r="S14" s="12"/>
      <c r="T14" s="12"/>
      <c r="U14" s="12"/>
      <c r="V14" s="12"/>
    </row>
    <row r="15" spans="1:28" ht="34.5" customHeight="1" thickTop="1" thickBot="1" x14ac:dyDescent="0.6">
      <c r="A15" s="1"/>
      <c r="B15" s="2"/>
      <c r="C15" s="41" t="s">
        <v>20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0"/>
      <c r="Q15" s="11"/>
      <c r="R15" s="12"/>
      <c r="S15" s="12"/>
      <c r="T15" s="12"/>
      <c r="U15" s="12"/>
      <c r="V15" s="12"/>
    </row>
    <row r="16" spans="1:28" ht="13.8" thickTop="1" thickBot="1" x14ac:dyDescent="0.6">
      <c r="A16" s="1"/>
      <c r="B16" s="2"/>
      <c r="C16" s="42" t="s">
        <v>21</v>
      </c>
      <c r="D16" s="43" t="s">
        <v>22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0"/>
      <c r="Q16" s="11"/>
      <c r="R16" s="12"/>
      <c r="S16" s="12"/>
      <c r="T16" s="12"/>
      <c r="U16" s="12"/>
      <c r="V16" s="12"/>
    </row>
    <row r="17" spans="1:28" ht="13.8" thickTop="1" thickBot="1" x14ac:dyDescent="0.6">
      <c r="A17" s="1"/>
      <c r="B17" s="2"/>
      <c r="C17" s="44">
        <f>I11</f>
        <v>198000</v>
      </c>
      <c r="D17" s="45" t="b">
        <v>1</v>
      </c>
      <c r="E17" s="46" t="s">
        <v>23</v>
      </c>
      <c r="F17" s="47"/>
      <c r="G17" s="47"/>
      <c r="H17" s="47"/>
      <c r="I17" s="47"/>
      <c r="J17" s="47"/>
      <c r="K17" s="47"/>
      <c r="L17" s="47"/>
      <c r="M17" s="47"/>
      <c r="N17" s="47"/>
      <c r="O17" s="48"/>
      <c r="P17" s="40"/>
      <c r="Q17" s="11"/>
      <c r="R17" s="12"/>
      <c r="S17" s="12"/>
      <c r="T17" s="12"/>
      <c r="U17" s="12"/>
      <c r="V17" s="12"/>
    </row>
    <row r="18" spans="1:28" ht="13.8" thickTop="1" thickBot="1" x14ac:dyDescent="0.6">
      <c r="A18" s="1"/>
      <c r="B18" s="2"/>
      <c r="C18" s="44">
        <f>C17+8000</f>
        <v>206000</v>
      </c>
      <c r="D18" s="45" t="b">
        <v>0</v>
      </c>
      <c r="E18" s="46" t="s">
        <v>24</v>
      </c>
      <c r="F18" s="47"/>
      <c r="G18" s="47"/>
      <c r="H18" s="47"/>
      <c r="I18" s="47"/>
      <c r="J18" s="47"/>
      <c r="K18" s="47"/>
      <c r="L18" s="47"/>
      <c r="M18" s="47"/>
      <c r="N18" s="47"/>
      <c r="O18" s="48"/>
      <c r="P18" s="40"/>
      <c r="Q18" s="11"/>
      <c r="R18" s="12"/>
      <c r="S18" s="12"/>
      <c r="T18" s="12"/>
      <c r="U18" s="12"/>
      <c r="V18" s="12"/>
    </row>
    <row r="19" spans="1:28" ht="13.8" thickTop="1" thickBot="1" x14ac:dyDescent="0.6">
      <c r="A19" s="1"/>
      <c r="B19" s="2"/>
      <c r="C19" s="44">
        <f t="shared" ref="C19:C24" si="0">C18+8000</f>
        <v>214000</v>
      </c>
      <c r="D19" s="45" t="b">
        <v>0</v>
      </c>
      <c r="E19" s="46" t="s">
        <v>25</v>
      </c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0"/>
      <c r="Q19" s="11"/>
      <c r="R19" s="12"/>
      <c r="S19" s="12"/>
      <c r="T19" s="12"/>
      <c r="U19" s="12"/>
      <c r="V19" s="12"/>
    </row>
    <row r="20" spans="1:28" ht="13.5" customHeight="1" thickTop="1" thickBot="1" x14ac:dyDescent="0.6">
      <c r="A20" s="1"/>
      <c r="B20" s="2"/>
      <c r="C20" s="44">
        <f t="shared" si="0"/>
        <v>222000</v>
      </c>
      <c r="D20" s="45" t="b">
        <v>0</v>
      </c>
      <c r="E20" s="46" t="s">
        <v>24</v>
      </c>
      <c r="F20" s="47"/>
      <c r="G20" s="47"/>
      <c r="H20" s="47"/>
      <c r="I20" s="47"/>
      <c r="J20" s="47"/>
      <c r="K20" s="47"/>
      <c r="L20" s="47"/>
      <c r="M20" s="47"/>
      <c r="N20" s="47"/>
      <c r="O20" s="48"/>
      <c r="P20" s="40"/>
      <c r="Q20" s="11"/>
      <c r="R20" s="7"/>
      <c r="S20" s="7"/>
      <c r="T20" s="7"/>
      <c r="U20" s="7"/>
      <c r="V20" s="7"/>
    </row>
    <row r="21" spans="1:28" ht="13.8" thickTop="1" thickBot="1" x14ac:dyDescent="0.6">
      <c r="A21" s="1"/>
      <c r="B21" s="2"/>
      <c r="C21" s="44">
        <f t="shared" si="0"/>
        <v>230000</v>
      </c>
      <c r="D21" s="45" t="b">
        <v>0</v>
      </c>
      <c r="E21" s="46" t="s">
        <v>26</v>
      </c>
      <c r="F21" s="47"/>
      <c r="G21" s="47"/>
      <c r="H21" s="47"/>
      <c r="I21" s="47"/>
      <c r="J21" s="47"/>
      <c r="K21" s="47"/>
      <c r="L21" s="47"/>
      <c r="M21" s="47"/>
      <c r="N21" s="47"/>
      <c r="O21" s="48"/>
      <c r="P21" s="40"/>
      <c r="Q21" s="11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3.8" thickTop="1" thickBot="1" x14ac:dyDescent="0.6">
      <c r="A22" s="1"/>
      <c r="B22" s="2"/>
      <c r="C22" s="44">
        <f t="shared" si="0"/>
        <v>238000</v>
      </c>
      <c r="D22" s="45" t="b">
        <v>0</v>
      </c>
      <c r="E22" s="46" t="s">
        <v>27</v>
      </c>
      <c r="F22" s="47"/>
      <c r="G22" s="47"/>
      <c r="H22" s="47"/>
      <c r="I22" s="47"/>
      <c r="J22" s="47"/>
      <c r="K22" s="47"/>
      <c r="L22" s="47"/>
      <c r="M22" s="47"/>
      <c r="N22" s="47"/>
      <c r="O22" s="48"/>
      <c r="P22" s="40"/>
      <c r="Q22" s="11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3.8" thickTop="1" thickBot="1" x14ac:dyDescent="0.6">
      <c r="A23" s="1"/>
      <c r="B23" s="2"/>
      <c r="C23" s="44">
        <f t="shared" si="0"/>
        <v>246000</v>
      </c>
      <c r="D23" s="45" t="b">
        <v>0</v>
      </c>
      <c r="E23" s="46" t="s">
        <v>28</v>
      </c>
      <c r="F23" s="47"/>
      <c r="G23" s="47"/>
      <c r="H23" s="47"/>
      <c r="I23" s="47"/>
      <c r="J23" s="47"/>
      <c r="K23" s="47"/>
      <c r="L23" s="47"/>
      <c r="M23" s="47"/>
      <c r="N23" s="47"/>
      <c r="O23" s="48"/>
      <c r="P23" s="40"/>
      <c r="Q23" s="11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3.8" thickTop="1" thickBot="1" x14ac:dyDescent="0.6">
      <c r="A24" s="1"/>
      <c r="B24" s="2"/>
      <c r="C24" s="44">
        <f t="shared" si="0"/>
        <v>254000</v>
      </c>
      <c r="D24" s="45" t="b">
        <v>0</v>
      </c>
      <c r="E24" s="46" t="s">
        <v>29</v>
      </c>
      <c r="F24" s="47"/>
      <c r="G24" s="47"/>
      <c r="H24" s="47"/>
      <c r="I24" s="47"/>
      <c r="J24" s="47"/>
      <c r="K24" s="47"/>
      <c r="L24" s="47"/>
      <c r="M24" s="47"/>
      <c r="N24" s="47"/>
      <c r="O24" s="48"/>
      <c r="P24" s="40"/>
      <c r="Q24" s="11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3.8" thickTop="1" thickBot="1" x14ac:dyDescent="0.6">
      <c r="A25" s="1"/>
      <c r="B25" s="2"/>
      <c r="C25" s="49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40"/>
      <c r="Q25" s="11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35.25" customHeight="1" thickTop="1" thickBot="1" x14ac:dyDescent="0.6">
      <c r="A26" s="1"/>
      <c r="B26" s="2"/>
      <c r="C26" s="51" t="s">
        <v>30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10"/>
      <c r="Q26" s="11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3.8" thickTop="1" thickBot="1" x14ac:dyDescent="0.6">
      <c r="A27" s="1"/>
      <c r="B27" s="2"/>
      <c r="C27" s="52" t="s">
        <v>31</v>
      </c>
      <c r="D27" s="53" t="s">
        <v>32</v>
      </c>
      <c r="E27" s="21"/>
      <c r="F27" s="21"/>
      <c r="G27" s="54" t="s">
        <v>33</v>
      </c>
      <c r="H27" s="54" t="s">
        <v>34</v>
      </c>
      <c r="I27" s="54" t="s">
        <v>35</v>
      </c>
      <c r="J27" s="54" t="s">
        <v>36</v>
      </c>
      <c r="K27" s="54" t="s">
        <v>37</v>
      </c>
      <c r="L27" s="54" t="s">
        <v>38</v>
      </c>
      <c r="M27" s="54" t="s">
        <v>39</v>
      </c>
      <c r="N27" s="54" t="s">
        <v>40</v>
      </c>
      <c r="O27" s="54" t="s">
        <v>41</v>
      </c>
      <c r="P27" s="40"/>
      <c r="Q27" s="11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3.8" thickTop="1" thickBot="1" x14ac:dyDescent="0.6">
      <c r="A28" s="1"/>
      <c r="B28" s="2"/>
      <c r="C28" s="55"/>
      <c r="D28" s="56"/>
      <c r="E28" s="21"/>
      <c r="F28" s="21"/>
      <c r="G28" s="57"/>
      <c r="H28" s="58"/>
      <c r="I28" s="58"/>
      <c r="J28" s="58"/>
      <c r="K28" s="59"/>
      <c r="L28" s="60"/>
      <c r="M28" s="60"/>
      <c r="N28" s="58"/>
      <c r="O28" s="60"/>
      <c r="P28" s="40"/>
      <c r="Q28" s="11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3.8" thickTop="1" thickBot="1" x14ac:dyDescent="0.6">
      <c r="A29" s="1"/>
      <c r="B29" s="2"/>
      <c r="C29" s="55"/>
      <c r="D29" s="56"/>
      <c r="E29" s="21"/>
      <c r="F29" s="21"/>
      <c r="G29" s="57"/>
      <c r="H29" s="58"/>
      <c r="I29" s="58"/>
      <c r="J29" s="58"/>
      <c r="K29" s="59"/>
      <c r="L29" s="60"/>
      <c r="M29" s="60"/>
      <c r="N29" s="58"/>
      <c r="O29" s="60"/>
      <c r="P29" s="40"/>
      <c r="Q29" s="11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3.8" thickTop="1" thickBot="1" x14ac:dyDescent="0.6">
      <c r="A30" s="1"/>
      <c r="B30" s="2"/>
      <c r="C30" s="61"/>
      <c r="D30" s="56"/>
      <c r="E30" s="21"/>
      <c r="F30" s="21"/>
      <c r="G30" s="62"/>
      <c r="H30" s="63"/>
      <c r="I30" s="63"/>
      <c r="J30" s="63"/>
      <c r="K30" s="63"/>
      <c r="L30" s="63"/>
      <c r="M30" s="63"/>
      <c r="N30" s="63"/>
      <c r="O30" s="63"/>
      <c r="P30" s="40"/>
      <c r="Q30" s="11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3.8" thickTop="1" thickBot="1" x14ac:dyDescent="0.6">
      <c r="A31" s="1"/>
      <c r="B31" s="2"/>
      <c r="C31" s="61"/>
      <c r="D31" s="56"/>
      <c r="E31" s="21"/>
      <c r="F31" s="21"/>
      <c r="G31" s="62"/>
      <c r="H31" s="63"/>
      <c r="I31" s="63"/>
      <c r="J31" s="63"/>
      <c r="K31" s="63"/>
      <c r="L31" s="63"/>
      <c r="M31" s="63"/>
      <c r="N31" s="63"/>
      <c r="O31" s="63"/>
      <c r="P31" s="40"/>
      <c r="Q31" s="11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3.8" thickTop="1" thickBot="1" x14ac:dyDescent="0.6">
      <c r="A32" s="1"/>
      <c r="B32" s="2"/>
      <c r="C32" s="61" t="s">
        <v>42</v>
      </c>
      <c r="D32" s="56" t="s">
        <v>42</v>
      </c>
      <c r="E32" s="64"/>
      <c r="F32" s="64"/>
      <c r="G32" s="62"/>
      <c r="H32" s="63"/>
      <c r="I32" s="63"/>
      <c r="J32" s="63"/>
      <c r="K32" s="63"/>
      <c r="L32" s="63"/>
      <c r="M32" s="63"/>
      <c r="N32" s="63"/>
      <c r="O32" s="63"/>
      <c r="P32" s="40"/>
      <c r="Q32" s="11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3.8" thickTop="1" thickBot="1" x14ac:dyDescent="0.6">
      <c r="A33" s="1"/>
      <c r="B33" s="2"/>
      <c r="C33" s="65"/>
      <c r="D33" s="66"/>
      <c r="E33" s="9"/>
      <c r="F33" s="67"/>
      <c r="G33" s="68"/>
      <c r="H33" s="69"/>
      <c r="I33" s="69"/>
      <c r="J33" s="69"/>
      <c r="K33" s="69"/>
      <c r="L33" s="69"/>
      <c r="M33" s="69"/>
      <c r="N33" s="69"/>
      <c r="O33" s="69"/>
      <c r="P33" s="40"/>
      <c r="Q33" s="11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33" customHeight="1" thickTop="1" thickBot="1" x14ac:dyDescent="0.6">
      <c r="A34" s="1"/>
      <c r="B34" s="2"/>
      <c r="C34" s="70" t="s">
        <v>43</v>
      </c>
      <c r="D34" s="71">
        <v>45925</v>
      </c>
      <c r="E34" s="71">
        <v>45956</v>
      </c>
      <c r="F34" s="71">
        <v>45987</v>
      </c>
      <c r="G34" s="71">
        <v>46018</v>
      </c>
      <c r="H34" s="71">
        <v>46049</v>
      </c>
      <c r="I34" s="71">
        <v>46080</v>
      </c>
      <c r="J34" s="71">
        <v>46111</v>
      </c>
      <c r="K34" s="71">
        <v>46142</v>
      </c>
      <c r="L34" s="71">
        <v>46173</v>
      </c>
      <c r="M34" s="71">
        <v>46204</v>
      </c>
      <c r="N34" s="71">
        <v>46235</v>
      </c>
      <c r="O34" s="71">
        <v>46266</v>
      </c>
      <c r="P34" s="72"/>
      <c r="Q34" s="6"/>
      <c r="R34" s="12"/>
      <c r="S34" s="12"/>
      <c r="T34" s="12"/>
      <c r="U34" s="12"/>
      <c r="V34" s="12"/>
      <c r="W34" s="7"/>
      <c r="X34" s="7"/>
      <c r="Y34" s="7"/>
      <c r="Z34" s="7"/>
      <c r="AA34" s="7"/>
      <c r="AB34" s="7"/>
    </row>
    <row r="35" spans="1:28" ht="35.25" customHeight="1" thickTop="1" thickBot="1" x14ac:dyDescent="0.6">
      <c r="A35" s="1"/>
      <c r="B35" s="2"/>
      <c r="C35" s="73" t="s">
        <v>44</v>
      </c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5"/>
      <c r="P35" s="40"/>
      <c r="Q35" s="11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3.8" thickTop="1" thickBot="1" x14ac:dyDescent="0.6">
      <c r="A36" s="1"/>
      <c r="B36" s="2"/>
      <c r="C36" s="76" t="s">
        <v>45</v>
      </c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40"/>
      <c r="Q36" s="11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3.8" thickTop="1" thickBot="1" x14ac:dyDescent="0.6">
      <c r="A37" s="1"/>
      <c r="B37" s="2"/>
      <c r="C37" s="52" t="s">
        <v>46</v>
      </c>
      <c r="D37" s="78"/>
      <c r="E37" s="79"/>
      <c r="F37" s="78"/>
      <c r="G37" s="79"/>
      <c r="H37" s="78"/>
      <c r="I37" s="79"/>
      <c r="J37" s="78"/>
      <c r="K37" s="79"/>
      <c r="L37" s="78"/>
      <c r="M37" s="79"/>
      <c r="N37" s="78"/>
      <c r="O37" s="79"/>
      <c r="P37" s="40"/>
      <c r="Q37" s="11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3.8" thickTop="1" thickBot="1" x14ac:dyDescent="0.6">
      <c r="A38" s="1"/>
      <c r="B38" s="2"/>
      <c r="C38" s="52" t="s">
        <v>47</v>
      </c>
      <c r="D38" s="78">
        <v>30</v>
      </c>
      <c r="E38" s="79"/>
      <c r="F38" s="78"/>
      <c r="G38" s="79"/>
      <c r="H38" s="78"/>
      <c r="I38" s="79"/>
      <c r="J38" s="78"/>
      <c r="K38" s="79"/>
      <c r="L38" s="78"/>
      <c r="M38" s="79"/>
      <c r="N38" s="78"/>
      <c r="O38" s="79"/>
      <c r="P38" s="40"/>
      <c r="Q38" s="11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3.8" thickTop="1" thickBot="1" x14ac:dyDescent="0.6">
      <c r="A39" s="1"/>
      <c r="B39" s="2"/>
      <c r="C39" s="52" t="s">
        <v>48</v>
      </c>
      <c r="D39" s="78"/>
      <c r="E39" s="79"/>
      <c r="F39" s="78"/>
      <c r="G39" s="79"/>
      <c r="H39" s="78"/>
      <c r="I39" s="79"/>
      <c r="J39" s="78"/>
      <c r="K39" s="79"/>
      <c r="L39" s="78"/>
      <c r="M39" s="79"/>
      <c r="N39" s="78"/>
      <c r="O39" s="79"/>
      <c r="P39" s="40"/>
      <c r="Q39" s="11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3.8" thickTop="1" thickBot="1" x14ac:dyDescent="0.6">
      <c r="A40" s="1"/>
      <c r="B40" s="2"/>
      <c r="C40" s="52" t="s">
        <v>49</v>
      </c>
      <c r="D40" s="78"/>
      <c r="E40" s="79"/>
      <c r="F40" s="78"/>
      <c r="G40" s="79"/>
      <c r="H40" s="78"/>
      <c r="I40" s="79"/>
      <c r="J40" s="78"/>
      <c r="K40" s="79"/>
      <c r="L40" s="78"/>
      <c r="M40" s="79"/>
      <c r="N40" s="78"/>
      <c r="O40" s="79"/>
      <c r="P40" s="40"/>
      <c r="Q40" s="11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3.8" thickTop="1" thickBot="1" x14ac:dyDescent="0.6">
      <c r="A41" s="1"/>
      <c r="B41" s="2"/>
      <c r="C41" s="52" t="s">
        <v>50</v>
      </c>
      <c r="D41" s="78"/>
      <c r="E41" s="79"/>
      <c r="F41" s="78"/>
      <c r="G41" s="79"/>
      <c r="H41" s="78"/>
      <c r="I41" s="79"/>
      <c r="J41" s="78"/>
      <c r="K41" s="79"/>
      <c r="L41" s="78"/>
      <c r="M41" s="79"/>
      <c r="N41" s="78"/>
      <c r="O41" s="79"/>
      <c r="P41" s="40"/>
      <c r="Q41" s="11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3.8" thickTop="1" thickBot="1" x14ac:dyDescent="0.6">
      <c r="A42" s="1"/>
      <c r="B42" s="2"/>
      <c r="C42" s="52" t="s">
        <v>51</v>
      </c>
      <c r="D42" s="78"/>
      <c r="E42" s="79"/>
      <c r="F42" s="78"/>
      <c r="G42" s="79"/>
      <c r="H42" s="78"/>
      <c r="I42" s="79"/>
      <c r="J42" s="78"/>
      <c r="K42" s="79"/>
      <c r="L42" s="78"/>
      <c r="M42" s="79"/>
      <c r="N42" s="78"/>
      <c r="O42" s="79"/>
      <c r="P42" s="40"/>
      <c r="Q42" s="11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3.8" thickTop="1" thickBot="1" x14ac:dyDescent="0.6">
      <c r="A43" s="1"/>
      <c r="B43" s="2"/>
      <c r="C43" s="52" t="s">
        <v>52</v>
      </c>
      <c r="D43" s="78"/>
      <c r="E43" s="79"/>
      <c r="F43" s="78"/>
      <c r="G43" s="79"/>
      <c r="H43" s="78"/>
      <c r="I43" s="79"/>
      <c r="J43" s="78"/>
      <c r="K43" s="79"/>
      <c r="L43" s="78"/>
      <c r="M43" s="79"/>
      <c r="N43" s="78"/>
      <c r="O43" s="79"/>
      <c r="P43" s="40"/>
      <c r="Q43" s="11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3.8" thickTop="1" thickBot="1" x14ac:dyDescent="0.6">
      <c r="A44" s="1"/>
      <c r="B44" s="2"/>
      <c r="C44" s="52" t="s">
        <v>53</v>
      </c>
      <c r="D44" s="78"/>
      <c r="E44" s="79"/>
      <c r="F44" s="78"/>
      <c r="G44" s="79"/>
      <c r="H44" s="78"/>
      <c r="I44" s="79"/>
      <c r="J44" s="78"/>
      <c r="K44" s="79"/>
      <c r="L44" s="78"/>
      <c r="M44" s="79"/>
      <c r="N44" s="78"/>
      <c r="O44" s="79"/>
      <c r="P44" s="40"/>
      <c r="Q44" s="11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3.8" thickTop="1" thickBot="1" x14ac:dyDescent="0.6">
      <c r="A45" s="1"/>
      <c r="B45" s="2"/>
      <c r="C45" s="52" t="s">
        <v>54</v>
      </c>
      <c r="D45" s="78"/>
      <c r="E45" s="79"/>
      <c r="F45" s="78"/>
      <c r="G45" s="79"/>
      <c r="H45" s="78"/>
      <c r="I45" s="79"/>
      <c r="J45" s="78"/>
      <c r="K45" s="79"/>
      <c r="L45" s="78"/>
      <c r="M45" s="79"/>
      <c r="N45" s="78"/>
      <c r="O45" s="79"/>
      <c r="P45" s="40"/>
      <c r="Q45" s="11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3.8" thickTop="1" thickBot="1" x14ac:dyDescent="0.6">
      <c r="A46" s="1"/>
      <c r="B46" s="2"/>
      <c r="C46" s="76" t="s">
        <v>55</v>
      </c>
      <c r="D46" s="80"/>
      <c r="E46" s="77"/>
      <c r="F46" s="80"/>
      <c r="G46" s="77"/>
      <c r="H46" s="80"/>
      <c r="I46" s="77"/>
      <c r="J46" s="80"/>
      <c r="K46" s="77"/>
      <c r="L46" s="80"/>
      <c r="M46" s="77"/>
      <c r="N46" s="80"/>
      <c r="O46" s="77"/>
      <c r="P46" s="40"/>
      <c r="Q46" s="11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3.8" thickTop="1" thickBot="1" x14ac:dyDescent="0.6">
      <c r="A47" s="1"/>
      <c r="B47" s="2"/>
      <c r="C47" s="81" t="s">
        <v>56</v>
      </c>
      <c r="D47" s="78"/>
      <c r="E47" s="79"/>
      <c r="F47" s="78"/>
      <c r="G47" s="79"/>
      <c r="H47" s="78"/>
      <c r="I47" s="79"/>
      <c r="J47" s="78"/>
      <c r="K47" s="79"/>
      <c r="L47" s="78"/>
      <c r="M47" s="79"/>
      <c r="N47" s="78"/>
      <c r="O47" s="79"/>
      <c r="P47" s="40"/>
      <c r="Q47" s="11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3.8" thickTop="1" thickBot="1" x14ac:dyDescent="0.6">
      <c r="A48" s="1"/>
      <c r="B48" s="2"/>
      <c r="C48" s="81" t="s">
        <v>57</v>
      </c>
      <c r="D48" s="78"/>
      <c r="E48" s="79"/>
      <c r="F48" s="78"/>
      <c r="G48" s="79"/>
      <c r="H48" s="78"/>
      <c r="I48" s="79"/>
      <c r="J48" s="78"/>
      <c r="K48" s="79"/>
      <c r="L48" s="78"/>
      <c r="M48" s="79"/>
      <c r="N48" s="78"/>
      <c r="O48" s="79"/>
      <c r="P48" s="40"/>
      <c r="Q48" s="11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3.8" thickTop="1" thickBot="1" x14ac:dyDescent="0.6">
      <c r="A49" s="1"/>
      <c r="B49" s="2"/>
      <c r="C49" s="81" t="s">
        <v>58</v>
      </c>
      <c r="D49" s="78"/>
      <c r="E49" s="79"/>
      <c r="F49" s="78"/>
      <c r="G49" s="79"/>
      <c r="H49" s="78"/>
      <c r="I49" s="79"/>
      <c r="J49" s="78"/>
      <c r="K49" s="79"/>
      <c r="L49" s="78"/>
      <c r="M49" s="79"/>
      <c r="N49" s="78"/>
      <c r="O49" s="79"/>
      <c r="P49" s="40"/>
      <c r="Q49" s="11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3.8" thickTop="1" thickBot="1" x14ac:dyDescent="0.6">
      <c r="A50" s="1"/>
      <c r="B50" s="2"/>
      <c r="C50" s="81" t="s">
        <v>59</v>
      </c>
      <c r="D50" s="78"/>
      <c r="E50" s="79"/>
      <c r="F50" s="78"/>
      <c r="G50" s="79"/>
      <c r="H50" s="78"/>
      <c r="I50" s="79"/>
      <c r="J50" s="78"/>
      <c r="K50" s="79"/>
      <c r="L50" s="78"/>
      <c r="M50" s="79"/>
      <c r="N50" s="78"/>
      <c r="O50" s="79"/>
      <c r="P50" s="40"/>
      <c r="Q50" s="11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3.8" thickTop="1" thickBot="1" x14ac:dyDescent="0.6">
      <c r="A51" s="1"/>
      <c r="B51" s="2"/>
      <c r="C51" s="76" t="s">
        <v>60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40"/>
      <c r="Q51" s="11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3.8" thickTop="1" thickBot="1" x14ac:dyDescent="0.6">
      <c r="A52" s="1"/>
      <c r="B52" s="2"/>
      <c r="C52" s="52" t="s">
        <v>61</v>
      </c>
      <c r="D52" s="78"/>
      <c r="E52" s="79"/>
      <c r="F52" s="78"/>
      <c r="G52" s="79"/>
      <c r="H52" s="78"/>
      <c r="I52" s="79"/>
      <c r="J52" s="78"/>
      <c r="K52" s="79"/>
      <c r="L52" s="78"/>
      <c r="M52" s="79"/>
      <c r="N52" s="78"/>
      <c r="O52" s="79"/>
      <c r="P52" s="40"/>
      <c r="Q52" s="11"/>
      <c r="R52" s="82"/>
      <c r="S52" s="82"/>
      <c r="T52" s="82"/>
      <c r="U52" s="82"/>
      <c r="V52" s="82"/>
      <c r="W52" s="12"/>
      <c r="X52" s="12"/>
      <c r="Y52" s="12"/>
      <c r="Z52" s="12"/>
      <c r="AA52" s="12"/>
      <c r="AB52" s="12"/>
    </row>
    <row r="53" spans="1:28" ht="13.8" thickTop="1" thickBot="1" x14ac:dyDescent="0.6">
      <c r="A53" s="1"/>
      <c r="B53" s="2"/>
      <c r="C53" s="52" t="s">
        <v>62</v>
      </c>
      <c r="D53" s="78"/>
      <c r="E53" s="79"/>
      <c r="F53" s="78"/>
      <c r="G53" s="79"/>
      <c r="H53" s="78"/>
      <c r="I53" s="79"/>
      <c r="J53" s="78"/>
      <c r="K53" s="79"/>
      <c r="L53" s="78"/>
      <c r="M53" s="79"/>
      <c r="N53" s="78"/>
      <c r="O53" s="79"/>
      <c r="P53" s="40"/>
      <c r="Q53" s="11"/>
      <c r="R53" s="82"/>
      <c r="S53" s="82"/>
      <c r="T53" s="82"/>
      <c r="U53" s="82"/>
      <c r="V53" s="82"/>
      <c r="W53" s="12"/>
      <c r="X53" s="12"/>
      <c r="Y53" s="12"/>
      <c r="Z53" s="12"/>
      <c r="AA53" s="12"/>
      <c r="AB53" s="12"/>
    </row>
    <row r="54" spans="1:28" ht="13.8" thickTop="1" thickBot="1" x14ac:dyDescent="0.6">
      <c r="A54" s="1"/>
      <c r="B54" s="2"/>
      <c r="C54" s="52" t="s">
        <v>63</v>
      </c>
      <c r="D54" s="78"/>
      <c r="E54" s="79"/>
      <c r="F54" s="78"/>
      <c r="G54" s="79"/>
      <c r="H54" s="78"/>
      <c r="I54" s="79"/>
      <c r="J54" s="78"/>
      <c r="K54" s="79"/>
      <c r="L54" s="78"/>
      <c r="M54" s="79"/>
      <c r="N54" s="78"/>
      <c r="O54" s="79"/>
      <c r="P54" s="40"/>
      <c r="Q54" s="11"/>
      <c r="R54" s="82"/>
      <c r="S54" s="82"/>
      <c r="T54" s="82"/>
      <c r="U54" s="82"/>
      <c r="V54" s="82"/>
      <c r="W54" s="12"/>
      <c r="X54" s="12"/>
      <c r="Y54" s="12"/>
      <c r="Z54" s="12"/>
      <c r="AA54" s="12"/>
      <c r="AB54" s="12"/>
    </row>
    <row r="55" spans="1:28" ht="13.8" thickTop="1" thickBot="1" x14ac:dyDescent="0.6">
      <c r="A55" s="1"/>
      <c r="B55" s="2"/>
      <c r="C55" s="83" t="s">
        <v>64</v>
      </c>
      <c r="D55" s="84">
        <f t="shared" ref="D55:O55" si="1">SUM(D37:D54)</f>
        <v>30</v>
      </c>
      <c r="E55" s="85">
        <f t="shared" si="1"/>
        <v>0</v>
      </c>
      <c r="F55" s="84">
        <f t="shared" si="1"/>
        <v>0</v>
      </c>
      <c r="G55" s="85">
        <f t="shared" si="1"/>
        <v>0</v>
      </c>
      <c r="H55" s="84">
        <f t="shared" si="1"/>
        <v>0</v>
      </c>
      <c r="I55" s="85">
        <f t="shared" si="1"/>
        <v>0</v>
      </c>
      <c r="J55" s="84">
        <f t="shared" si="1"/>
        <v>0</v>
      </c>
      <c r="K55" s="85">
        <f t="shared" si="1"/>
        <v>0</v>
      </c>
      <c r="L55" s="84">
        <f t="shared" si="1"/>
        <v>0</v>
      </c>
      <c r="M55" s="85">
        <f t="shared" si="1"/>
        <v>0</v>
      </c>
      <c r="N55" s="84">
        <f t="shared" si="1"/>
        <v>0</v>
      </c>
      <c r="O55" s="85">
        <f t="shared" si="1"/>
        <v>0</v>
      </c>
      <c r="P55" s="40"/>
      <c r="Q55" s="11"/>
      <c r="R55" s="82"/>
      <c r="S55" s="82"/>
      <c r="T55" s="82"/>
      <c r="U55" s="82"/>
      <c r="V55" s="82"/>
      <c r="W55" s="12"/>
      <c r="X55" s="12"/>
      <c r="Y55" s="12"/>
      <c r="Z55" s="12"/>
      <c r="AA55" s="12"/>
      <c r="AB55" s="12"/>
    </row>
    <row r="56" spans="1:28" ht="34.5" customHeight="1" thickTop="1" thickBot="1" x14ac:dyDescent="0.6">
      <c r="A56" s="1"/>
      <c r="B56" s="2"/>
      <c r="C56" s="86" t="s">
        <v>65</v>
      </c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8"/>
      <c r="P56" s="40"/>
      <c r="Q56" s="11"/>
      <c r="R56" s="82"/>
      <c r="S56" s="82"/>
      <c r="T56" s="82"/>
      <c r="U56" s="82"/>
      <c r="V56" s="82"/>
      <c r="W56" s="12"/>
      <c r="X56" s="12"/>
      <c r="Y56" s="12"/>
      <c r="Z56" s="12"/>
      <c r="AA56" s="12"/>
      <c r="AB56" s="12"/>
    </row>
    <row r="57" spans="1:28" ht="13.8" thickTop="1" thickBot="1" x14ac:dyDescent="0.6">
      <c r="A57" s="1"/>
      <c r="B57" s="2"/>
      <c r="C57" s="52" t="s">
        <v>66</v>
      </c>
      <c r="D57" s="89">
        <f>D58-328</f>
        <v>199672</v>
      </c>
      <c r="E57" s="90"/>
      <c r="F57" s="91"/>
      <c r="G57" s="92"/>
      <c r="H57" s="93"/>
      <c r="I57" s="92"/>
      <c r="J57" s="93"/>
      <c r="K57" s="92"/>
      <c r="L57" s="93"/>
      <c r="M57" s="92"/>
      <c r="N57" s="93"/>
      <c r="O57" s="92"/>
      <c r="P57" s="40"/>
      <c r="Q57" s="11"/>
      <c r="R57" s="82"/>
      <c r="S57" s="82"/>
      <c r="T57" s="82"/>
      <c r="U57" s="82"/>
      <c r="V57" s="82"/>
      <c r="W57" s="12"/>
      <c r="X57" s="12"/>
      <c r="Y57" s="12"/>
      <c r="Z57" s="12"/>
      <c r="AA57" s="12"/>
      <c r="AB57" s="12"/>
    </row>
    <row r="58" spans="1:28" ht="13.8" thickTop="1" thickBot="1" x14ac:dyDescent="0.6">
      <c r="A58" s="1"/>
      <c r="B58" s="2"/>
      <c r="C58" s="52" t="s">
        <v>67</v>
      </c>
      <c r="D58" s="89">
        <v>200000</v>
      </c>
      <c r="E58" s="90"/>
      <c r="F58" s="91"/>
      <c r="G58" s="92"/>
      <c r="H58" s="93"/>
      <c r="I58" s="92"/>
      <c r="J58" s="93"/>
      <c r="K58" s="92"/>
      <c r="L58" s="93"/>
      <c r="M58" s="92"/>
      <c r="N58" s="93"/>
      <c r="O58" s="92"/>
      <c r="P58" s="40"/>
      <c r="Q58" s="11"/>
      <c r="R58" s="82"/>
      <c r="S58" s="82"/>
      <c r="T58" s="82"/>
      <c r="U58" s="82"/>
      <c r="V58" s="82"/>
      <c r="W58" s="12"/>
      <c r="X58" s="12"/>
      <c r="Y58" s="12"/>
      <c r="Z58" s="12"/>
      <c r="AA58" s="12"/>
      <c r="AB58" s="12"/>
    </row>
    <row r="59" spans="1:28" ht="13.8" thickTop="1" thickBot="1" x14ac:dyDescent="0.6">
      <c r="A59" s="1"/>
      <c r="B59" s="2"/>
      <c r="C59" s="52" t="s">
        <v>68</v>
      </c>
      <c r="D59" s="94">
        <f>D58-D57</f>
        <v>328</v>
      </c>
      <c r="E59" s="94">
        <f>E58-E57</f>
        <v>0</v>
      </c>
      <c r="F59" s="94">
        <f>F58-F57</f>
        <v>0</v>
      </c>
      <c r="G59" s="42">
        <f>G58-G57</f>
        <v>0</v>
      </c>
      <c r="H59" s="95">
        <f>H58-H57</f>
        <v>0</v>
      </c>
      <c r="I59" s="42">
        <f t="shared" ref="I59:O59" si="2">I58-I57</f>
        <v>0</v>
      </c>
      <c r="J59" s="95">
        <f t="shared" si="2"/>
        <v>0</v>
      </c>
      <c r="K59" s="42">
        <f t="shared" si="2"/>
        <v>0</v>
      </c>
      <c r="L59" s="95">
        <f t="shared" si="2"/>
        <v>0</v>
      </c>
      <c r="M59" s="42">
        <f t="shared" si="2"/>
        <v>0</v>
      </c>
      <c r="N59" s="95">
        <f t="shared" si="2"/>
        <v>0</v>
      </c>
      <c r="O59" s="42">
        <f t="shared" si="2"/>
        <v>0</v>
      </c>
      <c r="P59" s="40"/>
      <c r="Q59" s="11"/>
      <c r="R59" s="82"/>
      <c r="S59" s="82"/>
      <c r="T59" s="82"/>
      <c r="U59" s="82"/>
      <c r="V59" s="82"/>
      <c r="W59" s="12"/>
      <c r="X59" s="12"/>
      <c r="Y59" s="12"/>
      <c r="Z59" s="12"/>
      <c r="AA59" s="12"/>
      <c r="AB59" s="12"/>
    </row>
    <row r="60" spans="1:28" ht="27" customHeight="1" thickTop="1" thickBot="1" x14ac:dyDescent="0.6">
      <c r="A60" s="1"/>
      <c r="B60" s="2"/>
      <c r="C60" s="96" t="s">
        <v>69</v>
      </c>
      <c r="D60" s="97">
        <f>SUM(D59:O59)</f>
        <v>328</v>
      </c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0"/>
      <c r="Q60" s="11"/>
      <c r="R60" s="82"/>
      <c r="S60" s="82"/>
      <c r="T60" s="82"/>
      <c r="U60" s="82"/>
      <c r="V60" s="82"/>
      <c r="W60" s="12"/>
      <c r="X60" s="12"/>
      <c r="Y60" s="12"/>
      <c r="Z60" s="12"/>
      <c r="AA60" s="12"/>
      <c r="AB60" s="12"/>
    </row>
    <row r="61" spans="1:28" ht="27.75" customHeight="1" thickTop="1" thickBot="1" x14ac:dyDescent="0.6">
      <c r="A61" s="1"/>
      <c r="B61" s="2"/>
      <c r="C61" s="96" t="s">
        <v>70</v>
      </c>
      <c r="D61" s="98">
        <f>D62/D60</f>
        <v>9.1463414634146339E-2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0"/>
      <c r="Q61" s="11"/>
      <c r="R61" s="82"/>
      <c r="S61" s="82"/>
      <c r="T61" s="82"/>
      <c r="U61" s="82"/>
      <c r="V61" s="82"/>
      <c r="W61" s="12"/>
      <c r="X61" s="12"/>
      <c r="Y61" s="12"/>
      <c r="Z61" s="12"/>
      <c r="AA61" s="12"/>
      <c r="AB61" s="12"/>
    </row>
    <row r="62" spans="1:28" ht="27" customHeight="1" thickTop="1" thickBot="1" x14ac:dyDescent="0.6">
      <c r="A62" s="1"/>
      <c r="B62" s="2"/>
      <c r="C62" s="96" t="s">
        <v>71</v>
      </c>
      <c r="D62" s="98">
        <f>SUM(D55:O55)</f>
        <v>30</v>
      </c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0"/>
      <c r="Q62" s="11"/>
      <c r="R62" s="82"/>
      <c r="S62" s="82"/>
      <c r="T62" s="82"/>
      <c r="U62" s="82"/>
      <c r="V62" s="82"/>
      <c r="W62" s="12"/>
      <c r="X62" s="12"/>
      <c r="Y62" s="12"/>
      <c r="Z62" s="12"/>
      <c r="AA62" s="12"/>
      <c r="AB62" s="12"/>
    </row>
    <row r="63" spans="1:28" ht="62.25" customHeight="1" thickTop="1" thickBot="1" x14ac:dyDescent="0.6">
      <c r="A63" s="1"/>
      <c r="B63" s="2"/>
      <c r="C63" s="99" t="s">
        <v>72</v>
      </c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1"/>
      <c r="P63" s="40"/>
      <c r="Q63" s="11"/>
      <c r="R63" s="82"/>
      <c r="S63" s="82"/>
      <c r="T63" s="82"/>
      <c r="U63" s="82"/>
      <c r="V63" s="82"/>
      <c r="W63" s="12"/>
      <c r="X63" s="12"/>
      <c r="Y63" s="12"/>
      <c r="Z63" s="12"/>
      <c r="AA63" s="12"/>
      <c r="AB63" s="12"/>
    </row>
    <row r="64" spans="1:28" ht="38.25" customHeight="1" thickTop="1" thickBot="1" x14ac:dyDescent="0.6">
      <c r="A64" s="1"/>
      <c r="B64" s="2"/>
      <c r="C64" s="52" t="s">
        <v>72</v>
      </c>
      <c r="D64" s="102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4"/>
      <c r="P64" s="40"/>
      <c r="Q64" s="11"/>
      <c r="R64" s="82"/>
      <c r="S64" s="82"/>
      <c r="T64" s="82"/>
      <c r="U64" s="82"/>
      <c r="V64" s="82"/>
      <c r="W64" s="12"/>
      <c r="X64" s="12"/>
      <c r="Y64" s="12"/>
      <c r="Z64" s="12"/>
      <c r="AA64" s="12"/>
      <c r="AB64" s="12"/>
    </row>
    <row r="65" spans="1:28" ht="37.5" customHeight="1" thickTop="1" thickBot="1" x14ac:dyDescent="0.65">
      <c r="A65" s="1"/>
      <c r="B65" s="2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6"/>
      <c r="N65" s="106"/>
      <c r="O65" s="107"/>
      <c r="P65" s="10"/>
      <c r="Q65" s="11"/>
      <c r="R65" s="82"/>
      <c r="S65" s="82"/>
      <c r="T65" s="82"/>
      <c r="U65" s="82"/>
      <c r="V65" s="82"/>
      <c r="W65" s="12"/>
      <c r="X65" s="12"/>
      <c r="Y65" s="12"/>
      <c r="Z65" s="12"/>
      <c r="AA65" s="12"/>
      <c r="AB65" s="12"/>
    </row>
    <row r="66" spans="1:28" ht="13.5" thickTop="1" x14ac:dyDescent="0.55000000000000004">
      <c r="A66" s="1"/>
      <c r="B66" s="2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9"/>
      <c r="Q66" s="11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</row>
    <row r="67" spans="1:28" ht="13.2" x14ac:dyDescent="0.55000000000000004">
      <c r="A67" s="1"/>
      <c r="B67" s="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</row>
    <row r="68" spans="1:28" ht="13.2" x14ac:dyDescent="0.55000000000000004"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</row>
    <row r="69" spans="1:28" ht="13.2" x14ac:dyDescent="0.55000000000000004"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</row>
    <row r="70" spans="1:28" ht="13.2" x14ac:dyDescent="0.55000000000000004"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</row>
    <row r="71" spans="1:28" ht="13.2" x14ac:dyDescent="0.55000000000000004"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</row>
    <row r="72" spans="1:28" ht="13.2" x14ac:dyDescent="0.55000000000000004"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</row>
    <row r="73" spans="1:28" ht="13.2" x14ac:dyDescent="0.55000000000000004"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</row>
    <row r="74" spans="1:28" ht="13.2" x14ac:dyDescent="0.55000000000000004"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</row>
    <row r="75" spans="1:28" ht="13.2" x14ac:dyDescent="0.55000000000000004"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</row>
    <row r="76" spans="1:28" ht="13.2" x14ac:dyDescent="0.55000000000000004"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</row>
    <row r="77" spans="1:28" ht="13.2" x14ac:dyDescent="0.55000000000000004"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</row>
    <row r="78" spans="1:28" ht="13.2" x14ac:dyDescent="0.55000000000000004"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</row>
    <row r="79" spans="1:28" ht="13.2" x14ac:dyDescent="0.55000000000000004"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</row>
    <row r="80" spans="1:28" ht="13.2" x14ac:dyDescent="0.55000000000000004"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</row>
    <row r="81" spans="3:28" ht="13.2" x14ac:dyDescent="0.55000000000000004"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</row>
    <row r="82" spans="3:28" ht="13.2" x14ac:dyDescent="0.55000000000000004"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</row>
    <row r="83" spans="3:28" ht="13.2" x14ac:dyDescent="0.55000000000000004"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</row>
    <row r="84" spans="3:28" ht="13.2" x14ac:dyDescent="0.55000000000000004"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</row>
    <row r="85" spans="3:28" ht="13.2" x14ac:dyDescent="0.55000000000000004"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</row>
    <row r="86" spans="3:28" ht="13.2" x14ac:dyDescent="0.55000000000000004"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</row>
    <row r="87" spans="3:28" ht="13.2" x14ac:dyDescent="0.55000000000000004"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</row>
    <row r="88" spans="3:28" ht="13.2" x14ac:dyDescent="0.55000000000000004"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</row>
    <row r="89" spans="3:28" ht="13.2" x14ac:dyDescent="0.55000000000000004"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</row>
    <row r="90" spans="3:28" ht="13.2" x14ac:dyDescent="0.55000000000000004"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</row>
    <row r="91" spans="3:28" ht="13.2" x14ac:dyDescent="0.55000000000000004"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</row>
    <row r="92" spans="3:28" ht="13.2" x14ac:dyDescent="0.55000000000000004"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</row>
    <row r="93" spans="3:28" ht="13.2" x14ac:dyDescent="0.55000000000000004"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</row>
    <row r="94" spans="3:28" ht="13.2" x14ac:dyDescent="0.55000000000000004"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</row>
    <row r="95" spans="3:28" ht="13.2" x14ac:dyDescent="0.55000000000000004"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</row>
    <row r="96" spans="3:28" ht="13.2" x14ac:dyDescent="0.55000000000000004"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</row>
    <row r="97" spans="3:28" ht="13.2" x14ac:dyDescent="0.55000000000000004">
      <c r="C97" s="82"/>
      <c r="D97" s="82"/>
      <c r="E97" s="82"/>
      <c r="F97" s="82"/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</row>
    <row r="98" spans="3:28" ht="13.2" x14ac:dyDescent="0.55000000000000004"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</row>
    <row r="99" spans="3:28" ht="13.2" x14ac:dyDescent="0.55000000000000004"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</row>
    <row r="100" spans="3:28" ht="13.2" x14ac:dyDescent="0.55000000000000004"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</row>
    <row r="101" spans="3:28" ht="13.2" x14ac:dyDescent="0.55000000000000004"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</row>
    <row r="102" spans="3:28" ht="13.2" x14ac:dyDescent="0.55000000000000004"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</row>
    <row r="103" spans="3:28" ht="13.2" x14ac:dyDescent="0.55000000000000004"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</row>
    <row r="104" spans="3:28" ht="13.2" x14ac:dyDescent="0.55000000000000004"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</row>
    <row r="105" spans="3:28" ht="13.2" x14ac:dyDescent="0.55000000000000004"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</row>
    <row r="106" spans="3:28" ht="13.2" x14ac:dyDescent="0.55000000000000004"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</row>
    <row r="107" spans="3:28" ht="13.2" x14ac:dyDescent="0.55000000000000004"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</row>
    <row r="108" spans="3:28" ht="13.2" x14ac:dyDescent="0.55000000000000004"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</row>
    <row r="109" spans="3:28" ht="13.2" x14ac:dyDescent="0.55000000000000004"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</row>
    <row r="110" spans="3:28" ht="13.2" x14ac:dyDescent="0.55000000000000004"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</row>
    <row r="111" spans="3:28" ht="13.2" x14ac:dyDescent="0.55000000000000004"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</row>
    <row r="112" spans="3:28" ht="13.2" x14ac:dyDescent="0.55000000000000004"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</row>
    <row r="113" spans="3:28" ht="13.2" x14ac:dyDescent="0.55000000000000004"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</row>
    <row r="114" spans="3:28" ht="13.2" x14ac:dyDescent="0.55000000000000004"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</row>
    <row r="115" spans="3:28" ht="13.2" x14ac:dyDescent="0.55000000000000004"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</row>
    <row r="116" spans="3:28" ht="13.2" x14ac:dyDescent="0.55000000000000004"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</row>
    <row r="117" spans="3:28" ht="13.2" x14ac:dyDescent="0.55000000000000004"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</row>
    <row r="118" spans="3:28" ht="13.2" x14ac:dyDescent="0.55000000000000004"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</row>
    <row r="119" spans="3:28" ht="13.2" x14ac:dyDescent="0.55000000000000004"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</row>
    <row r="120" spans="3:28" ht="13.2" x14ac:dyDescent="0.55000000000000004"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</row>
    <row r="121" spans="3:28" ht="13.2" x14ac:dyDescent="0.55000000000000004"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</row>
    <row r="122" spans="3:28" ht="13.2" x14ac:dyDescent="0.55000000000000004"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</row>
    <row r="123" spans="3:28" ht="13.2" x14ac:dyDescent="0.55000000000000004"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</row>
    <row r="124" spans="3:28" ht="13.2" x14ac:dyDescent="0.55000000000000004"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</row>
    <row r="125" spans="3:28" ht="13.2" x14ac:dyDescent="0.55000000000000004"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</row>
    <row r="126" spans="3:28" ht="13.2" x14ac:dyDescent="0.55000000000000004"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</row>
    <row r="127" spans="3:28" ht="13.2" x14ac:dyDescent="0.55000000000000004"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</row>
    <row r="128" spans="3:28" ht="13.2" x14ac:dyDescent="0.55000000000000004"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</row>
    <row r="129" spans="3:28" ht="13.2" x14ac:dyDescent="0.55000000000000004"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</row>
    <row r="130" spans="3:28" ht="13.2" x14ac:dyDescent="0.55000000000000004"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</row>
    <row r="131" spans="3:28" ht="13.2" x14ac:dyDescent="0.55000000000000004"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</row>
    <row r="132" spans="3:28" ht="13.2" x14ac:dyDescent="0.55000000000000004"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</row>
    <row r="133" spans="3:28" ht="13.2" x14ac:dyDescent="0.55000000000000004"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</row>
    <row r="134" spans="3:28" ht="13.2" x14ac:dyDescent="0.55000000000000004"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</row>
    <row r="135" spans="3:28" ht="13.2" x14ac:dyDescent="0.55000000000000004"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</row>
    <row r="136" spans="3:28" ht="13.2" x14ac:dyDescent="0.55000000000000004"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</row>
    <row r="137" spans="3:28" ht="13.2" x14ac:dyDescent="0.55000000000000004"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</row>
    <row r="138" spans="3:28" ht="13.2" x14ac:dyDescent="0.55000000000000004"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</row>
    <row r="139" spans="3:28" ht="13.2" x14ac:dyDescent="0.55000000000000004"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</row>
    <row r="140" spans="3:28" ht="13.2" x14ac:dyDescent="0.55000000000000004"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</row>
    <row r="141" spans="3:28" ht="13.2" x14ac:dyDescent="0.55000000000000004"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</row>
    <row r="142" spans="3:28" ht="13.2" x14ac:dyDescent="0.55000000000000004"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</row>
    <row r="143" spans="3:28" ht="13.2" x14ac:dyDescent="0.55000000000000004"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</row>
    <row r="144" spans="3:28" ht="13.2" x14ac:dyDescent="0.55000000000000004"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</row>
    <row r="145" spans="3:28" ht="13.2" x14ac:dyDescent="0.55000000000000004"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</row>
    <row r="146" spans="3:28" ht="13.2" x14ac:dyDescent="0.55000000000000004"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</row>
    <row r="147" spans="3:28" ht="13.2" x14ac:dyDescent="0.55000000000000004"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</row>
    <row r="148" spans="3:28" ht="13.2" x14ac:dyDescent="0.55000000000000004"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</row>
    <row r="149" spans="3:28" ht="13.2" x14ac:dyDescent="0.55000000000000004"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</row>
    <row r="150" spans="3:28" ht="13.2" x14ac:dyDescent="0.55000000000000004"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</row>
    <row r="151" spans="3:28" ht="13.2" x14ac:dyDescent="0.55000000000000004"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</row>
    <row r="152" spans="3:28" ht="13.2" x14ac:dyDescent="0.55000000000000004"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</row>
    <row r="153" spans="3:28" ht="13.2" x14ac:dyDescent="0.55000000000000004"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</row>
    <row r="154" spans="3:28" ht="13.2" x14ac:dyDescent="0.55000000000000004"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</row>
    <row r="155" spans="3:28" ht="13.2" x14ac:dyDescent="0.55000000000000004"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</row>
    <row r="156" spans="3:28" ht="13.2" x14ac:dyDescent="0.55000000000000004"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</row>
    <row r="157" spans="3:28" ht="13.2" x14ac:dyDescent="0.55000000000000004"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</row>
    <row r="158" spans="3:28" ht="13.2" x14ac:dyDescent="0.55000000000000004"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</row>
    <row r="159" spans="3:28" ht="13.2" x14ac:dyDescent="0.55000000000000004"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</row>
    <row r="160" spans="3:28" ht="13.2" x14ac:dyDescent="0.55000000000000004"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</row>
    <row r="161" spans="3:28" ht="13.2" x14ac:dyDescent="0.55000000000000004"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</row>
    <row r="162" spans="3:28" ht="13.2" x14ac:dyDescent="0.55000000000000004"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</row>
    <row r="163" spans="3:28" ht="13.2" x14ac:dyDescent="0.55000000000000004"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</row>
    <row r="164" spans="3:28" ht="13.2" x14ac:dyDescent="0.55000000000000004"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</row>
    <row r="165" spans="3:28" ht="13.2" x14ac:dyDescent="0.55000000000000004"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</row>
    <row r="166" spans="3:28" ht="13.2" x14ac:dyDescent="0.55000000000000004"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</row>
    <row r="167" spans="3:28" ht="13.2" x14ac:dyDescent="0.55000000000000004"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</row>
    <row r="168" spans="3:28" ht="13.2" x14ac:dyDescent="0.55000000000000004"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</row>
    <row r="169" spans="3:28" ht="13.2" x14ac:dyDescent="0.55000000000000004"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</row>
    <row r="170" spans="3:28" ht="13.2" x14ac:dyDescent="0.55000000000000004"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</row>
    <row r="171" spans="3:28" ht="13.2" x14ac:dyDescent="0.55000000000000004"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</row>
    <row r="172" spans="3:28" ht="13.2" x14ac:dyDescent="0.55000000000000004"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</row>
    <row r="173" spans="3:28" ht="13.2" x14ac:dyDescent="0.55000000000000004"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</row>
    <row r="174" spans="3:28" ht="13.2" x14ac:dyDescent="0.55000000000000004"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</row>
    <row r="175" spans="3:28" ht="13.2" x14ac:dyDescent="0.55000000000000004"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</row>
    <row r="176" spans="3:28" ht="13.2" x14ac:dyDescent="0.55000000000000004"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</row>
    <row r="177" spans="3:28" ht="13.2" x14ac:dyDescent="0.55000000000000004"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</row>
    <row r="178" spans="3:28" ht="13.2" x14ac:dyDescent="0.55000000000000004"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</row>
    <row r="179" spans="3:28" ht="13.2" x14ac:dyDescent="0.55000000000000004"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</row>
    <row r="180" spans="3:28" ht="13.2" x14ac:dyDescent="0.55000000000000004"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</row>
    <row r="181" spans="3:28" ht="13.2" x14ac:dyDescent="0.55000000000000004"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</row>
    <row r="182" spans="3:28" ht="13.2" x14ac:dyDescent="0.55000000000000004"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</row>
    <row r="183" spans="3:28" ht="13.2" x14ac:dyDescent="0.55000000000000004"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</row>
    <row r="184" spans="3:28" ht="13.2" x14ac:dyDescent="0.55000000000000004"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</row>
    <row r="185" spans="3:28" ht="13.2" x14ac:dyDescent="0.55000000000000004"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</row>
    <row r="186" spans="3:28" ht="13.2" x14ac:dyDescent="0.55000000000000004"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</row>
    <row r="187" spans="3:28" ht="13.2" x14ac:dyDescent="0.55000000000000004"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</row>
    <row r="188" spans="3:28" ht="13.2" x14ac:dyDescent="0.55000000000000004"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</row>
    <row r="189" spans="3:28" ht="13.2" x14ac:dyDescent="0.55000000000000004"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</row>
    <row r="190" spans="3:28" ht="13.2" x14ac:dyDescent="0.55000000000000004"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  <c r="AA190" s="82"/>
      <c r="AB190" s="82"/>
    </row>
    <row r="191" spans="3:28" ht="13.2" x14ac:dyDescent="0.55000000000000004"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  <c r="AA191" s="82"/>
      <c r="AB191" s="82"/>
    </row>
    <row r="192" spans="3:28" ht="13.2" x14ac:dyDescent="0.55000000000000004"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</row>
    <row r="193" spans="3:28" ht="13.2" x14ac:dyDescent="0.55000000000000004"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  <c r="AA193" s="82"/>
      <c r="AB193" s="82"/>
    </row>
    <row r="194" spans="3:28" ht="13.2" x14ac:dyDescent="0.55000000000000004"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  <c r="AA194" s="82"/>
      <c r="AB194" s="82"/>
    </row>
    <row r="195" spans="3:28" ht="13.2" x14ac:dyDescent="0.55000000000000004"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</row>
    <row r="196" spans="3:28" ht="13.2" x14ac:dyDescent="0.55000000000000004"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</row>
    <row r="197" spans="3:28" ht="13.2" x14ac:dyDescent="0.55000000000000004"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</row>
    <row r="198" spans="3:28" ht="13.2" x14ac:dyDescent="0.55000000000000004"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</row>
    <row r="199" spans="3:28" ht="13.2" x14ac:dyDescent="0.55000000000000004"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</row>
    <row r="200" spans="3:28" ht="13.2" x14ac:dyDescent="0.55000000000000004"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</row>
    <row r="201" spans="3:28" ht="13.2" x14ac:dyDescent="0.55000000000000004"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</row>
    <row r="202" spans="3:28" ht="13.2" x14ac:dyDescent="0.55000000000000004"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</row>
    <row r="203" spans="3:28" ht="13.2" x14ac:dyDescent="0.55000000000000004"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</row>
    <row r="204" spans="3:28" ht="13.2" x14ac:dyDescent="0.55000000000000004"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</row>
    <row r="205" spans="3:28" ht="13.2" x14ac:dyDescent="0.55000000000000004"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</row>
    <row r="206" spans="3:28" ht="13.2" x14ac:dyDescent="0.55000000000000004"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</row>
    <row r="207" spans="3:28" ht="13.2" x14ac:dyDescent="0.55000000000000004"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</row>
    <row r="208" spans="3:28" ht="13.2" x14ac:dyDescent="0.55000000000000004"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</row>
    <row r="209" spans="3:28" ht="13.2" x14ac:dyDescent="0.55000000000000004"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</row>
    <row r="210" spans="3:28" ht="13.2" x14ac:dyDescent="0.55000000000000004"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</row>
    <row r="211" spans="3:28" ht="13.2" x14ac:dyDescent="0.55000000000000004"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</row>
    <row r="212" spans="3:28" ht="13.2" x14ac:dyDescent="0.55000000000000004"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</row>
    <row r="213" spans="3:28" ht="13.2" x14ac:dyDescent="0.55000000000000004"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</row>
    <row r="214" spans="3:28" ht="13.2" x14ac:dyDescent="0.55000000000000004"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</row>
    <row r="215" spans="3:28" ht="13.2" x14ac:dyDescent="0.55000000000000004"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</row>
    <row r="216" spans="3:28" ht="13.2" x14ac:dyDescent="0.55000000000000004"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</row>
    <row r="217" spans="3:28" ht="13.2" x14ac:dyDescent="0.55000000000000004"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</row>
    <row r="218" spans="3:28" ht="13.2" x14ac:dyDescent="0.55000000000000004"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</row>
    <row r="219" spans="3:28" ht="13.2" x14ac:dyDescent="0.55000000000000004"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</row>
    <row r="220" spans="3:28" ht="13.2" x14ac:dyDescent="0.55000000000000004"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</row>
    <row r="221" spans="3:28" ht="13.2" x14ac:dyDescent="0.55000000000000004"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  <c r="AB221" s="82"/>
    </row>
    <row r="222" spans="3:28" ht="13.2" x14ac:dyDescent="0.55000000000000004"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  <c r="AA222" s="82"/>
      <c r="AB222" s="82"/>
    </row>
    <row r="223" spans="3:28" ht="13.2" x14ac:dyDescent="0.55000000000000004"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</row>
    <row r="224" spans="3:28" ht="13.2" x14ac:dyDescent="0.55000000000000004"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</row>
    <row r="225" spans="3:28" ht="13.2" x14ac:dyDescent="0.55000000000000004"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</row>
    <row r="226" spans="3:28" ht="13.2" x14ac:dyDescent="0.55000000000000004"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</row>
    <row r="227" spans="3:28" ht="13.2" x14ac:dyDescent="0.55000000000000004"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  <c r="AA227" s="82"/>
      <c r="AB227" s="82"/>
    </row>
    <row r="228" spans="3:28" ht="13.2" x14ac:dyDescent="0.55000000000000004"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  <c r="AA228" s="82"/>
      <c r="AB228" s="82"/>
    </row>
    <row r="229" spans="3:28" ht="13.2" x14ac:dyDescent="0.55000000000000004"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  <c r="AA229" s="82"/>
      <c r="AB229" s="82"/>
    </row>
    <row r="230" spans="3:28" ht="13.2" x14ac:dyDescent="0.55000000000000004"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  <c r="AA230" s="82"/>
      <c r="AB230" s="82"/>
    </row>
    <row r="231" spans="3:28" ht="13.2" x14ac:dyDescent="0.55000000000000004"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  <c r="AA231" s="82"/>
      <c r="AB231" s="82"/>
    </row>
    <row r="232" spans="3:28" ht="13.2" x14ac:dyDescent="0.55000000000000004"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  <c r="AA232" s="82"/>
      <c r="AB232" s="82"/>
    </row>
    <row r="233" spans="3:28" ht="13.2" x14ac:dyDescent="0.55000000000000004"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  <c r="AA233" s="82"/>
      <c r="AB233" s="82"/>
    </row>
    <row r="234" spans="3:28" ht="13.2" x14ac:dyDescent="0.55000000000000004"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</row>
    <row r="235" spans="3:28" ht="13.2" x14ac:dyDescent="0.55000000000000004">
      <c r="C235" s="82"/>
      <c r="D235" s="82"/>
      <c r="E235" s="82"/>
      <c r="F235" s="82"/>
      <c r="G235" s="82"/>
      <c r="H235" s="82"/>
      <c r="I235" s="82"/>
      <c r="J235" s="82"/>
      <c r="K235" s="82"/>
      <c r="L235" s="82"/>
      <c r="M235" s="82"/>
      <c r="N235" s="82"/>
      <c r="O235" s="82"/>
      <c r="P235" s="82"/>
      <c r="Q235" s="82"/>
      <c r="R235" s="82"/>
      <c r="S235" s="82"/>
      <c r="T235" s="82"/>
      <c r="U235" s="82"/>
      <c r="V235" s="82"/>
      <c r="W235" s="82"/>
      <c r="X235" s="82"/>
      <c r="Y235" s="82"/>
      <c r="Z235" s="82"/>
      <c r="AA235" s="82"/>
      <c r="AB235" s="82"/>
    </row>
    <row r="236" spans="3:28" ht="13.2" x14ac:dyDescent="0.55000000000000004"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82"/>
      <c r="Z236" s="82"/>
      <c r="AA236" s="82"/>
      <c r="AB236" s="82"/>
    </row>
    <row r="237" spans="3:28" ht="13.2" x14ac:dyDescent="0.55000000000000004">
      <c r="C237" s="82"/>
      <c r="D237" s="82"/>
      <c r="E237" s="82"/>
      <c r="F237" s="82"/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</row>
    <row r="238" spans="3:28" ht="13.2" x14ac:dyDescent="0.55000000000000004"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</row>
    <row r="239" spans="3:28" ht="13.2" x14ac:dyDescent="0.55000000000000004">
      <c r="C239" s="82"/>
      <c r="D239" s="82"/>
      <c r="E239" s="82"/>
      <c r="F239" s="82"/>
      <c r="G239" s="82"/>
      <c r="H239" s="82"/>
      <c r="I239" s="82"/>
      <c r="J239" s="82"/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</row>
    <row r="240" spans="3:28" ht="13.2" x14ac:dyDescent="0.55000000000000004"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  <c r="AA240" s="82"/>
      <c r="AB240" s="82"/>
    </row>
    <row r="241" spans="3:28" ht="13.2" x14ac:dyDescent="0.55000000000000004">
      <c r="C241" s="82"/>
      <c r="D241" s="82"/>
      <c r="E241" s="82"/>
      <c r="F241" s="82"/>
      <c r="G241" s="82"/>
      <c r="H241" s="82"/>
      <c r="I241" s="82"/>
      <c r="J241" s="82"/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  <c r="AA241" s="82"/>
      <c r="AB241" s="82"/>
    </row>
    <row r="242" spans="3:28" ht="13.2" x14ac:dyDescent="0.55000000000000004"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  <c r="AA242" s="82"/>
      <c r="AB242" s="82"/>
    </row>
    <row r="243" spans="3:28" ht="13.2" x14ac:dyDescent="0.55000000000000004"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  <c r="AB243" s="82"/>
    </row>
    <row r="244" spans="3:28" ht="13.2" x14ac:dyDescent="0.55000000000000004"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  <c r="AA244" s="82"/>
      <c r="AB244" s="82"/>
    </row>
    <row r="245" spans="3:28" ht="13.2" x14ac:dyDescent="0.55000000000000004">
      <c r="C245" s="82"/>
      <c r="D245" s="82"/>
      <c r="E245" s="82"/>
      <c r="F245" s="82"/>
      <c r="G245" s="82"/>
      <c r="H245" s="82"/>
      <c r="I245" s="82"/>
      <c r="J245" s="82"/>
      <c r="K245" s="82"/>
      <c r="L245" s="82"/>
      <c r="M245" s="82"/>
      <c r="N245" s="82"/>
      <c r="O245" s="82"/>
      <c r="P245" s="82"/>
      <c r="Q245" s="82"/>
      <c r="R245" s="82"/>
      <c r="S245" s="82"/>
      <c r="T245" s="82"/>
      <c r="U245" s="82"/>
      <c r="V245" s="82"/>
      <c r="W245" s="82"/>
      <c r="X245" s="82"/>
      <c r="Y245" s="82"/>
      <c r="Z245" s="82"/>
      <c r="AA245" s="82"/>
      <c r="AB245" s="82"/>
    </row>
    <row r="246" spans="3:28" ht="13.2" x14ac:dyDescent="0.55000000000000004">
      <c r="C246" s="82"/>
      <c r="D246" s="82"/>
      <c r="E246" s="82"/>
      <c r="F246" s="82"/>
      <c r="G246" s="82"/>
      <c r="H246" s="82"/>
      <c r="I246" s="82"/>
      <c r="J246" s="82"/>
      <c r="K246" s="82"/>
      <c r="L246" s="82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82"/>
      <c r="Z246" s="82"/>
      <c r="AA246" s="82"/>
      <c r="AB246" s="82"/>
    </row>
    <row r="247" spans="3:28" ht="13.2" x14ac:dyDescent="0.55000000000000004">
      <c r="C247" s="82"/>
      <c r="D247" s="82"/>
      <c r="E247" s="82"/>
      <c r="F247" s="82"/>
      <c r="G247" s="82"/>
      <c r="H247" s="82"/>
      <c r="I247" s="82"/>
      <c r="J247" s="82"/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  <c r="AA247" s="82"/>
      <c r="AB247" s="82"/>
    </row>
    <row r="248" spans="3:28" ht="13.2" x14ac:dyDescent="0.55000000000000004"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  <c r="AA248" s="82"/>
      <c r="AB248" s="82"/>
    </row>
    <row r="249" spans="3:28" ht="13.2" x14ac:dyDescent="0.55000000000000004">
      <c r="C249" s="82"/>
      <c r="D249" s="82"/>
      <c r="E249" s="82"/>
      <c r="F249" s="82"/>
      <c r="G249" s="82"/>
      <c r="H249" s="82"/>
      <c r="I249" s="82"/>
      <c r="J249" s="82"/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  <c r="AA249" s="82"/>
      <c r="AB249" s="82"/>
    </row>
    <row r="250" spans="3:28" ht="13.2" x14ac:dyDescent="0.55000000000000004"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  <c r="AA250" s="82"/>
      <c r="AB250" s="82"/>
    </row>
    <row r="251" spans="3:28" ht="13.2" x14ac:dyDescent="0.55000000000000004"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82"/>
      <c r="P251" s="82"/>
      <c r="Q251" s="82"/>
      <c r="R251" s="82"/>
      <c r="S251" s="82"/>
      <c r="T251" s="82"/>
      <c r="U251" s="82"/>
      <c r="V251" s="82"/>
      <c r="W251" s="82"/>
      <c r="X251" s="82"/>
      <c r="Y251" s="82"/>
      <c r="Z251" s="82"/>
      <c r="AA251" s="82"/>
      <c r="AB251" s="82"/>
    </row>
    <row r="252" spans="3:28" ht="13.2" x14ac:dyDescent="0.55000000000000004"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  <c r="AB252" s="82"/>
    </row>
    <row r="253" spans="3:28" ht="13.2" x14ac:dyDescent="0.55000000000000004">
      <c r="C253" s="82"/>
      <c r="D253" s="82"/>
      <c r="E253" s="82"/>
      <c r="F253" s="82"/>
      <c r="G253" s="82"/>
      <c r="H253" s="82"/>
      <c r="I253" s="82"/>
      <c r="J253" s="82"/>
      <c r="K253" s="82"/>
      <c r="L253" s="82"/>
      <c r="M253" s="82"/>
      <c r="N253" s="82"/>
      <c r="O253" s="82"/>
      <c r="P253" s="82"/>
      <c r="Q253" s="82"/>
      <c r="R253" s="82"/>
      <c r="S253" s="82"/>
      <c r="T253" s="82"/>
      <c r="U253" s="82"/>
      <c r="V253" s="82"/>
      <c r="W253" s="82"/>
      <c r="X253" s="82"/>
      <c r="Y253" s="82"/>
      <c r="Z253" s="82"/>
      <c r="AA253" s="82"/>
      <c r="AB253" s="82"/>
    </row>
    <row r="254" spans="3:28" ht="13.2" x14ac:dyDescent="0.55000000000000004"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82"/>
      <c r="Z254" s="82"/>
      <c r="AA254" s="82"/>
      <c r="AB254" s="82"/>
    </row>
    <row r="255" spans="3:28" ht="13.2" x14ac:dyDescent="0.55000000000000004">
      <c r="C255" s="82"/>
      <c r="D255" s="82"/>
      <c r="E255" s="82"/>
      <c r="F255" s="82"/>
      <c r="G255" s="82"/>
      <c r="H255" s="82"/>
      <c r="I255" s="82"/>
      <c r="J255" s="82"/>
      <c r="K255" s="82"/>
      <c r="L255" s="82"/>
      <c r="M255" s="82"/>
      <c r="N255" s="82"/>
      <c r="O255" s="82"/>
      <c r="P255" s="82"/>
      <c r="Q255" s="82"/>
      <c r="R255" s="82"/>
      <c r="S255" s="82"/>
      <c r="T255" s="82"/>
      <c r="U255" s="82"/>
      <c r="V255" s="82"/>
      <c r="W255" s="82"/>
      <c r="X255" s="82"/>
      <c r="Y255" s="82"/>
      <c r="Z255" s="82"/>
      <c r="AA255" s="82"/>
      <c r="AB255" s="82"/>
    </row>
    <row r="256" spans="3:28" ht="13.2" x14ac:dyDescent="0.55000000000000004"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  <c r="AB256" s="82"/>
    </row>
    <row r="257" spans="3:28" ht="13.2" x14ac:dyDescent="0.55000000000000004">
      <c r="C257" s="82"/>
      <c r="D257" s="82"/>
      <c r="E257" s="82"/>
      <c r="F257" s="82"/>
      <c r="G257" s="82"/>
      <c r="H257" s="82"/>
      <c r="I257" s="82"/>
      <c r="J257" s="82"/>
      <c r="K257" s="82"/>
      <c r="L257" s="82"/>
      <c r="M257" s="82"/>
      <c r="N257" s="82"/>
      <c r="O257" s="82"/>
      <c r="P257" s="82"/>
      <c r="Q257" s="82"/>
      <c r="R257" s="82"/>
      <c r="S257" s="82"/>
      <c r="T257" s="82"/>
      <c r="U257" s="82"/>
      <c r="V257" s="82"/>
      <c r="W257" s="82"/>
      <c r="X257" s="82"/>
      <c r="Y257" s="82"/>
      <c r="Z257" s="82"/>
      <c r="AA257" s="82"/>
      <c r="AB257" s="82"/>
    </row>
    <row r="258" spans="3:28" ht="13.2" x14ac:dyDescent="0.55000000000000004"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  <c r="AA258" s="82"/>
      <c r="AB258" s="82"/>
    </row>
    <row r="259" spans="3:28" ht="13.2" x14ac:dyDescent="0.55000000000000004">
      <c r="C259" s="82"/>
      <c r="D259" s="82"/>
      <c r="E259" s="82"/>
      <c r="F259" s="82"/>
      <c r="G259" s="82"/>
      <c r="H259" s="82"/>
      <c r="I259" s="82"/>
      <c r="J259" s="82"/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  <c r="AA259" s="82"/>
      <c r="AB259" s="82"/>
    </row>
    <row r="260" spans="3:28" ht="13.2" x14ac:dyDescent="0.55000000000000004"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  <c r="AA260" s="82"/>
      <c r="AB260" s="82"/>
    </row>
    <row r="261" spans="3:28" ht="13.2" x14ac:dyDescent="0.55000000000000004"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  <c r="AA261" s="82"/>
      <c r="AB261" s="82"/>
    </row>
    <row r="262" spans="3:28" ht="13.2" x14ac:dyDescent="0.55000000000000004"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B262" s="82"/>
    </row>
    <row r="263" spans="3:28" ht="13.2" x14ac:dyDescent="0.55000000000000004">
      <c r="C263" s="82"/>
      <c r="D263" s="82"/>
      <c r="E263" s="82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  <c r="AA263" s="82"/>
      <c r="AB263" s="82"/>
    </row>
    <row r="264" spans="3:28" ht="13.2" x14ac:dyDescent="0.55000000000000004"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</row>
    <row r="265" spans="3:28" ht="13.2" x14ac:dyDescent="0.55000000000000004"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</row>
    <row r="266" spans="3:28" ht="13.2" x14ac:dyDescent="0.55000000000000004"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</row>
    <row r="267" spans="3:28" ht="13.2" x14ac:dyDescent="0.55000000000000004"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</row>
    <row r="268" spans="3:28" ht="13.2" x14ac:dyDescent="0.55000000000000004"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</row>
    <row r="269" spans="3:28" ht="13.2" x14ac:dyDescent="0.55000000000000004">
      <c r="C269" s="82"/>
      <c r="D269" s="82"/>
      <c r="E269" s="82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</row>
    <row r="270" spans="3:28" ht="13.2" x14ac:dyDescent="0.55000000000000004"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82"/>
      <c r="Z270" s="82"/>
      <c r="AA270" s="82"/>
      <c r="AB270" s="82"/>
    </row>
    <row r="271" spans="3:28" ht="13.2" x14ac:dyDescent="0.55000000000000004">
      <c r="C271" s="82"/>
      <c r="D271" s="82"/>
      <c r="E271" s="82"/>
      <c r="F271" s="82"/>
      <c r="G271" s="82"/>
      <c r="H271" s="82"/>
      <c r="I271" s="82"/>
      <c r="J271" s="82"/>
      <c r="K271" s="82"/>
      <c r="L271" s="82"/>
      <c r="M271" s="82"/>
      <c r="N271" s="82"/>
      <c r="O271" s="82"/>
      <c r="P271" s="82"/>
      <c r="Q271" s="82"/>
      <c r="R271" s="82"/>
      <c r="S271" s="82"/>
      <c r="T271" s="82"/>
      <c r="U271" s="82"/>
      <c r="V271" s="82"/>
      <c r="W271" s="82"/>
      <c r="X271" s="82"/>
      <c r="Y271" s="82"/>
      <c r="Z271" s="82"/>
      <c r="AA271" s="82"/>
      <c r="AB271" s="82"/>
    </row>
    <row r="272" spans="3:28" ht="13.2" x14ac:dyDescent="0.55000000000000004"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82"/>
      <c r="Z272" s="82"/>
      <c r="AA272" s="82"/>
      <c r="AB272" s="82"/>
    </row>
    <row r="273" spans="3:28" ht="13.2" x14ac:dyDescent="0.55000000000000004">
      <c r="C273" s="82"/>
      <c r="D273" s="82"/>
      <c r="E273" s="82"/>
      <c r="F273" s="82"/>
      <c r="G273" s="82"/>
      <c r="H273" s="82"/>
      <c r="I273" s="82"/>
      <c r="J273" s="82"/>
      <c r="K273" s="82"/>
      <c r="L273" s="82"/>
      <c r="M273" s="82"/>
      <c r="N273" s="82"/>
      <c r="O273" s="82"/>
      <c r="P273" s="82"/>
      <c r="Q273" s="82"/>
      <c r="R273" s="82"/>
      <c r="S273" s="82"/>
      <c r="T273" s="82"/>
      <c r="U273" s="82"/>
      <c r="V273" s="82"/>
      <c r="W273" s="82"/>
      <c r="X273" s="82"/>
      <c r="Y273" s="82"/>
      <c r="Z273" s="82"/>
      <c r="AA273" s="82"/>
      <c r="AB273" s="82"/>
    </row>
    <row r="274" spans="3:28" ht="13.2" x14ac:dyDescent="0.55000000000000004"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  <c r="AA274" s="82"/>
      <c r="AB274" s="82"/>
    </row>
    <row r="275" spans="3:28" ht="13.2" x14ac:dyDescent="0.55000000000000004">
      <c r="C275" s="82"/>
      <c r="D275" s="82"/>
      <c r="E275" s="82"/>
      <c r="F275" s="82"/>
      <c r="G275" s="82"/>
      <c r="H275" s="82"/>
      <c r="I275" s="82"/>
      <c r="J275" s="82"/>
      <c r="K275" s="82"/>
      <c r="L275" s="82"/>
      <c r="M275" s="82"/>
      <c r="N275" s="82"/>
      <c r="O275" s="82"/>
      <c r="P275" s="82"/>
      <c r="Q275" s="82"/>
      <c r="R275" s="82"/>
      <c r="S275" s="82"/>
      <c r="T275" s="82"/>
      <c r="U275" s="82"/>
      <c r="V275" s="82"/>
      <c r="W275" s="82"/>
      <c r="X275" s="82"/>
      <c r="Y275" s="82"/>
      <c r="Z275" s="82"/>
      <c r="AA275" s="82"/>
      <c r="AB275" s="82"/>
    </row>
    <row r="276" spans="3:28" ht="13.2" x14ac:dyDescent="0.55000000000000004"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82"/>
      <c r="Z276" s="82"/>
      <c r="AA276" s="82"/>
      <c r="AB276" s="82"/>
    </row>
    <row r="277" spans="3:28" ht="13.2" x14ac:dyDescent="0.55000000000000004">
      <c r="C277" s="82"/>
      <c r="D277" s="82"/>
      <c r="E277" s="82"/>
      <c r="F277" s="82"/>
      <c r="G277" s="82"/>
      <c r="H277" s="82"/>
      <c r="I277" s="82"/>
      <c r="J277" s="82"/>
      <c r="K277" s="82"/>
      <c r="L277" s="82"/>
      <c r="M277" s="82"/>
      <c r="N277" s="82"/>
      <c r="O277" s="82"/>
      <c r="P277" s="82"/>
      <c r="Q277" s="82"/>
      <c r="R277" s="82"/>
      <c r="S277" s="82"/>
      <c r="T277" s="82"/>
      <c r="U277" s="82"/>
      <c r="V277" s="82"/>
      <c r="W277" s="82"/>
      <c r="X277" s="82"/>
      <c r="Y277" s="82"/>
      <c r="Z277" s="82"/>
      <c r="AA277" s="82"/>
      <c r="AB277" s="82"/>
    </row>
    <row r="278" spans="3:28" ht="13.2" x14ac:dyDescent="0.55000000000000004"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  <c r="AA278" s="82"/>
      <c r="AB278" s="82"/>
    </row>
    <row r="279" spans="3:28" ht="13.2" x14ac:dyDescent="0.55000000000000004"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B279" s="82"/>
    </row>
    <row r="280" spans="3:28" ht="13.2" x14ac:dyDescent="0.55000000000000004"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82"/>
      <c r="Z280" s="82"/>
      <c r="AA280" s="82"/>
      <c r="AB280" s="82"/>
    </row>
    <row r="281" spans="3:28" ht="13.2" x14ac:dyDescent="0.55000000000000004"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  <c r="AA281" s="82"/>
      <c r="AB281" s="82"/>
    </row>
    <row r="282" spans="3:28" ht="13.2" x14ac:dyDescent="0.55000000000000004"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82"/>
      <c r="Z282" s="82"/>
      <c r="AA282" s="82"/>
      <c r="AB282" s="82"/>
    </row>
    <row r="283" spans="3:28" ht="13.2" x14ac:dyDescent="0.55000000000000004"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B283" s="82"/>
    </row>
    <row r="284" spans="3:28" ht="13.2" x14ac:dyDescent="0.55000000000000004"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82"/>
      <c r="Z284" s="82"/>
      <c r="AA284" s="82"/>
      <c r="AB284" s="82"/>
    </row>
    <row r="285" spans="3:28" ht="13.2" x14ac:dyDescent="0.55000000000000004"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82"/>
      <c r="AA285" s="82"/>
      <c r="AB285" s="82"/>
    </row>
    <row r="286" spans="3:28" ht="13.2" x14ac:dyDescent="0.55000000000000004"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82"/>
      <c r="AA286" s="82"/>
      <c r="AB286" s="82"/>
    </row>
    <row r="287" spans="3:28" ht="13.2" x14ac:dyDescent="0.55000000000000004">
      <c r="C287" s="82"/>
      <c r="D287" s="82"/>
      <c r="E287" s="82"/>
      <c r="F287" s="82"/>
      <c r="G287" s="82"/>
      <c r="H287" s="82"/>
      <c r="I287" s="82"/>
      <c r="J287" s="82"/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  <c r="AA287" s="82"/>
      <c r="AB287" s="82"/>
    </row>
    <row r="288" spans="3:28" ht="13.2" x14ac:dyDescent="0.55000000000000004"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  <c r="AA288" s="82"/>
      <c r="AB288" s="82"/>
    </row>
    <row r="289" spans="3:28" ht="13.2" x14ac:dyDescent="0.55000000000000004"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  <c r="AB289" s="82"/>
    </row>
    <row r="290" spans="3:28" ht="13.2" x14ac:dyDescent="0.55000000000000004"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  <c r="AA290" s="82"/>
      <c r="AB290" s="82"/>
    </row>
    <row r="291" spans="3:28" ht="13.2" x14ac:dyDescent="0.55000000000000004">
      <c r="C291" s="82"/>
      <c r="D291" s="82"/>
      <c r="E291" s="82"/>
      <c r="F291" s="82"/>
      <c r="G291" s="82"/>
      <c r="H291" s="82"/>
      <c r="I291" s="82"/>
      <c r="J291" s="82"/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  <c r="AA291" s="82"/>
      <c r="AB291" s="82"/>
    </row>
    <row r="292" spans="3:28" ht="13.2" x14ac:dyDescent="0.55000000000000004"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  <c r="AA292" s="82"/>
      <c r="AB292" s="82"/>
    </row>
    <row r="293" spans="3:28" ht="13.2" x14ac:dyDescent="0.55000000000000004">
      <c r="C293" s="82"/>
      <c r="D293" s="82"/>
      <c r="E293" s="82"/>
      <c r="F293" s="82"/>
      <c r="G293" s="82"/>
      <c r="H293" s="82"/>
      <c r="I293" s="82"/>
      <c r="J293" s="82"/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  <c r="AA293" s="82"/>
      <c r="AB293" s="82"/>
    </row>
    <row r="294" spans="3:28" ht="13.2" x14ac:dyDescent="0.55000000000000004"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</row>
    <row r="295" spans="3:28" ht="13.2" x14ac:dyDescent="0.55000000000000004">
      <c r="C295" s="82"/>
      <c r="D295" s="82"/>
      <c r="E295" s="82"/>
      <c r="F295" s="82"/>
      <c r="G295" s="82"/>
      <c r="H295" s="82"/>
      <c r="I295" s="82"/>
      <c r="J295" s="82"/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  <c r="AA295" s="82"/>
      <c r="AB295" s="82"/>
    </row>
    <row r="296" spans="3:28" ht="13.2" x14ac:dyDescent="0.55000000000000004"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  <c r="AA296" s="82"/>
      <c r="AB296" s="82"/>
    </row>
    <row r="297" spans="3:28" ht="13.2" x14ac:dyDescent="0.55000000000000004"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  <c r="AB297" s="82"/>
    </row>
    <row r="298" spans="3:28" ht="13.2" x14ac:dyDescent="0.55000000000000004"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  <c r="AA298" s="82"/>
      <c r="AB298" s="82"/>
    </row>
    <row r="299" spans="3:28" ht="13.2" x14ac:dyDescent="0.55000000000000004"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  <c r="AA299" s="82"/>
      <c r="AB299" s="82"/>
    </row>
    <row r="300" spans="3:28" ht="13.2" x14ac:dyDescent="0.55000000000000004"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  <c r="AA300" s="82"/>
      <c r="AB300" s="82"/>
    </row>
    <row r="301" spans="3:28" ht="13.2" x14ac:dyDescent="0.55000000000000004">
      <c r="C301" s="82"/>
      <c r="D301" s="82"/>
      <c r="E301" s="82"/>
      <c r="F301" s="82"/>
      <c r="G301" s="82"/>
      <c r="H301" s="82"/>
      <c r="I301" s="82"/>
      <c r="J301" s="82"/>
      <c r="K301" s="82"/>
      <c r="L301" s="82"/>
      <c r="M301" s="82"/>
      <c r="N301" s="82"/>
      <c r="O301" s="82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  <c r="AA301" s="82"/>
      <c r="AB301" s="82"/>
    </row>
    <row r="302" spans="3:28" ht="13.2" x14ac:dyDescent="0.55000000000000004"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82"/>
      <c r="Z302" s="82"/>
      <c r="AA302" s="82"/>
      <c r="AB302" s="82"/>
    </row>
    <row r="303" spans="3:28" ht="13.2" x14ac:dyDescent="0.55000000000000004"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  <c r="AA303" s="82"/>
      <c r="AB303" s="82"/>
    </row>
    <row r="304" spans="3:28" ht="13.2" x14ac:dyDescent="0.55000000000000004"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</row>
    <row r="305" spans="3:28" ht="13.2" x14ac:dyDescent="0.55000000000000004">
      <c r="C305" s="82"/>
      <c r="D305" s="82"/>
      <c r="E305" s="82"/>
      <c r="F305" s="82"/>
      <c r="G305" s="82"/>
      <c r="H305" s="82"/>
      <c r="I305" s="82"/>
      <c r="J305" s="82"/>
      <c r="K305" s="82"/>
      <c r="L305" s="82"/>
      <c r="M305" s="82"/>
      <c r="N305" s="82"/>
      <c r="O305" s="82"/>
      <c r="P305" s="82"/>
      <c r="Q305" s="82"/>
      <c r="R305" s="82"/>
      <c r="S305" s="82"/>
      <c r="T305" s="82"/>
      <c r="U305" s="82"/>
      <c r="V305" s="82"/>
      <c r="W305" s="82"/>
      <c r="X305" s="82"/>
      <c r="Y305" s="82"/>
      <c r="Z305" s="82"/>
      <c r="AA305" s="82"/>
      <c r="AB305" s="82"/>
    </row>
    <row r="306" spans="3:28" ht="13.2" x14ac:dyDescent="0.55000000000000004"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82"/>
      <c r="Z306" s="82"/>
      <c r="AA306" s="82"/>
      <c r="AB306" s="82"/>
    </row>
    <row r="307" spans="3:28" ht="13.2" x14ac:dyDescent="0.55000000000000004">
      <c r="C307" s="82"/>
      <c r="D307" s="82"/>
      <c r="E307" s="82"/>
      <c r="F307" s="82"/>
      <c r="G307" s="82"/>
      <c r="H307" s="82"/>
      <c r="I307" s="82"/>
      <c r="J307" s="82"/>
      <c r="K307" s="82"/>
      <c r="L307" s="82"/>
      <c r="M307" s="82"/>
      <c r="N307" s="82"/>
      <c r="O307" s="82"/>
      <c r="P307" s="82"/>
      <c r="Q307" s="82"/>
      <c r="R307" s="82"/>
      <c r="S307" s="82"/>
      <c r="T307" s="82"/>
      <c r="U307" s="82"/>
      <c r="V307" s="82"/>
      <c r="W307" s="82"/>
      <c r="X307" s="82"/>
      <c r="Y307" s="82"/>
      <c r="Z307" s="82"/>
      <c r="AA307" s="82"/>
      <c r="AB307" s="82"/>
    </row>
    <row r="308" spans="3:28" ht="13.2" x14ac:dyDescent="0.55000000000000004"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  <c r="AB308" s="82"/>
    </row>
    <row r="309" spans="3:28" ht="13.2" x14ac:dyDescent="0.55000000000000004">
      <c r="C309" s="82"/>
      <c r="D309" s="82"/>
      <c r="E309" s="82"/>
      <c r="F309" s="82"/>
      <c r="G309" s="82"/>
      <c r="H309" s="82"/>
      <c r="I309" s="82"/>
      <c r="J309" s="82"/>
      <c r="K309" s="82"/>
      <c r="L309" s="82"/>
      <c r="M309" s="82"/>
      <c r="N309" s="82"/>
      <c r="O309" s="82"/>
      <c r="P309" s="82"/>
      <c r="Q309" s="82"/>
      <c r="R309" s="82"/>
      <c r="S309" s="82"/>
      <c r="T309" s="82"/>
      <c r="U309" s="82"/>
      <c r="V309" s="82"/>
      <c r="W309" s="82"/>
      <c r="X309" s="82"/>
      <c r="Y309" s="82"/>
      <c r="Z309" s="82"/>
      <c r="AA309" s="82"/>
      <c r="AB309" s="82"/>
    </row>
    <row r="310" spans="3:28" ht="13.2" x14ac:dyDescent="0.55000000000000004"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B310" s="82"/>
    </row>
    <row r="311" spans="3:28" ht="13.2" x14ac:dyDescent="0.55000000000000004">
      <c r="C311" s="82"/>
      <c r="D311" s="82"/>
      <c r="E311" s="82"/>
      <c r="F311" s="82"/>
      <c r="G311" s="82"/>
      <c r="H311" s="82"/>
      <c r="I311" s="82"/>
      <c r="J311" s="82"/>
      <c r="K311" s="82"/>
      <c r="L311" s="82"/>
      <c r="M311" s="82"/>
      <c r="N311" s="82"/>
      <c r="O311" s="82"/>
      <c r="P311" s="82"/>
      <c r="Q311" s="82"/>
      <c r="R311" s="82"/>
      <c r="S311" s="82"/>
      <c r="T311" s="82"/>
      <c r="U311" s="82"/>
      <c r="V311" s="82"/>
      <c r="W311" s="82"/>
      <c r="X311" s="82"/>
      <c r="Y311" s="82"/>
      <c r="Z311" s="82"/>
      <c r="AA311" s="82"/>
      <c r="AB311" s="82"/>
    </row>
    <row r="312" spans="3:28" ht="13.2" x14ac:dyDescent="0.55000000000000004"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82"/>
      <c r="Z312" s="82"/>
      <c r="AA312" s="82"/>
      <c r="AB312" s="82"/>
    </row>
    <row r="313" spans="3:28" ht="13.2" x14ac:dyDescent="0.55000000000000004">
      <c r="C313" s="82"/>
      <c r="D313" s="82"/>
      <c r="E313" s="82"/>
      <c r="F313" s="82"/>
      <c r="G313" s="82"/>
      <c r="H313" s="82"/>
      <c r="I313" s="82"/>
      <c r="J313" s="82"/>
      <c r="K313" s="82"/>
      <c r="L313" s="82"/>
      <c r="M313" s="82"/>
      <c r="N313" s="82"/>
      <c r="O313" s="82"/>
      <c r="P313" s="82"/>
      <c r="Q313" s="82"/>
      <c r="R313" s="82"/>
      <c r="S313" s="82"/>
      <c r="T313" s="82"/>
      <c r="U313" s="82"/>
      <c r="V313" s="82"/>
      <c r="W313" s="82"/>
      <c r="X313" s="82"/>
      <c r="Y313" s="82"/>
      <c r="Z313" s="82"/>
      <c r="AA313" s="82"/>
      <c r="AB313" s="82"/>
    </row>
    <row r="314" spans="3:28" ht="13.2" x14ac:dyDescent="0.55000000000000004"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82"/>
      <c r="Z314" s="82"/>
      <c r="AA314" s="82"/>
      <c r="AB314" s="82"/>
    </row>
    <row r="315" spans="3:28" ht="13.2" x14ac:dyDescent="0.55000000000000004">
      <c r="C315" s="82"/>
      <c r="D315" s="82"/>
      <c r="E315" s="82"/>
      <c r="F315" s="82"/>
      <c r="G315" s="82"/>
      <c r="H315" s="82"/>
      <c r="I315" s="82"/>
      <c r="J315" s="82"/>
      <c r="K315" s="82"/>
      <c r="L315" s="82"/>
      <c r="M315" s="82"/>
      <c r="N315" s="82"/>
      <c r="O315" s="82"/>
      <c r="P315" s="82"/>
      <c r="Q315" s="82"/>
      <c r="R315" s="82"/>
      <c r="S315" s="82"/>
      <c r="T315" s="82"/>
      <c r="U315" s="82"/>
      <c r="V315" s="82"/>
      <c r="W315" s="82"/>
      <c r="X315" s="82"/>
      <c r="Y315" s="82"/>
      <c r="Z315" s="82"/>
      <c r="AA315" s="82"/>
      <c r="AB315" s="82"/>
    </row>
    <row r="316" spans="3:28" ht="13.2" x14ac:dyDescent="0.55000000000000004"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82"/>
      <c r="Z316" s="82"/>
      <c r="AA316" s="82"/>
      <c r="AB316" s="82"/>
    </row>
    <row r="317" spans="3:28" ht="13.2" x14ac:dyDescent="0.55000000000000004">
      <c r="C317" s="82"/>
      <c r="D317" s="82"/>
      <c r="E317" s="82"/>
      <c r="F317" s="82"/>
      <c r="G317" s="82"/>
      <c r="H317" s="82"/>
      <c r="I317" s="82"/>
      <c r="J317" s="82"/>
      <c r="K317" s="82"/>
      <c r="L317" s="82"/>
      <c r="M317" s="82"/>
      <c r="N317" s="82"/>
      <c r="O317" s="82"/>
      <c r="P317" s="82"/>
      <c r="Q317" s="82"/>
      <c r="R317" s="82"/>
      <c r="S317" s="82"/>
      <c r="T317" s="82"/>
      <c r="U317" s="82"/>
      <c r="V317" s="82"/>
      <c r="W317" s="82"/>
      <c r="X317" s="82"/>
      <c r="Y317" s="82"/>
      <c r="Z317" s="82"/>
      <c r="AA317" s="82"/>
      <c r="AB317" s="82"/>
    </row>
    <row r="318" spans="3:28" ht="13.2" x14ac:dyDescent="0.55000000000000004"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  <c r="AA318" s="82"/>
      <c r="AB318" s="82"/>
    </row>
    <row r="319" spans="3:28" ht="13.2" x14ac:dyDescent="0.55000000000000004">
      <c r="C319" s="82"/>
      <c r="D319" s="82"/>
      <c r="E319" s="82"/>
      <c r="F319" s="82"/>
      <c r="G319" s="82"/>
      <c r="H319" s="82"/>
      <c r="I319" s="82"/>
      <c r="J319" s="82"/>
      <c r="K319" s="82"/>
      <c r="L319" s="82"/>
      <c r="M319" s="82"/>
      <c r="N319" s="82"/>
      <c r="O319" s="82"/>
      <c r="P319" s="82"/>
      <c r="Q319" s="82"/>
      <c r="R319" s="82"/>
      <c r="S319" s="82"/>
      <c r="T319" s="82"/>
      <c r="U319" s="82"/>
      <c r="V319" s="82"/>
      <c r="W319" s="82"/>
      <c r="X319" s="82"/>
      <c r="Y319" s="82"/>
      <c r="Z319" s="82"/>
      <c r="AA319" s="82"/>
      <c r="AB319" s="82"/>
    </row>
    <row r="320" spans="3:28" ht="13.2" x14ac:dyDescent="0.55000000000000004"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82"/>
      <c r="Z320" s="82"/>
      <c r="AA320" s="82"/>
      <c r="AB320" s="82"/>
    </row>
    <row r="321" spans="3:28" ht="13.2" x14ac:dyDescent="0.55000000000000004">
      <c r="C321" s="82"/>
      <c r="D321" s="82"/>
      <c r="E321" s="82"/>
      <c r="F321" s="82"/>
      <c r="G321" s="82"/>
      <c r="H321" s="82"/>
      <c r="I321" s="82"/>
      <c r="J321" s="82"/>
      <c r="K321" s="82"/>
      <c r="L321" s="82"/>
      <c r="M321" s="82"/>
      <c r="N321" s="82"/>
      <c r="O321" s="82"/>
      <c r="P321" s="82"/>
      <c r="Q321" s="82"/>
      <c r="R321" s="82"/>
      <c r="S321" s="82"/>
      <c r="T321" s="82"/>
      <c r="U321" s="82"/>
      <c r="V321" s="82"/>
      <c r="W321" s="82"/>
      <c r="X321" s="82"/>
      <c r="Y321" s="82"/>
      <c r="Z321" s="82"/>
      <c r="AA321" s="82"/>
      <c r="AB321" s="82"/>
    </row>
    <row r="322" spans="3:28" ht="13.2" x14ac:dyDescent="0.55000000000000004"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82"/>
      <c r="Z322" s="82"/>
      <c r="AA322" s="82"/>
      <c r="AB322" s="82"/>
    </row>
    <row r="323" spans="3:28" ht="13.2" x14ac:dyDescent="0.55000000000000004">
      <c r="C323" s="82"/>
      <c r="D323" s="82"/>
      <c r="E323" s="82"/>
      <c r="F323" s="82"/>
      <c r="G323" s="82"/>
      <c r="H323" s="82"/>
      <c r="I323" s="82"/>
      <c r="J323" s="82"/>
      <c r="K323" s="82"/>
      <c r="L323" s="82"/>
      <c r="M323" s="82"/>
      <c r="N323" s="82"/>
      <c r="O323" s="82"/>
      <c r="P323" s="82"/>
      <c r="Q323" s="82"/>
      <c r="R323" s="82"/>
      <c r="S323" s="82"/>
      <c r="T323" s="82"/>
      <c r="U323" s="82"/>
      <c r="V323" s="82"/>
      <c r="W323" s="82"/>
      <c r="X323" s="82"/>
      <c r="Y323" s="82"/>
      <c r="Z323" s="82"/>
      <c r="AA323" s="82"/>
      <c r="AB323" s="82"/>
    </row>
    <row r="324" spans="3:28" ht="13.2" x14ac:dyDescent="0.55000000000000004">
      <c r="C324" s="82"/>
      <c r="D324" s="82"/>
      <c r="E324" s="82"/>
      <c r="F324" s="82"/>
      <c r="G324" s="82"/>
      <c r="H324" s="82"/>
      <c r="I324" s="82"/>
      <c r="J324" s="82"/>
      <c r="K324" s="82"/>
      <c r="L324" s="82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82"/>
      <c r="Z324" s="82"/>
      <c r="AA324" s="82"/>
      <c r="AB324" s="82"/>
    </row>
    <row r="325" spans="3:28" ht="13.2" x14ac:dyDescent="0.55000000000000004">
      <c r="C325" s="82"/>
      <c r="D325" s="82"/>
      <c r="E325" s="82"/>
      <c r="F325" s="82"/>
      <c r="G325" s="82"/>
      <c r="H325" s="82"/>
      <c r="I325" s="82"/>
      <c r="J325" s="82"/>
      <c r="K325" s="82"/>
      <c r="L325" s="82"/>
      <c r="M325" s="82"/>
      <c r="N325" s="82"/>
      <c r="O325" s="82"/>
      <c r="P325" s="82"/>
      <c r="Q325" s="82"/>
      <c r="R325" s="82"/>
      <c r="S325" s="82"/>
      <c r="T325" s="82"/>
      <c r="U325" s="82"/>
      <c r="V325" s="82"/>
      <c r="W325" s="82"/>
      <c r="X325" s="82"/>
      <c r="Y325" s="82"/>
      <c r="Z325" s="82"/>
      <c r="AA325" s="82"/>
      <c r="AB325" s="82"/>
    </row>
    <row r="326" spans="3:28" ht="13.2" x14ac:dyDescent="0.55000000000000004"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82"/>
      <c r="Z326" s="82"/>
      <c r="AA326" s="82"/>
      <c r="AB326" s="82"/>
    </row>
    <row r="327" spans="3:28" ht="13.2" x14ac:dyDescent="0.55000000000000004">
      <c r="C327" s="82"/>
      <c r="D327" s="82"/>
      <c r="E327" s="82"/>
      <c r="F327" s="82"/>
      <c r="G327" s="82"/>
      <c r="H327" s="82"/>
      <c r="I327" s="82"/>
      <c r="J327" s="82"/>
      <c r="K327" s="82"/>
      <c r="L327" s="82"/>
      <c r="M327" s="82"/>
      <c r="N327" s="82"/>
      <c r="O327" s="82"/>
      <c r="P327" s="82"/>
      <c r="Q327" s="82"/>
      <c r="R327" s="82"/>
      <c r="S327" s="82"/>
      <c r="T327" s="82"/>
      <c r="U327" s="82"/>
      <c r="V327" s="82"/>
      <c r="W327" s="82"/>
      <c r="X327" s="82"/>
      <c r="Y327" s="82"/>
      <c r="Z327" s="82"/>
      <c r="AA327" s="82"/>
      <c r="AB327" s="82"/>
    </row>
    <row r="328" spans="3:28" ht="13.2" x14ac:dyDescent="0.55000000000000004"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82"/>
      <c r="Z328" s="82"/>
      <c r="AA328" s="82"/>
      <c r="AB328" s="82"/>
    </row>
    <row r="329" spans="3:28" ht="13.2" x14ac:dyDescent="0.55000000000000004">
      <c r="C329" s="82"/>
      <c r="D329" s="82"/>
      <c r="E329" s="82"/>
      <c r="F329" s="82"/>
      <c r="G329" s="82"/>
      <c r="H329" s="82"/>
      <c r="I329" s="82"/>
      <c r="J329" s="82"/>
      <c r="K329" s="82"/>
      <c r="L329" s="82"/>
      <c r="M329" s="82"/>
      <c r="N329" s="82"/>
      <c r="O329" s="82"/>
      <c r="P329" s="82"/>
      <c r="Q329" s="82"/>
      <c r="R329" s="82"/>
      <c r="S329" s="82"/>
      <c r="T329" s="82"/>
      <c r="U329" s="82"/>
      <c r="V329" s="82"/>
      <c r="W329" s="82"/>
      <c r="X329" s="82"/>
      <c r="Y329" s="82"/>
      <c r="Z329" s="82"/>
      <c r="AA329" s="82"/>
      <c r="AB329" s="82"/>
    </row>
    <row r="330" spans="3:28" ht="13.2" x14ac:dyDescent="0.55000000000000004"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82"/>
      <c r="Z330" s="82"/>
      <c r="AA330" s="82"/>
      <c r="AB330" s="82"/>
    </row>
    <row r="331" spans="3:28" ht="13.2" x14ac:dyDescent="0.55000000000000004">
      <c r="C331" s="82"/>
      <c r="D331" s="82"/>
      <c r="E331" s="82"/>
      <c r="F331" s="82"/>
      <c r="G331" s="82"/>
      <c r="H331" s="82"/>
      <c r="I331" s="82"/>
      <c r="J331" s="82"/>
      <c r="K331" s="82"/>
      <c r="L331" s="82"/>
      <c r="M331" s="82"/>
      <c r="N331" s="82"/>
      <c r="O331" s="82"/>
      <c r="P331" s="82"/>
      <c r="Q331" s="82"/>
      <c r="R331" s="82"/>
      <c r="S331" s="82"/>
      <c r="T331" s="82"/>
      <c r="U331" s="82"/>
      <c r="V331" s="82"/>
      <c r="W331" s="82"/>
      <c r="X331" s="82"/>
      <c r="Y331" s="82"/>
      <c r="Z331" s="82"/>
      <c r="AA331" s="82"/>
      <c r="AB331" s="82"/>
    </row>
    <row r="332" spans="3:28" ht="13.2" x14ac:dyDescent="0.55000000000000004"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82"/>
      <c r="Z332" s="82"/>
      <c r="AA332" s="82"/>
      <c r="AB332" s="82"/>
    </row>
    <row r="333" spans="3:28" ht="13.2" x14ac:dyDescent="0.55000000000000004">
      <c r="C333" s="82"/>
      <c r="D333" s="82"/>
      <c r="E333" s="82"/>
      <c r="F333" s="82"/>
      <c r="G333" s="82"/>
      <c r="H333" s="82"/>
      <c r="I333" s="82"/>
      <c r="J333" s="82"/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  <c r="AA333" s="82"/>
      <c r="AB333" s="82"/>
    </row>
    <row r="334" spans="3:28" ht="13.2" x14ac:dyDescent="0.55000000000000004">
      <c r="C334" s="82"/>
      <c r="D334" s="82"/>
      <c r="E334" s="82"/>
      <c r="F334" s="82"/>
      <c r="G334" s="82"/>
      <c r="H334" s="82"/>
      <c r="I334" s="82"/>
      <c r="J334" s="82"/>
      <c r="K334" s="82"/>
      <c r="L334" s="82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82"/>
      <c r="Z334" s="82"/>
      <c r="AA334" s="82"/>
      <c r="AB334" s="82"/>
    </row>
    <row r="335" spans="3:28" ht="13.2" x14ac:dyDescent="0.55000000000000004">
      <c r="C335" s="82"/>
      <c r="D335" s="82"/>
      <c r="E335" s="82"/>
      <c r="F335" s="82"/>
      <c r="G335" s="82"/>
      <c r="H335" s="82"/>
      <c r="I335" s="82"/>
      <c r="J335" s="82"/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  <c r="AA335" s="82"/>
      <c r="AB335" s="82"/>
    </row>
    <row r="336" spans="3:28" ht="13.2" x14ac:dyDescent="0.55000000000000004"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82"/>
      <c r="Z336" s="82"/>
      <c r="AA336" s="82"/>
      <c r="AB336" s="82"/>
    </row>
    <row r="337" spans="3:28" ht="13.2" x14ac:dyDescent="0.55000000000000004"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2"/>
      <c r="N337" s="82"/>
      <c r="O337" s="82"/>
      <c r="P337" s="82"/>
      <c r="Q337" s="82"/>
      <c r="R337" s="82"/>
      <c r="S337" s="82"/>
      <c r="T337" s="82"/>
      <c r="U337" s="82"/>
      <c r="V337" s="82"/>
      <c r="W337" s="82"/>
      <c r="X337" s="82"/>
      <c r="Y337" s="82"/>
      <c r="Z337" s="82"/>
      <c r="AA337" s="82"/>
      <c r="AB337" s="82"/>
    </row>
    <row r="338" spans="3:28" ht="13.2" x14ac:dyDescent="0.55000000000000004"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2"/>
      <c r="Z338" s="82"/>
      <c r="AA338" s="82"/>
      <c r="AB338" s="82"/>
    </row>
    <row r="339" spans="3:28" ht="13.2" x14ac:dyDescent="0.55000000000000004"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  <c r="AA339" s="82"/>
      <c r="AB339" s="82"/>
    </row>
    <row r="340" spans="3:28" ht="13.2" x14ac:dyDescent="0.55000000000000004"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  <c r="AA340" s="82"/>
      <c r="AB340" s="82"/>
    </row>
    <row r="341" spans="3:28" ht="13.2" x14ac:dyDescent="0.55000000000000004"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  <c r="AA341" s="82"/>
      <c r="AB341" s="82"/>
    </row>
    <row r="342" spans="3:28" ht="13.2" x14ac:dyDescent="0.55000000000000004"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  <c r="AA342" s="82"/>
      <c r="AB342" s="82"/>
    </row>
    <row r="343" spans="3:28" ht="13.2" x14ac:dyDescent="0.55000000000000004"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  <c r="AA343" s="82"/>
      <c r="AB343" s="82"/>
    </row>
    <row r="344" spans="3:28" ht="13.2" x14ac:dyDescent="0.55000000000000004"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  <c r="AA344" s="82"/>
      <c r="AB344" s="82"/>
    </row>
    <row r="345" spans="3:28" ht="13.2" x14ac:dyDescent="0.55000000000000004">
      <c r="C345" s="82"/>
      <c r="D345" s="82"/>
      <c r="E345" s="82"/>
      <c r="F345" s="82"/>
      <c r="G345" s="82"/>
      <c r="H345" s="82"/>
      <c r="I345" s="82"/>
      <c r="J345" s="82"/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  <c r="AA345" s="82"/>
      <c r="AB345" s="82"/>
    </row>
    <row r="346" spans="3:28" ht="13.2" x14ac:dyDescent="0.55000000000000004">
      <c r="C346" s="82"/>
      <c r="D346" s="82"/>
      <c r="E346" s="82"/>
      <c r="F346" s="82"/>
      <c r="G346" s="82"/>
      <c r="H346" s="82"/>
      <c r="I346" s="82"/>
      <c r="J346" s="82"/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  <c r="AA346" s="82"/>
      <c r="AB346" s="82"/>
    </row>
    <row r="347" spans="3:28" ht="13.2" x14ac:dyDescent="0.55000000000000004">
      <c r="C347" s="82"/>
      <c r="D347" s="82"/>
      <c r="E347" s="82"/>
      <c r="F347" s="82"/>
      <c r="G347" s="82"/>
      <c r="H347" s="82"/>
      <c r="I347" s="82"/>
      <c r="J347" s="82"/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  <c r="AA347" s="82"/>
      <c r="AB347" s="82"/>
    </row>
    <row r="348" spans="3:28" ht="13.2" x14ac:dyDescent="0.55000000000000004"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  <c r="AA348" s="82"/>
      <c r="AB348" s="82"/>
    </row>
    <row r="349" spans="3:28" ht="13.2" x14ac:dyDescent="0.55000000000000004">
      <c r="C349" s="82"/>
      <c r="D349" s="82"/>
      <c r="E349" s="82"/>
      <c r="F349" s="82"/>
      <c r="G349" s="82"/>
      <c r="H349" s="82"/>
      <c r="I349" s="82"/>
      <c r="J349" s="82"/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  <c r="AA349" s="82"/>
      <c r="AB349" s="82"/>
    </row>
    <row r="350" spans="3:28" ht="13.2" x14ac:dyDescent="0.55000000000000004"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  <c r="AA350" s="82"/>
      <c r="AB350" s="82"/>
    </row>
    <row r="351" spans="3:28" ht="13.2" x14ac:dyDescent="0.55000000000000004">
      <c r="C351" s="82"/>
      <c r="D351" s="82"/>
      <c r="E351" s="82"/>
      <c r="F351" s="82"/>
      <c r="G351" s="82"/>
      <c r="H351" s="82"/>
      <c r="I351" s="82"/>
      <c r="J351" s="82"/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  <c r="AA351" s="82"/>
      <c r="AB351" s="82"/>
    </row>
    <row r="352" spans="3:28" ht="13.2" x14ac:dyDescent="0.55000000000000004"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  <c r="AA352" s="82"/>
      <c r="AB352" s="82"/>
    </row>
    <row r="353" spans="3:28" ht="13.2" x14ac:dyDescent="0.55000000000000004">
      <c r="C353" s="82"/>
      <c r="D353" s="82"/>
      <c r="E353" s="82"/>
      <c r="F353" s="82"/>
      <c r="G353" s="82"/>
      <c r="H353" s="82"/>
      <c r="I353" s="82"/>
      <c r="J353" s="82"/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  <c r="AA353" s="82"/>
      <c r="AB353" s="82"/>
    </row>
    <row r="354" spans="3:28" ht="13.2" x14ac:dyDescent="0.55000000000000004"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  <c r="AA354" s="82"/>
      <c r="AB354" s="82"/>
    </row>
    <row r="355" spans="3:28" ht="13.2" x14ac:dyDescent="0.55000000000000004">
      <c r="C355" s="82"/>
      <c r="D355" s="82"/>
      <c r="E355" s="82"/>
      <c r="F355" s="82"/>
      <c r="G355" s="82"/>
      <c r="H355" s="82"/>
      <c r="I355" s="82"/>
      <c r="J355" s="82"/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  <c r="AA355" s="82"/>
      <c r="AB355" s="82"/>
    </row>
    <row r="356" spans="3:28" ht="13.2" x14ac:dyDescent="0.55000000000000004"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  <c r="AA356" s="82"/>
      <c r="AB356" s="82"/>
    </row>
    <row r="357" spans="3:28" ht="13.2" x14ac:dyDescent="0.55000000000000004"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  <c r="AA357" s="82"/>
      <c r="AB357" s="82"/>
    </row>
    <row r="358" spans="3:28" ht="13.2" x14ac:dyDescent="0.55000000000000004"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  <c r="AA358" s="82"/>
      <c r="AB358" s="82"/>
    </row>
    <row r="359" spans="3:28" ht="13.2" x14ac:dyDescent="0.55000000000000004"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  <c r="AA359" s="82"/>
      <c r="AB359" s="82"/>
    </row>
    <row r="360" spans="3:28" ht="13.2" x14ac:dyDescent="0.55000000000000004"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  <c r="AA360" s="82"/>
      <c r="AB360" s="82"/>
    </row>
    <row r="361" spans="3:28" ht="13.2" x14ac:dyDescent="0.55000000000000004"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  <c r="AA361" s="82"/>
      <c r="AB361" s="82"/>
    </row>
    <row r="362" spans="3:28" ht="13.2" x14ac:dyDescent="0.55000000000000004"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  <c r="AA362" s="82"/>
      <c r="AB362" s="82"/>
    </row>
    <row r="363" spans="3:28" ht="13.2" x14ac:dyDescent="0.55000000000000004">
      <c r="C363" s="82"/>
      <c r="D363" s="82"/>
      <c r="E363" s="82"/>
      <c r="F363" s="82"/>
      <c r="G363" s="82"/>
      <c r="H363" s="82"/>
      <c r="I363" s="82"/>
      <c r="J363" s="82"/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  <c r="AA363" s="82"/>
      <c r="AB363" s="82"/>
    </row>
    <row r="364" spans="3:28" ht="13.2" x14ac:dyDescent="0.55000000000000004"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  <c r="AA364" s="82"/>
      <c r="AB364" s="82"/>
    </row>
    <row r="365" spans="3:28" ht="13.2" x14ac:dyDescent="0.55000000000000004">
      <c r="C365" s="82"/>
      <c r="D365" s="82"/>
      <c r="E365" s="82"/>
      <c r="F365" s="82"/>
      <c r="G365" s="82"/>
      <c r="H365" s="82"/>
      <c r="I365" s="82"/>
      <c r="J365" s="82"/>
      <c r="K365" s="82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  <c r="AA365" s="82"/>
      <c r="AB365" s="82"/>
    </row>
    <row r="366" spans="3:28" ht="13.2" x14ac:dyDescent="0.55000000000000004"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  <c r="AA366" s="82"/>
      <c r="AB366" s="82"/>
    </row>
    <row r="367" spans="3:28" ht="13.2" x14ac:dyDescent="0.55000000000000004">
      <c r="C367" s="82"/>
      <c r="D367" s="82"/>
      <c r="E367" s="82"/>
      <c r="F367" s="82"/>
      <c r="G367" s="82"/>
      <c r="H367" s="82"/>
      <c r="I367" s="82"/>
      <c r="J367" s="82"/>
      <c r="K367" s="82"/>
      <c r="L367" s="82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  <c r="AA367" s="82"/>
      <c r="AB367" s="82"/>
    </row>
    <row r="368" spans="3:28" ht="13.2" x14ac:dyDescent="0.55000000000000004"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  <c r="AA368" s="82"/>
      <c r="AB368" s="82"/>
    </row>
    <row r="369" spans="3:28" ht="13.2" x14ac:dyDescent="0.55000000000000004"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  <c r="AA369" s="82"/>
      <c r="AB369" s="82"/>
    </row>
    <row r="370" spans="3:28" ht="13.2" x14ac:dyDescent="0.55000000000000004"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  <c r="AA370" s="82"/>
      <c r="AB370" s="82"/>
    </row>
    <row r="371" spans="3:28" ht="13.2" x14ac:dyDescent="0.55000000000000004"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  <c r="AA371" s="82"/>
      <c r="AB371" s="82"/>
    </row>
    <row r="372" spans="3:28" ht="13.2" x14ac:dyDescent="0.55000000000000004"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  <c r="AA372" s="82"/>
      <c r="AB372" s="82"/>
    </row>
    <row r="373" spans="3:28" ht="13.2" x14ac:dyDescent="0.55000000000000004"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  <c r="AA373" s="82"/>
      <c r="AB373" s="82"/>
    </row>
    <row r="374" spans="3:28" ht="13.2" x14ac:dyDescent="0.55000000000000004"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  <c r="AA374" s="82"/>
      <c r="AB374" s="82"/>
    </row>
    <row r="375" spans="3:28" ht="13.2" x14ac:dyDescent="0.55000000000000004"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  <c r="AA375" s="82"/>
      <c r="AB375" s="82"/>
    </row>
    <row r="376" spans="3:28" ht="13.2" x14ac:dyDescent="0.55000000000000004"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  <c r="AA376" s="82"/>
      <c r="AB376" s="82"/>
    </row>
    <row r="377" spans="3:28" ht="13.2" x14ac:dyDescent="0.55000000000000004"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  <c r="AA377" s="82"/>
      <c r="AB377" s="82"/>
    </row>
    <row r="378" spans="3:28" ht="13.2" x14ac:dyDescent="0.55000000000000004"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  <c r="AA378" s="82"/>
      <c r="AB378" s="82"/>
    </row>
    <row r="379" spans="3:28" ht="13.2" x14ac:dyDescent="0.55000000000000004"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  <c r="AA379" s="82"/>
      <c r="AB379" s="82"/>
    </row>
    <row r="380" spans="3:28" ht="13.2" x14ac:dyDescent="0.55000000000000004"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  <c r="AA380" s="82"/>
      <c r="AB380" s="82"/>
    </row>
    <row r="381" spans="3:28" ht="13.2" x14ac:dyDescent="0.55000000000000004"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  <c r="AA381" s="82"/>
      <c r="AB381" s="82"/>
    </row>
    <row r="382" spans="3:28" ht="13.2" x14ac:dyDescent="0.55000000000000004"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  <c r="AA382" s="82"/>
      <c r="AB382" s="82"/>
    </row>
    <row r="383" spans="3:28" ht="13.2" x14ac:dyDescent="0.55000000000000004"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  <c r="AA383" s="82"/>
      <c r="AB383" s="82"/>
    </row>
    <row r="384" spans="3:28" ht="13.2" x14ac:dyDescent="0.55000000000000004"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  <c r="AA384" s="82"/>
      <c r="AB384" s="82"/>
    </row>
    <row r="385" spans="3:28" ht="13.2" x14ac:dyDescent="0.55000000000000004"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  <c r="AA385" s="82"/>
      <c r="AB385" s="82"/>
    </row>
    <row r="386" spans="3:28" ht="13.2" x14ac:dyDescent="0.55000000000000004"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  <c r="AA386" s="82"/>
      <c r="AB386" s="82"/>
    </row>
    <row r="387" spans="3:28" ht="13.2" x14ac:dyDescent="0.55000000000000004"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  <c r="AA387" s="82"/>
      <c r="AB387" s="82"/>
    </row>
    <row r="388" spans="3:28" ht="13.2" x14ac:dyDescent="0.55000000000000004"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</row>
    <row r="389" spans="3:28" ht="13.2" x14ac:dyDescent="0.55000000000000004"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2"/>
    </row>
    <row r="390" spans="3:28" ht="13.2" x14ac:dyDescent="0.55000000000000004"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</row>
    <row r="391" spans="3:28" ht="13.2" x14ac:dyDescent="0.55000000000000004"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</row>
    <row r="392" spans="3:28" ht="13.2" x14ac:dyDescent="0.55000000000000004"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</row>
    <row r="393" spans="3:28" ht="13.2" x14ac:dyDescent="0.55000000000000004"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  <c r="AA393" s="82"/>
      <c r="AB393" s="82"/>
    </row>
    <row r="394" spans="3:28" ht="13.2" x14ac:dyDescent="0.55000000000000004"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</row>
    <row r="395" spans="3:28" ht="13.2" x14ac:dyDescent="0.55000000000000004"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</row>
    <row r="396" spans="3:28" ht="13.2" x14ac:dyDescent="0.55000000000000004"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</row>
    <row r="397" spans="3:28" ht="13.2" x14ac:dyDescent="0.55000000000000004"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</row>
    <row r="398" spans="3:28" ht="13.2" x14ac:dyDescent="0.55000000000000004"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</row>
    <row r="399" spans="3:28" ht="13.2" x14ac:dyDescent="0.55000000000000004"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</row>
    <row r="400" spans="3:28" ht="13.2" x14ac:dyDescent="0.55000000000000004"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</row>
    <row r="401" spans="3:28" ht="13.2" x14ac:dyDescent="0.55000000000000004">
      <c r="C401" s="82"/>
      <c r="D401" s="82"/>
      <c r="E401" s="82"/>
      <c r="F401" s="82"/>
      <c r="G401" s="82"/>
      <c r="H401" s="82"/>
      <c r="I401" s="82"/>
      <c r="J401" s="82"/>
      <c r="K401" s="82"/>
      <c r="L401" s="82"/>
      <c r="M401" s="82"/>
      <c r="N401" s="82"/>
      <c r="O401" s="82"/>
      <c r="P401" s="82"/>
      <c r="Q401" s="82"/>
      <c r="R401" s="82"/>
      <c r="S401" s="82"/>
      <c r="T401" s="82"/>
      <c r="U401" s="82"/>
      <c r="V401" s="82"/>
      <c r="W401" s="82"/>
      <c r="X401" s="82"/>
      <c r="Y401" s="82"/>
      <c r="Z401" s="82"/>
      <c r="AA401" s="82"/>
      <c r="AB401" s="82"/>
    </row>
    <row r="402" spans="3:28" ht="13.2" x14ac:dyDescent="0.55000000000000004"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82"/>
      <c r="Z402" s="82"/>
      <c r="AA402" s="82"/>
      <c r="AB402" s="82"/>
    </row>
    <row r="403" spans="3:28" ht="13.2" x14ac:dyDescent="0.55000000000000004">
      <c r="C403" s="82"/>
      <c r="D403" s="82"/>
      <c r="E403" s="82"/>
      <c r="F403" s="82"/>
      <c r="G403" s="82"/>
      <c r="H403" s="82"/>
      <c r="I403" s="82"/>
      <c r="J403" s="82"/>
      <c r="K403" s="82"/>
      <c r="L403" s="82"/>
      <c r="M403" s="82"/>
      <c r="N403" s="82"/>
      <c r="O403" s="82"/>
      <c r="P403" s="82"/>
      <c r="Q403" s="82"/>
      <c r="R403" s="82"/>
      <c r="S403" s="82"/>
      <c r="T403" s="82"/>
      <c r="U403" s="82"/>
      <c r="V403" s="82"/>
      <c r="W403" s="82"/>
      <c r="X403" s="82"/>
      <c r="Y403" s="82"/>
      <c r="Z403" s="82"/>
      <c r="AA403" s="82"/>
      <c r="AB403" s="82"/>
    </row>
    <row r="404" spans="3:28" ht="13.2" x14ac:dyDescent="0.55000000000000004"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82"/>
      <c r="Z404" s="82"/>
      <c r="AA404" s="82"/>
      <c r="AB404" s="82"/>
    </row>
    <row r="405" spans="3:28" ht="13.2" x14ac:dyDescent="0.55000000000000004">
      <c r="C405" s="82"/>
      <c r="D405" s="82"/>
      <c r="E405" s="82"/>
      <c r="F405" s="82"/>
      <c r="G405" s="82"/>
      <c r="H405" s="82"/>
      <c r="I405" s="82"/>
      <c r="J405" s="82"/>
      <c r="K405" s="82"/>
      <c r="L405" s="82"/>
      <c r="M405" s="82"/>
      <c r="N405" s="82"/>
      <c r="O405" s="82"/>
      <c r="P405" s="82"/>
      <c r="Q405" s="82"/>
      <c r="R405" s="82"/>
      <c r="S405" s="82"/>
      <c r="T405" s="82"/>
      <c r="U405" s="82"/>
      <c r="V405" s="82"/>
      <c r="W405" s="82"/>
      <c r="X405" s="82"/>
      <c r="Y405" s="82"/>
      <c r="Z405" s="82"/>
      <c r="AA405" s="82"/>
      <c r="AB405" s="82"/>
    </row>
    <row r="406" spans="3:28" ht="13.2" x14ac:dyDescent="0.55000000000000004"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82"/>
      <c r="Z406" s="82"/>
      <c r="AA406" s="82"/>
      <c r="AB406" s="82"/>
    </row>
    <row r="407" spans="3:28" ht="13.2" x14ac:dyDescent="0.55000000000000004">
      <c r="C407" s="82"/>
      <c r="D407" s="82"/>
      <c r="E407" s="82"/>
      <c r="F407" s="82"/>
      <c r="G407" s="82"/>
      <c r="H407" s="82"/>
      <c r="I407" s="82"/>
      <c r="J407" s="82"/>
      <c r="K407" s="82"/>
      <c r="L407" s="82"/>
      <c r="M407" s="82"/>
      <c r="N407" s="82"/>
      <c r="O407" s="82"/>
      <c r="P407" s="82"/>
      <c r="Q407" s="82"/>
      <c r="R407" s="82"/>
      <c r="S407" s="82"/>
      <c r="T407" s="82"/>
      <c r="U407" s="82"/>
      <c r="V407" s="82"/>
      <c r="W407" s="82"/>
      <c r="X407" s="82"/>
      <c r="Y407" s="82"/>
      <c r="Z407" s="82"/>
      <c r="AA407" s="82"/>
      <c r="AB407" s="82"/>
    </row>
    <row r="408" spans="3:28" ht="13.2" x14ac:dyDescent="0.55000000000000004"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82"/>
      <c r="Z408" s="82"/>
      <c r="AA408" s="82"/>
      <c r="AB408" s="82"/>
    </row>
    <row r="409" spans="3:28" ht="13.2" x14ac:dyDescent="0.55000000000000004">
      <c r="C409" s="82"/>
      <c r="D409" s="82"/>
      <c r="E409" s="82"/>
      <c r="F409" s="82"/>
      <c r="G409" s="82"/>
      <c r="H409" s="82"/>
      <c r="I409" s="82"/>
      <c r="J409" s="82"/>
      <c r="K409" s="82"/>
      <c r="L409" s="82"/>
      <c r="M409" s="82"/>
      <c r="N409" s="82"/>
      <c r="O409" s="82"/>
      <c r="P409" s="82"/>
      <c r="Q409" s="82"/>
      <c r="R409" s="82"/>
      <c r="S409" s="82"/>
      <c r="T409" s="82"/>
      <c r="U409" s="82"/>
      <c r="V409" s="82"/>
      <c r="W409" s="82"/>
      <c r="X409" s="82"/>
      <c r="Y409" s="82"/>
      <c r="Z409" s="82"/>
      <c r="AA409" s="82"/>
      <c r="AB409" s="82"/>
    </row>
    <row r="410" spans="3:28" ht="13.2" x14ac:dyDescent="0.55000000000000004"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82"/>
      <c r="Z410" s="82"/>
      <c r="AA410" s="82"/>
      <c r="AB410" s="82"/>
    </row>
    <row r="411" spans="3:28" ht="13.2" x14ac:dyDescent="0.55000000000000004">
      <c r="C411" s="82"/>
      <c r="D411" s="82"/>
      <c r="E411" s="82"/>
      <c r="F411" s="82"/>
      <c r="G411" s="82"/>
      <c r="H411" s="82"/>
      <c r="I411" s="82"/>
      <c r="J411" s="82"/>
      <c r="K411" s="82"/>
      <c r="L411" s="82"/>
      <c r="M411" s="82"/>
      <c r="N411" s="82"/>
      <c r="O411" s="82"/>
      <c r="P411" s="82"/>
      <c r="Q411" s="82"/>
      <c r="R411" s="82"/>
      <c r="S411" s="82"/>
      <c r="T411" s="82"/>
      <c r="U411" s="82"/>
      <c r="V411" s="82"/>
      <c r="W411" s="82"/>
      <c r="X411" s="82"/>
      <c r="Y411" s="82"/>
      <c r="Z411" s="82"/>
      <c r="AA411" s="82"/>
      <c r="AB411" s="82"/>
    </row>
    <row r="412" spans="3:28" ht="13.2" x14ac:dyDescent="0.55000000000000004"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82"/>
      <c r="Z412" s="82"/>
      <c r="AA412" s="82"/>
      <c r="AB412" s="82"/>
    </row>
    <row r="413" spans="3:28" ht="13.2" x14ac:dyDescent="0.55000000000000004"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2"/>
      <c r="N413" s="82"/>
      <c r="O413" s="82"/>
      <c r="P413" s="82"/>
      <c r="Q413" s="82"/>
      <c r="R413" s="82"/>
      <c r="S413" s="82"/>
      <c r="T413" s="82"/>
      <c r="U413" s="82"/>
      <c r="V413" s="82"/>
      <c r="W413" s="82"/>
      <c r="X413" s="82"/>
      <c r="Y413" s="82"/>
      <c r="Z413" s="82"/>
      <c r="AA413" s="82"/>
      <c r="AB413" s="82"/>
    </row>
    <row r="414" spans="3:28" ht="13.2" x14ac:dyDescent="0.55000000000000004"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82"/>
      <c r="Z414" s="82"/>
      <c r="AA414" s="82"/>
      <c r="AB414" s="82"/>
    </row>
    <row r="415" spans="3:28" ht="13.2" x14ac:dyDescent="0.55000000000000004"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2"/>
      <c r="N415" s="82"/>
      <c r="O415" s="82"/>
      <c r="P415" s="82"/>
      <c r="Q415" s="82"/>
      <c r="R415" s="82"/>
      <c r="S415" s="82"/>
      <c r="T415" s="82"/>
      <c r="U415" s="82"/>
      <c r="V415" s="82"/>
      <c r="W415" s="82"/>
      <c r="X415" s="82"/>
      <c r="Y415" s="82"/>
      <c r="Z415" s="82"/>
      <c r="AA415" s="82"/>
      <c r="AB415" s="82"/>
    </row>
    <row r="416" spans="3:28" ht="13.2" x14ac:dyDescent="0.55000000000000004"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82"/>
      <c r="Z416" s="82"/>
      <c r="AA416" s="82"/>
      <c r="AB416" s="82"/>
    </row>
    <row r="417" spans="3:28" ht="13.2" x14ac:dyDescent="0.55000000000000004"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2"/>
      <c r="N417" s="82"/>
      <c r="O417" s="82"/>
      <c r="P417" s="82"/>
      <c r="Q417" s="82"/>
      <c r="R417" s="82"/>
      <c r="S417" s="82"/>
      <c r="T417" s="82"/>
      <c r="U417" s="82"/>
      <c r="V417" s="82"/>
      <c r="W417" s="82"/>
      <c r="X417" s="82"/>
      <c r="Y417" s="82"/>
      <c r="Z417" s="82"/>
      <c r="AA417" s="82"/>
      <c r="AB417" s="82"/>
    </row>
    <row r="418" spans="3:28" ht="13.2" x14ac:dyDescent="0.55000000000000004"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82"/>
      <c r="Z418" s="82"/>
      <c r="AA418" s="82"/>
      <c r="AB418" s="82"/>
    </row>
    <row r="419" spans="3:28" ht="13.2" x14ac:dyDescent="0.55000000000000004"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2"/>
      <c r="N419" s="82"/>
      <c r="O419" s="82"/>
      <c r="P419" s="82"/>
      <c r="Q419" s="82"/>
      <c r="R419" s="82"/>
      <c r="S419" s="82"/>
      <c r="T419" s="82"/>
      <c r="U419" s="82"/>
      <c r="V419" s="82"/>
      <c r="W419" s="82"/>
      <c r="X419" s="82"/>
      <c r="Y419" s="82"/>
      <c r="Z419" s="82"/>
      <c r="AA419" s="82"/>
      <c r="AB419" s="82"/>
    </row>
    <row r="420" spans="3:28" ht="13.2" x14ac:dyDescent="0.55000000000000004"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82"/>
      <c r="Z420" s="82"/>
      <c r="AA420" s="82"/>
      <c r="AB420" s="82"/>
    </row>
    <row r="421" spans="3:28" ht="13.2" x14ac:dyDescent="0.55000000000000004">
      <c r="C421" s="82"/>
      <c r="D421" s="82"/>
      <c r="E421" s="82"/>
      <c r="F421" s="82"/>
      <c r="G421" s="82"/>
      <c r="H421" s="82"/>
      <c r="I421" s="82"/>
      <c r="J421" s="82"/>
      <c r="K421" s="82"/>
      <c r="L421" s="82"/>
      <c r="M421" s="82"/>
      <c r="N421" s="82"/>
      <c r="O421" s="82"/>
      <c r="P421" s="82"/>
      <c r="Q421" s="82"/>
      <c r="R421" s="82"/>
      <c r="S421" s="82"/>
      <c r="T421" s="82"/>
      <c r="U421" s="82"/>
      <c r="V421" s="82"/>
      <c r="W421" s="82"/>
      <c r="X421" s="82"/>
      <c r="Y421" s="82"/>
      <c r="Z421" s="82"/>
      <c r="AA421" s="82"/>
      <c r="AB421" s="82"/>
    </row>
    <row r="422" spans="3:28" ht="13.2" x14ac:dyDescent="0.55000000000000004"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82"/>
      <c r="Z422" s="82"/>
      <c r="AA422" s="82"/>
      <c r="AB422" s="82"/>
    </row>
    <row r="423" spans="3:28" ht="13.2" x14ac:dyDescent="0.55000000000000004">
      <c r="C423" s="82"/>
      <c r="D423" s="82"/>
      <c r="E423" s="82"/>
      <c r="F423" s="82"/>
      <c r="G423" s="82"/>
      <c r="H423" s="82"/>
      <c r="I423" s="82"/>
      <c r="J423" s="82"/>
      <c r="K423" s="82"/>
      <c r="L423" s="82"/>
      <c r="M423" s="82"/>
      <c r="N423" s="82"/>
      <c r="O423" s="82"/>
      <c r="P423" s="82"/>
      <c r="Q423" s="82"/>
      <c r="R423" s="82"/>
      <c r="S423" s="82"/>
      <c r="T423" s="82"/>
      <c r="U423" s="82"/>
      <c r="V423" s="82"/>
      <c r="W423" s="82"/>
      <c r="X423" s="82"/>
      <c r="Y423" s="82"/>
      <c r="Z423" s="82"/>
      <c r="AA423" s="82"/>
      <c r="AB423" s="82"/>
    </row>
    <row r="424" spans="3:28" ht="13.2" x14ac:dyDescent="0.55000000000000004"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82"/>
      <c r="Z424" s="82"/>
      <c r="AA424" s="82"/>
      <c r="AB424" s="82"/>
    </row>
    <row r="425" spans="3:28" ht="13.2" x14ac:dyDescent="0.55000000000000004">
      <c r="C425" s="82"/>
      <c r="D425" s="82"/>
      <c r="E425" s="82"/>
      <c r="F425" s="82"/>
      <c r="G425" s="82"/>
      <c r="H425" s="82"/>
      <c r="I425" s="82"/>
      <c r="J425" s="82"/>
      <c r="K425" s="82"/>
      <c r="L425" s="82"/>
      <c r="M425" s="82"/>
      <c r="N425" s="82"/>
      <c r="O425" s="82"/>
      <c r="P425" s="82"/>
      <c r="Q425" s="82"/>
      <c r="R425" s="82"/>
      <c r="S425" s="82"/>
      <c r="T425" s="82"/>
      <c r="U425" s="82"/>
      <c r="V425" s="82"/>
      <c r="W425" s="82"/>
      <c r="X425" s="82"/>
      <c r="Y425" s="82"/>
      <c r="Z425" s="82"/>
      <c r="AA425" s="82"/>
      <c r="AB425" s="82"/>
    </row>
    <row r="426" spans="3:28" ht="13.2" x14ac:dyDescent="0.55000000000000004"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82"/>
      <c r="Z426" s="82"/>
      <c r="AA426" s="82"/>
      <c r="AB426" s="82"/>
    </row>
    <row r="427" spans="3:28" ht="13.2" x14ac:dyDescent="0.55000000000000004">
      <c r="C427" s="82"/>
      <c r="D427" s="82"/>
      <c r="E427" s="82"/>
      <c r="F427" s="82"/>
      <c r="G427" s="82"/>
      <c r="H427" s="82"/>
      <c r="I427" s="82"/>
      <c r="J427" s="82"/>
      <c r="K427" s="82"/>
      <c r="L427" s="82"/>
      <c r="M427" s="82"/>
      <c r="N427" s="82"/>
      <c r="O427" s="82"/>
      <c r="P427" s="82"/>
      <c r="Q427" s="82"/>
      <c r="R427" s="82"/>
      <c r="S427" s="82"/>
      <c r="T427" s="82"/>
      <c r="U427" s="82"/>
      <c r="V427" s="82"/>
      <c r="W427" s="82"/>
      <c r="X427" s="82"/>
      <c r="Y427" s="82"/>
      <c r="Z427" s="82"/>
      <c r="AA427" s="82"/>
      <c r="AB427" s="82"/>
    </row>
    <row r="428" spans="3:28" ht="13.2" x14ac:dyDescent="0.55000000000000004"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82"/>
      <c r="Z428" s="82"/>
      <c r="AA428" s="82"/>
      <c r="AB428" s="82"/>
    </row>
    <row r="429" spans="3:28" ht="13.2" x14ac:dyDescent="0.55000000000000004">
      <c r="C429" s="82"/>
      <c r="D429" s="82"/>
      <c r="E429" s="82"/>
      <c r="F429" s="82"/>
      <c r="G429" s="82"/>
      <c r="H429" s="82"/>
      <c r="I429" s="82"/>
      <c r="J429" s="82"/>
      <c r="K429" s="82"/>
      <c r="L429" s="82"/>
      <c r="M429" s="82"/>
      <c r="N429" s="82"/>
      <c r="O429" s="82"/>
      <c r="P429" s="82"/>
      <c r="Q429" s="82"/>
      <c r="R429" s="82"/>
      <c r="S429" s="82"/>
      <c r="T429" s="82"/>
      <c r="U429" s="82"/>
      <c r="V429" s="82"/>
      <c r="W429" s="82"/>
      <c r="X429" s="82"/>
      <c r="Y429" s="82"/>
      <c r="Z429" s="82"/>
      <c r="AA429" s="82"/>
      <c r="AB429" s="82"/>
    </row>
    <row r="430" spans="3:28" ht="13.2" x14ac:dyDescent="0.55000000000000004">
      <c r="C430" s="82"/>
      <c r="D430" s="82"/>
      <c r="E430" s="82"/>
      <c r="F430" s="82"/>
      <c r="G430" s="82"/>
      <c r="H430" s="82"/>
      <c r="I430" s="82"/>
      <c r="J430" s="82"/>
      <c r="K430" s="82"/>
      <c r="L430" s="82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82"/>
      <c r="Z430" s="82"/>
      <c r="AA430" s="82"/>
      <c r="AB430" s="82"/>
    </row>
    <row r="431" spans="3:28" ht="13.2" x14ac:dyDescent="0.55000000000000004"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2"/>
      <c r="N431" s="82"/>
      <c r="O431" s="82"/>
      <c r="P431" s="82"/>
      <c r="Q431" s="82"/>
      <c r="R431" s="82"/>
      <c r="S431" s="82"/>
      <c r="T431" s="82"/>
      <c r="U431" s="82"/>
      <c r="V431" s="82"/>
      <c r="W431" s="82"/>
      <c r="X431" s="82"/>
      <c r="Y431" s="82"/>
      <c r="Z431" s="82"/>
      <c r="AA431" s="82"/>
      <c r="AB431" s="82"/>
    </row>
    <row r="432" spans="3:28" ht="13.2" x14ac:dyDescent="0.55000000000000004"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82"/>
      <c r="Z432" s="82"/>
      <c r="AA432" s="82"/>
      <c r="AB432" s="82"/>
    </row>
    <row r="433" spans="3:28" ht="13.2" x14ac:dyDescent="0.55000000000000004"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2"/>
      <c r="N433" s="82"/>
      <c r="O433" s="82"/>
      <c r="P433" s="82"/>
      <c r="Q433" s="82"/>
      <c r="R433" s="82"/>
      <c r="S433" s="82"/>
      <c r="T433" s="82"/>
      <c r="U433" s="82"/>
      <c r="V433" s="82"/>
      <c r="W433" s="82"/>
      <c r="X433" s="82"/>
      <c r="Y433" s="82"/>
      <c r="Z433" s="82"/>
      <c r="AA433" s="82"/>
      <c r="AB433" s="82"/>
    </row>
    <row r="434" spans="3:28" ht="13.2" x14ac:dyDescent="0.55000000000000004"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82"/>
      <c r="Z434" s="82"/>
      <c r="AA434" s="82"/>
      <c r="AB434" s="82"/>
    </row>
    <row r="435" spans="3:28" ht="13.2" x14ac:dyDescent="0.55000000000000004"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</row>
    <row r="436" spans="3:28" ht="13.2" x14ac:dyDescent="0.55000000000000004"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82"/>
      <c r="Z436" s="82"/>
      <c r="AA436" s="82"/>
      <c r="AB436" s="82"/>
    </row>
    <row r="437" spans="3:28" ht="13.2" x14ac:dyDescent="0.55000000000000004"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2"/>
      <c r="N437" s="82"/>
      <c r="O437" s="82"/>
      <c r="P437" s="82"/>
      <c r="Q437" s="82"/>
      <c r="R437" s="82"/>
      <c r="S437" s="82"/>
      <c r="T437" s="82"/>
      <c r="U437" s="82"/>
      <c r="V437" s="82"/>
      <c r="W437" s="82"/>
      <c r="X437" s="82"/>
      <c r="Y437" s="82"/>
      <c r="Z437" s="82"/>
      <c r="AA437" s="82"/>
      <c r="AB437" s="82"/>
    </row>
    <row r="438" spans="3:28" ht="13.2" x14ac:dyDescent="0.55000000000000004"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82"/>
      <c r="Z438" s="82"/>
      <c r="AA438" s="82"/>
      <c r="AB438" s="82"/>
    </row>
    <row r="439" spans="3:28" ht="13.2" x14ac:dyDescent="0.55000000000000004"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  <c r="AA439" s="82"/>
      <c r="AB439" s="82"/>
    </row>
    <row r="440" spans="3:28" ht="13.2" x14ac:dyDescent="0.55000000000000004"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  <c r="AA440" s="82"/>
      <c r="AB440" s="82"/>
    </row>
    <row r="441" spans="3:28" ht="13.2" x14ac:dyDescent="0.55000000000000004"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  <c r="AA441" s="82"/>
      <c r="AB441" s="82"/>
    </row>
    <row r="442" spans="3:28" ht="13.2" x14ac:dyDescent="0.55000000000000004"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  <c r="AA442" s="82"/>
      <c r="AB442" s="82"/>
    </row>
    <row r="443" spans="3:28" ht="13.2" x14ac:dyDescent="0.55000000000000004"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  <c r="AA443" s="82"/>
      <c r="AB443" s="82"/>
    </row>
    <row r="444" spans="3:28" ht="13.2" x14ac:dyDescent="0.55000000000000004"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  <c r="AA444" s="82"/>
      <c r="AB444" s="82"/>
    </row>
    <row r="445" spans="3:28" ht="13.2" x14ac:dyDescent="0.55000000000000004"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  <c r="AA445" s="82"/>
      <c r="AB445" s="82"/>
    </row>
    <row r="446" spans="3:28" ht="13.2" x14ac:dyDescent="0.55000000000000004"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  <c r="AA446" s="82"/>
      <c r="AB446" s="82"/>
    </row>
    <row r="447" spans="3:28" ht="13.2" x14ac:dyDescent="0.55000000000000004"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  <c r="AA447" s="82"/>
      <c r="AB447" s="82"/>
    </row>
    <row r="448" spans="3:28" ht="13.2" x14ac:dyDescent="0.55000000000000004"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  <c r="AA448" s="82"/>
      <c r="AB448" s="82"/>
    </row>
    <row r="449" spans="3:28" ht="13.2" x14ac:dyDescent="0.55000000000000004"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  <c r="AA449" s="82"/>
      <c r="AB449" s="82"/>
    </row>
    <row r="450" spans="3:28" ht="13.2" x14ac:dyDescent="0.55000000000000004"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  <c r="AA450" s="82"/>
      <c r="AB450" s="82"/>
    </row>
    <row r="451" spans="3:28" ht="13.2" x14ac:dyDescent="0.55000000000000004"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  <c r="AA451" s="82"/>
      <c r="AB451" s="82"/>
    </row>
    <row r="452" spans="3:28" ht="13.2" x14ac:dyDescent="0.55000000000000004"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  <c r="AA452" s="82"/>
      <c r="AB452" s="82"/>
    </row>
    <row r="453" spans="3:28" ht="13.2" x14ac:dyDescent="0.55000000000000004"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  <c r="AA453" s="82"/>
      <c r="AB453" s="82"/>
    </row>
    <row r="454" spans="3:28" ht="13.2" x14ac:dyDescent="0.55000000000000004"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  <c r="AA454" s="82"/>
      <c r="AB454" s="82"/>
    </row>
    <row r="455" spans="3:28" ht="13.2" x14ac:dyDescent="0.55000000000000004"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  <c r="AA455" s="82"/>
      <c r="AB455" s="82"/>
    </row>
    <row r="456" spans="3:28" ht="13.2" x14ac:dyDescent="0.55000000000000004"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  <c r="AA456" s="82"/>
      <c r="AB456" s="82"/>
    </row>
    <row r="457" spans="3:28" ht="13.2" x14ac:dyDescent="0.55000000000000004"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  <c r="AA457" s="82"/>
      <c r="AB457" s="82"/>
    </row>
    <row r="458" spans="3:28" ht="13.2" x14ac:dyDescent="0.55000000000000004"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  <c r="AA458" s="82"/>
      <c r="AB458" s="82"/>
    </row>
    <row r="459" spans="3:28" ht="13.2" x14ac:dyDescent="0.55000000000000004"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  <c r="AA459" s="82"/>
      <c r="AB459" s="82"/>
    </row>
    <row r="460" spans="3:28" ht="13.2" x14ac:dyDescent="0.55000000000000004"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  <c r="AA460" s="82"/>
      <c r="AB460" s="82"/>
    </row>
    <row r="461" spans="3:28" ht="13.2" x14ac:dyDescent="0.55000000000000004"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  <c r="AA461" s="82"/>
      <c r="AB461" s="82"/>
    </row>
    <row r="462" spans="3:28" ht="13.2" x14ac:dyDescent="0.55000000000000004"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  <c r="AA462" s="82"/>
      <c r="AB462" s="82"/>
    </row>
    <row r="463" spans="3:28" ht="13.2" x14ac:dyDescent="0.55000000000000004"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  <c r="AA463" s="82"/>
      <c r="AB463" s="82"/>
    </row>
    <row r="464" spans="3:28" ht="13.2" x14ac:dyDescent="0.55000000000000004"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  <c r="AA464" s="82"/>
      <c r="AB464" s="82"/>
    </row>
    <row r="465" spans="3:28" ht="13.2" x14ac:dyDescent="0.55000000000000004"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  <c r="AA465" s="82"/>
      <c r="AB465" s="82"/>
    </row>
    <row r="466" spans="3:28" ht="13.2" x14ac:dyDescent="0.55000000000000004"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  <c r="AA466" s="82"/>
      <c r="AB466" s="82"/>
    </row>
    <row r="467" spans="3:28" ht="13.2" x14ac:dyDescent="0.55000000000000004">
      <c r="C467" s="82"/>
      <c r="D467" s="82"/>
      <c r="E467" s="82"/>
      <c r="F467" s="82"/>
      <c r="G467" s="82"/>
      <c r="H467" s="82"/>
      <c r="I467" s="82"/>
      <c r="J467" s="82"/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  <c r="AA467" s="82"/>
      <c r="AB467" s="82"/>
    </row>
    <row r="468" spans="3:28" ht="13.2" x14ac:dyDescent="0.55000000000000004"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  <c r="AA468" s="82"/>
      <c r="AB468" s="82"/>
    </row>
    <row r="469" spans="3:28" ht="13.2" x14ac:dyDescent="0.55000000000000004">
      <c r="C469" s="82"/>
      <c r="D469" s="82"/>
      <c r="E469" s="82"/>
      <c r="F469" s="82"/>
      <c r="G469" s="82"/>
      <c r="H469" s="82"/>
      <c r="I469" s="82"/>
      <c r="J469" s="82"/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  <c r="AA469" s="82"/>
      <c r="AB469" s="82"/>
    </row>
    <row r="470" spans="3:28" ht="13.2" x14ac:dyDescent="0.55000000000000004"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  <c r="AA470" s="82"/>
      <c r="AB470" s="82"/>
    </row>
    <row r="471" spans="3:28" ht="13.2" x14ac:dyDescent="0.55000000000000004"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  <c r="AA471" s="82"/>
      <c r="AB471" s="82"/>
    </row>
    <row r="472" spans="3:28" ht="13.2" x14ac:dyDescent="0.55000000000000004"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  <c r="AA472" s="82"/>
      <c r="AB472" s="82"/>
    </row>
    <row r="473" spans="3:28" ht="13.2" x14ac:dyDescent="0.55000000000000004"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  <c r="AA473" s="82"/>
      <c r="AB473" s="82"/>
    </row>
    <row r="474" spans="3:28" ht="13.2" x14ac:dyDescent="0.55000000000000004"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  <c r="AA474" s="82"/>
      <c r="AB474" s="82"/>
    </row>
    <row r="475" spans="3:28" ht="13.2" x14ac:dyDescent="0.55000000000000004"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  <c r="AA475" s="82"/>
      <c r="AB475" s="82"/>
    </row>
    <row r="476" spans="3:28" ht="13.2" x14ac:dyDescent="0.55000000000000004"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  <c r="AA476" s="82"/>
      <c r="AB476" s="82"/>
    </row>
    <row r="477" spans="3:28" ht="13.2" x14ac:dyDescent="0.55000000000000004">
      <c r="C477" s="82"/>
      <c r="D477" s="82"/>
      <c r="E477" s="82"/>
      <c r="F477" s="82"/>
      <c r="G477" s="82"/>
      <c r="H477" s="82"/>
      <c r="I477" s="82"/>
      <c r="J477" s="82"/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  <c r="AA477" s="82"/>
      <c r="AB477" s="82"/>
    </row>
    <row r="478" spans="3:28" ht="13.2" x14ac:dyDescent="0.55000000000000004"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  <c r="AA478" s="82"/>
      <c r="AB478" s="82"/>
    </row>
    <row r="479" spans="3:28" ht="13.2" x14ac:dyDescent="0.55000000000000004">
      <c r="C479" s="82"/>
      <c r="D479" s="82"/>
      <c r="E479" s="82"/>
      <c r="F479" s="82"/>
      <c r="G479" s="82"/>
      <c r="H479" s="82"/>
      <c r="I479" s="82"/>
      <c r="J479" s="82"/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  <c r="AA479" s="82"/>
      <c r="AB479" s="82"/>
    </row>
    <row r="480" spans="3:28" ht="13.2" x14ac:dyDescent="0.55000000000000004"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  <c r="AA480" s="82"/>
      <c r="AB480" s="82"/>
    </row>
    <row r="481" spans="3:28" ht="13.2" x14ac:dyDescent="0.55000000000000004">
      <c r="C481" s="82"/>
      <c r="D481" s="82"/>
      <c r="E481" s="82"/>
      <c r="F481" s="82"/>
      <c r="G481" s="82"/>
      <c r="H481" s="82"/>
      <c r="I481" s="82"/>
      <c r="J481" s="82"/>
      <c r="K481" s="82"/>
      <c r="L481" s="82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  <c r="AA481" s="82"/>
      <c r="AB481" s="82"/>
    </row>
    <row r="482" spans="3:28" ht="13.2" x14ac:dyDescent="0.55000000000000004"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  <c r="AA482" s="82"/>
      <c r="AB482" s="82"/>
    </row>
    <row r="483" spans="3:28" ht="13.2" x14ac:dyDescent="0.55000000000000004"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2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  <c r="AA483" s="82"/>
      <c r="AB483" s="82"/>
    </row>
    <row r="484" spans="3:28" ht="13.2" x14ac:dyDescent="0.55000000000000004"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/>
      <c r="N484" s="82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82"/>
      <c r="Z484" s="82"/>
      <c r="AA484" s="82"/>
      <c r="AB484" s="82"/>
    </row>
    <row r="485" spans="3:28" ht="13.2" x14ac:dyDescent="0.55000000000000004"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2"/>
      <c r="N485" s="82"/>
      <c r="O485" s="82"/>
      <c r="P485" s="82"/>
      <c r="Q485" s="82"/>
      <c r="R485" s="82"/>
      <c r="S485" s="82"/>
      <c r="T485" s="82"/>
      <c r="U485" s="82"/>
      <c r="V485" s="82"/>
      <c r="W485" s="82"/>
      <c r="X485" s="82"/>
      <c r="Y485" s="82"/>
      <c r="Z485" s="82"/>
      <c r="AA485" s="82"/>
      <c r="AB485" s="82"/>
    </row>
    <row r="486" spans="3:28" ht="13.2" x14ac:dyDescent="0.55000000000000004"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2"/>
      <c r="N486" s="82"/>
      <c r="O486" s="82"/>
      <c r="P486" s="82"/>
      <c r="Q486" s="82"/>
      <c r="R486" s="82"/>
      <c r="S486" s="82"/>
      <c r="T486" s="82"/>
      <c r="U486" s="82"/>
      <c r="V486" s="82"/>
      <c r="W486" s="82"/>
      <c r="X486" s="82"/>
      <c r="Y486" s="82"/>
      <c r="Z486" s="82"/>
      <c r="AA486" s="82"/>
      <c r="AB486" s="82"/>
    </row>
    <row r="487" spans="3:28" ht="13.2" x14ac:dyDescent="0.55000000000000004"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2"/>
      <c r="N487" s="82"/>
      <c r="O487" s="82"/>
      <c r="P487" s="82"/>
      <c r="Q487" s="82"/>
      <c r="R487" s="82"/>
      <c r="S487" s="82"/>
      <c r="T487" s="82"/>
      <c r="U487" s="82"/>
      <c r="V487" s="82"/>
      <c r="W487" s="82"/>
      <c r="X487" s="82"/>
      <c r="Y487" s="82"/>
      <c r="Z487" s="82"/>
      <c r="AA487" s="82"/>
      <c r="AB487" s="82"/>
    </row>
    <row r="488" spans="3:28" ht="13.2" x14ac:dyDescent="0.55000000000000004"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2"/>
      <c r="O488" s="82"/>
      <c r="P488" s="82"/>
      <c r="Q488" s="82"/>
      <c r="R488" s="82"/>
      <c r="S488" s="82"/>
      <c r="T488" s="82"/>
      <c r="U488" s="82"/>
      <c r="V488" s="82"/>
      <c r="W488" s="82"/>
      <c r="X488" s="82"/>
      <c r="Y488" s="82"/>
      <c r="Z488" s="82"/>
      <c r="AA488" s="82"/>
      <c r="AB488" s="82"/>
    </row>
    <row r="489" spans="3:28" ht="13.2" x14ac:dyDescent="0.55000000000000004"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2"/>
      <c r="N489" s="82"/>
      <c r="O489" s="82"/>
      <c r="P489" s="82"/>
      <c r="Q489" s="82"/>
      <c r="R489" s="82"/>
      <c r="S489" s="82"/>
      <c r="T489" s="82"/>
      <c r="U489" s="82"/>
      <c r="V489" s="82"/>
      <c r="W489" s="82"/>
      <c r="X489" s="82"/>
      <c r="Y489" s="82"/>
      <c r="Z489" s="82"/>
      <c r="AA489" s="82"/>
      <c r="AB489" s="82"/>
    </row>
    <row r="490" spans="3:28" ht="13.2" x14ac:dyDescent="0.55000000000000004"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2"/>
      <c r="O490" s="82"/>
      <c r="P490" s="82"/>
      <c r="Q490" s="82"/>
      <c r="R490" s="82"/>
      <c r="S490" s="82"/>
      <c r="T490" s="82"/>
      <c r="U490" s="82"/>
      <c r="V490" s="82"/>
      <c r="W490" s="82"/>
      <c r="X490" s="82"/>
      <c r="Y490" s="82"/>
      <c r="Z490" s="82"/>
      <c r="AA490" s="82"/>
      <c r="AB490" s="82"/>
    </row>
    <row r="491" spans="3:28" ht="13.2" x14ac:dyDescent="0.55000000000000004"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2"/>
      <c r="N491" s="82"/>
      <c r="O491" s="82"/>
      <c r="P491" s="82"/>
      <c r="Q491" s="82"/>
      <c r="R491" s="82"/>
      <c r="S491" s="82"/>
      <c r="T491" s="82"/>
      <c r="U491" s="82"/>
      <c r="V491" s="82"/>
      <c r="W491" s="82"/>
      <c r="X491" s="82"/>
      <c r="Y491" s="82"/>
      <c r="Z491" s="82"/>
      <c r="AA491" s="82"/>
      <c r="AB491" s="82"/>
    </row>
    <row r="492" spans="3:28" ht="13.2" x14ac:dyDescent="0.55000000000000004"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2"/>
      <c r="O492" s="82"/>
      <c r="P492" s="82"/>
      <c r="Q492" s="82"/>
      <c r="R492" s="82"/>
      <c r="S492" s="82"/>
      <c r="T492" s="82"/>
      <c r="U492" s="82"/>
      <c r="V492" s="82"/>
      <c r="W492" s="82"/>
      <c r="X492" s="82"/>
      <c r="Y492" s="82"/>
      <c r="Z492" s="82"/>
      <c r="AA492" s="82"/>
      <c r="AB492" s="82"/>
    </row>
    <row r="493" spans="3:28" ht="13.2" x14ac:dyDescent="0.55000000000000004"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2"/>
      <c r="N493" s="82"/>
      <c r="O493" s="82"/>
      <c r="P493" s="82"/>
      <c r="Q493" s="82"/>
      <c r="R493" s="82"/>
      <c r="S493" s="82"/>
      <c r="T493" s="82"/>
      <c r="U493" s="82"/>
      <c r="V493" s="82"/>
      <c r="W493" s="82"/>
      <c r="X493" s="82"/>
      <c r="Y493" s="82"/>
      <c r="Z493" s="82"/>
      <c r="AA493" s="82"/>
      <c r="AB493" s="82"/>
    </row>
    <row r="494" spans="3:28" ht="13.2" x14ac:dyDescent="0.55000000000000004"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2"/>
      <c r="O494" s="82"/>
      <c r="P494" s="82"/>
      <c r="Q494" s="82"/>
      <c r="R494" s="82"/>
      <c r="S494" s="82"/>
      <c r="T494" s="82"/>
      <c r="U494" s="82"/>
      <c r="V494" s="82"/>
      <c r="W494" s="82"/>
      <c r="X494" s="82"/>
      <c r="Y494" s="82"/>
      <c r="Z494" s="82"/>
      <c r="AA494" s="82"/>
      <c r="AB494" s="82"/>
    </row>
    <row r="495" spans="3:28" ht="13.2" x14ac:dyDescent="0.55000000000000004"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2"/>
      <c r="N495" s="82"/>
      <c r="O495" s="82"/>
      <c r="P495" s="82"/>
      <c r="Q495" s="82"/>
      <c r="R495" s="82"/>
      <c r="S495" s="82"/>
      <c r="T495" s="82"/>
      <c r="U495" s="82"/>
      <c r="V495" s="82"/>
      <c r="W495" s="82"/>
      <c r="X495" s="82"/>
      <c r="Y495" s="82"/>
      <c r="Z495" s="82"/>
      <c r="AA495" s="82"/>
      <c r="AB495" s="82"/>
    </row>
    <row r="496" spans="3:28" ht="13.2" x14ac:dyDescent="0.55000000000000004"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/>
      <c r="N496" s="82"/>
      <c r="O496" s="82"/>
      <c r="P496" s="82"/>
      <c r="Q496" s="82"/>
      <c r="R496" s="82"/>
      <c r="S496" s="82"/>
      <c r="T496" s="82"/>
      <c r="U496" s="82"/>
      <c r="V496" s="82"/>
      <c r="W496" s="82"/>
      <c r="X496" s="82"/>
      <c r="Y496" s="82"/>
      <c r="Z496" s="82"/>
      <c r="AA496" s="82"/>
      <c r="AB496" s="82"/>
    </row>
    <row r="497" spans="3:28" ht="13.2" x14ac:dyDescent="0.55000000000000004"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2"/>
      <c r="N497" s="82"/>
      <c r="O497" s="82"/>
      <c r="P497" s="82"/>
      <c r="Q497" s="82"/>
      <c r="R497" s="82"/>
      <c r="S497" s="82"/>
      <c r="T497" s="82"/>
      <c r="U497" s="82"/>
      <c r="V497" s="82"/>
      <c r="W497" s="82"/>
      <c r="X497" s="82"/>
      <c r="Y497" s="82"/>
      <c r="Z497" s="82"/>
      <c r="AA497" s="82"/>
      <c r="AB497" s="82"/>
    </row>
    <row r="498" spans="3:28" ht="13.2" x14ac:dyDescent="0.55000000000000004"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2"/>
      <c r="X498" s="82"/>
      <c r="Y498" s="82"/>
      <c r="Z498" s="82"/>
      <c r="AA498" s="82"/>
      <c r="AB498" s="82"/>
    </row>
    <row r="499" spans="3:28" ht="13.2" x14ac:dyDescent="0.55000000000000004">
      <c r="C499" s="82"/>
      <c r="D499" s="82"/>
      <c r="E499" s="82"/>
      <c r="F499" s="82"/>
      <c r="G499" s="82"/>
      <c r="H499" s="82"/>
      <c r="I499" s="82"/>
      <c r="J499" s="82"/>
      <c r="K499" s="82"/>
      <c r="L499" s="82"/>
      <c r="M499" s="82"/>
      <c r="N499" s="82"/>
      <c r="O499" s="82"/>
      <c r="P499" s="82"/>
      <c r="Q499" s="82"/>
      <c r="R499" s="82"/>
      <c r="S499" s="82"/>
      <c r="T499" s="82"/>
      <c r="U499" s="82"/>
      <c r="V499" s="82"/>
      <c r="W499" s="82"/>
      <c r="X499" s="82"/>
      <c r="Y499" s="82"/>
      <c r="Z499" s="82"/>
      <c r="AA499" s="82"/>
      <c r="AB499" s="82"/>
    </row>
    <row r="500" spans="3:28" ht="13.2" x14ac:dyDescent="0.55000000000000004"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2"/>
      <c r="Y500" s="82"/>
      <c r="Z500" s="82"/>
      <c r="AA500" s="82"/>
      <c r="AB500" s="82"/>
    </row>
    <row r="501" spans="3:28" ht="13.2" x14ac:dyDescent="0.55000000000000004">
      <c r="C501" s="82"/>
      <c r="D501" s="82"/>
      <c r="E501" s="82"/>
      <c r="F501" s="82"/>
      <c r="G501" s="82"/>
      <c r="H501" s="82"/>
      <c r="I501" s="82"/>
      <c r="J501" s="82"/>
      <c r="K501" s="82"/>
      <c r="L501" s="82"/>
      <c r="M501" s="82"/>
      <c r="N501" s="82"/>
      <c r="O501" s="82"/>
      <c r="P501" s="82"/>
      <c r="Q501" s="82"/>
      <c r="R501" s="82"/>
      <c r="S501" s="82"/>
      <c r="T501" s="82"/>
      <c r="U501" s="82"/>
      <c r="V501" s="82"/>
      <c r="W501" s="82"/>
      <c r="X501" s="82"/>
      <c r="Y501" s="82"/>
      <c r="Z501" s="82"/>
      <c r="AA501" s="82"/>
      <c r="AB501" s="82"/>
    </row>
    <row r="502" spans="3:28" ht="13.2" x14ac:dyDescent="0.55000000000000004"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82"/>
      <c r="Z502" s="82"/>
      <c r="AA502" s="82"/>
      <c r="AB502" s="82"/>
    </row>
    <row r="503" spans="3:28" ht="13.2" x14ac:dyDescent="0.55000000000000004">
      <c r="C503" s="82"/>
      <c r="D503" s="82"/>
      <c r="E503" s="82"/>
      <c r="F503" s="82"/>
      <c r="G503" s="82"/>
      <c r="H503" s="82"/>
      <c r="I503" s="82"/>
      <c r="J503" s="82"/>
      <c r="K503" s="82"/>
      <c r="L503" s="82"/>
      <c r="M503" s="82"/>
      <c r="N503" s="82"/>
      <c r="O503" s="82"/>
      <c r="P503" s="82"/>
      <c r="Q503" s="82"/>
      <c r="R503" s="82"/>
      <c r="S503" s="82"/>
      <c r="T503" s="82"/>
      <c r="U503" s="82"/>
      <c r="V503" s="82"/>
      <c r="W503" s="82"/>
      <c r="X503" s="82"/>
      <c r="Y503" s="82"/>
      <c r="Z503" s="82"/>
      <c r="AA503" s="82"/>
      <c r="AB503" s="82"/>
    </row>
    <row r="504" spans="3:28" ht="13.2" x14ac:dyDescent="0.55000000000000004"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2"/>
      <c r="AB504" s="82"/>
    </row>
    <row r="505" spans="3:28" ht="13.2" x14ac:dyDescent="0.55000000000000004">
      <c r="C505" s="82"/>
      <c r="D505" s="82"/>
      <c r="E505" s="82"/>
      <c r="F505" s="82"/>
      <c r="G505" s="82"/>
      <c r="H505" s="82"/>
      <c r="I505" s="82"/>
      <c r="J505" s="82"/>
      <c r="K505" s="82"/>
      <c r="L505" s="82"/>
      <c r="M505" s="82"/>
      <c r="N505" s="82"/>
      <c r="O505" s="82"/>
      <c r="P505" s="82"/>
      <c r="Q505" s="82"/>
      <c r="R505" s="82"/>
      <c r="S505" s="82"/>
      <c r="T505" s="82"/>
      <c r="U505" s="82"/>
      <c r="V505" s="82"/>
      <c r="W505" s="82"/>
      <c r="X505" s="82"/>
      <c r="Y505" s="82"/>
      <c r="Z505" s="82"/>
      <c r="AA505" s="82"/>
      <c r="AB505" s="82"/>
    </row>
    <row r="506" spans="3:28" ht="13.2" x14ac:dyDescent="0.55000000000000004"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  <c r="AA506" s="82"/>
      <c r="AB506" s="82"/>
    </row>
    <row r="507" spans="3:28" ht="13.2" x14ac:dyDescent="0.55000000000000004">
      <c r="C507" s="82"/>
      <c r="D507" s="82"/>
      <c r="E507" s="82"/>
      <c r="F507" s="82"/>
      <c r="G507" s="82"/>
      <c r="H507" s="82"/>
      <c r="I507" s="82"/>
      <c r="J507" s="82"/>
      <c r="K507" s="82"/>
      <c r="L507" s="82"/>
      <c r="M507" s="82"/>
      <c r="N507" s="82"/>
      <c r="O507" s="82"/>
      <c r="P507" s="82"/>
      <c r="Q507" s="82"/>
      <c r="R507" s="82"/>
      <c r="S507" s="82"/>
      <c r="T507" s="82"/>
      <c r="U507" s="82"/>
      <c r="V507" s="82"/>
      <c r="W507" s="82"/>
      <c r="X507" s="82"/>
      <c r="Y507" s="82"/>
      <c r="Z507" s="82"/>
      <c r="AA507" s="82"/>
      <c r="AB507" s="82"/>
    </row>
    <row r="508" spans="3:28" ht="13.2" x14ac:dyDescent="0.55000000000000004">
      <c r="C508" s="82"/>
      <c r="D508" s="82"/>
      <c r="E508" s="82"/>
      <c r="F508" s="82"/>
      <c r="G508" s="82"/>
      <c r="H508" s="82"/>
      <c r="I508" s="82"/>
      <c r="J508" s="82"/>
      <c r="K508" s="82"/>
      <c r="L508" s="82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82"/>
      <c r="Z508" s="82"/>
      <c r="AA508" s="82"/>
      <c r="AB508" s="82"/>
    </row>
    <row r="509" spans="3:28" ht="13.2" x14ac:dyDescent="0.55000000000000004">
      <c r="C509" s="82"/>
      <c r="D509" s="82"/>
      <c r="E509" s="82"/>
      <c r="F509" s="82"/>
      <c r="G509" s="82"/>
      <c r="H509" s="82"/>
      <c r="I509" s="82"/>
      <c r="J509" s="82"/>
      <c r="K509" s="82"/>
      <c r="L509" s="82"/>
      <c r="M509" s="82"/>
      <c r="N509" s="82"/>
      <c r="O509" s="82"/>
      <c r="P509" s="82"/>
      <c r="Q509" s="82"/>
      <c r="R509" s="82"/>
      <c r="S509" s="82"/>
      <c r="T509" s="82"/>
      <c r="U509" s="82"/>
      <c r="V509" s="82"/>
      <c r="W509" s="82"/>
      <c r="X509" s="82"/>
      <c r="Y509" s="82"/>
      <c r="Z509" s="82"/>
      <c r="AA509" s="82"/>
      <c r="AB509" s="82"/>
    </row>
    <row r="510" spans="3:28" ht="13.2" x14ac:dyDescent="0.55000000000000004"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82"/>
      <c r="Z510" s="82"/>
      <c r="AA510" s="82"/>
      <c r="AB510" s="82"/>
    </row>
    <row r="511" spans="3:28" ht="13.2" x14ac:dyDescent="0.55000000000000004">
      <c r="C511" s="82"/>
      <c r="D511" s="82"/>
      <c r="E511" s="82"/>
      <c r="F511" s="82"/>
      <c r="G511" s="82"/>
      <c r="H511" s="82"/>
      <c r="I511" s="82"/>
      <c r="J511" s="82"/>
      <c r="K511" s="82"/>
      <c r="L511" s="82"/>
      <c r="M511" s="82"/>
      <c r="N511" s="82"/>
      <c r="O511" s="82"/>
      <c r="P511" s="82"/>
      <c r="Q511" s="82"/>
      <c r="R511" s="82"/>
      <c r="S511" s="82"/>
      <c r="T511" s="82"/>
      <c r="U511" s="82"/>
      <c r="V511" s="82"/>
      <c r="W511" s="82"/>
      <c r="X511" s="82"/>
      <c r="Y511" s="82"/>
      <c r="Z511" s="82"/>
      <c r="AA511" s="82"/>
      <c r="AB511" s="82"/>
    </row>
    <row r="512" spans="3:28" ht="13.2" x14ac:dyDescent="0.55000000000000004"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82"/>
      <c r="Z512" s="82"/>
      <c r="AA512" s="82"/>
      <c r="AB512" s="82"/>
    </row>
    <row r="513" spans="3:28" ht="13.2" x14ac:dyDescent="0.55000000000000004">
      <c r="C513" s="82"/>
      <c r="D513" s="82"/>
      <c r="E513" s="82"/>
      <c r="F513" s="82"/>
      <c r="G513" s="82"/>
      <c r="H513" s="82"/>
      <c r="I513" s="82"/>
      <c r="J513" s="82"/>
      <c r="K513" s="82"/>
      <c r="L513" s="82"/>
      <c r="M513" s="82"/>
      <c r="N513" s="82"/>
      <c r="O513" s="82"/>
      <c r="P513" s="82"/>
      <c r="Q513" s="82"/>
      <c r="R513" s="82"/>
      <c r="S513" s="82"/>
      <c r="T513" s="82"/>
      <c r="U513" s="82"/>
      <c r="V513" s="82"/>
      <c r="W513" s="82"/>
      <c r="X513" s="82"/>
      <c r="Y513" s="82"/>
      <c r="Z513" s="82"/>
      <c r="AA513" s="82"/>
      <c r="AB513" s="82"/>
    </row>
    <row r="514" spans="3:28" ht="13.2" x14ac:dyDescent="0.55000000000000004"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82"/>
      <c r="Z514" s="82"/>
      <c r="AA514" s="82"/>
      <c r="AB514" s="82"/>
    </row>
    <row r="515" spans="3:28" ht="13.2" x14ac:dyDescent="0.55000000000000004">
      <c r="C515" s="82"/>
      <c r="D515" s="82"/>
      <c r="E515" s="82"/>
      <c r="F515" s="82"/>
      <c r="G515" s="82"/>
      <c r="H515" s="82"/>
      <c r="I515" s="82"/>
      <c r="J515" s="82"/>
      <c r="K515" s="82"/>
      <c r="L515" s="82"/>
      <c r="M515" s="82"/>
      <c r="N515" s="82"/>
      <c r="O515" s="82"/>
      <c r="P515" s="82"/>
      <c r="Q515" s="82"/>
      <c r="R515" s="82"/>
      <c r="S515" s="82"/>
      <c r="T515" s="82"/>
      <c r="U515" s="82"/>
      <c r="V515" s="82"/>
      <c r="W515" s="82"/>
      <c r="X515" s="82"/>
      <c r="Y515" s="82"/>
      <c r="Z515" s="82"/>
      <c r="AA515" s="82"/>
      <c r="AB515" s="82"/>
    </row>
    <row r="516" spans="3:28" ht="13.2" x14ac:dyDescent="0.55000000000000004"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2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82"/>
      <c r="Z516" s="82"/>
      <c r="AA516" s="82"/>
      <c r="AB516" s="82"/>
    </row>
    <row r="517" spans="3:28" ht="13.2" x14ac:dyDescent="0.55000000000000004">
      <c r="C517" s="82"/>
      <c r="D517" s="82"/>
      <c r="E517" s="82"/>
      <c r="F517" s="82"/>
      <c r="G517" s="82"/>
      <c r="H517" s="82"/>
      <c r="I517" s="82"/>
      <c r="J517" s="82"/>
      <c r="K517" s="82"/>
      <c r="L517" s="82"/>
      <c r="M517" s="82"/>
      <c r="N517" s="82"/>
      <c r="O517" s="82"/>
      <c r="P517" s="82"/>
      <c r="Q517" s="82"/>
      <c r="R517" s="82"/>
      <c r="S517" s="82"/>
      <c r="T517" s="82"/>
      <c r="U517" s="82"/>
      <c r="V517" s="82"/>
      <c r="W517" s="82"/>
      <c r="X517" s="82"/>
      <c r="Y517" s="82"/>
      <c r="Z517" s="82"/>
      <c r="AA517" s="82"/>
      <c r="AB517" s="82"/>
    </row>
    <row r="518" spans="3:28" ht="13.2" x14ac:dyDescent="0.55000000000000004"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2"/>
      <c r="N518" s="82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82"/>
      <c r="Z518" s="82"/>
      <c r="AA518" s="82"/>
      <c r="AB518" s="82"/>
    </row>
    <row r="519" spans="3:28" ht="13.2" x14ac:dyDescent="0.55000000000000004">
      <c r="C519" s="82"/>
      <c r="D519" s="82"/>
      <c r="E519" s="82"/>
      <c r="F519" s="82"/>
      <c r="G519" s="82"/>
      <c r="H519" s="82"/>
      <c r="I519" s="82"/>
      <c r="J519" s="82"/>
      <c r="K519" s="82"/>
      <c r="L519" s="82"/>
      <c r="M519" s="82"/>
      <c r="N519" s="82"/>
      <c r="O519" s="82"/>
      <c r="P519" s="82"/>
      <c r="Q519" s="82"/>
      <c r="R519" s="82"/>
      <c r="S519" s="82"/>
      <c r="T519" s="82"/>
      <c r="U519" s="82"/>
      <c r="V519" s="82"/>
      <c r="W519" s="82"/>
      <c r="X519" s="82"/>
      <c r="Y519" s="82"/>
      <c r="Z519" s="82"/>
      <c r="AA519" s="82"/>
      <c r="AB519" s="82"/>
    </row>
    <row r="520" spans="3:28" ht="13.2" x14ac:dyDescent="0.55000000000000004"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2"/>
      <c r="N520" s="82"/>
      <c r="O520" s="82"/>
      <c r="P520" s="82"/>
      <c r="Q520" s="82"/>
      <c r="R520" s="82"/>
      <c r="S520" s="82"/>
      <c r="T520" s="82"/>
      <c r="U520" s="82"/>
      <c r="V520" s="82"/>
      <c r="W520" s="82"/>
      <c r="X520" s="82"/>
      <c r="Y520" s="82"/>
      <c r="Z520" s="82"/>
      <c r="AA520" s="82"/>
      <c r="AB520" s="82"/>
    </row>
    <row r="521" spans="3:28" ht="13.2" x14ac:dyDescent="0.55000000000000004">
      <c r="C521" s="82"/>
      <c r="D521" s="82"/>
      <c r="E521" s="82"/>
      <c r="F521" s="82"/>
      <c r="G521" s="82"/>
      <c r="H521" s="82"/>
      <c r="I521" s="82"/>
      <c r="J521" s="82"/>
      <c r="K521" s="82"/>
      <c r="L521" s="82"/>
      <c r="M521" s="82"/>
      <c r="N521" s="82"/>
      <c r="O521" s="82"/>
      <c r="P521" s="82"/>
      <c r="Q521" s="82"/>
      <c r="R521" s="82"/>
      <c r="S521" s="82"/>
      <c r="T521" s="82"/>
      <c r="U521" s="82"/>
      <c r="V521" s="82"/>
      <c r="W521" s="82"/>
      <c r="X521" s="82"/>
      <c r="Y521" s="82"/>
      <c r="Z521" s="82"/>
      <c r="AA521" s="82"/>
      <c r="AB521" s="82"/>
    </row>
    <row r="522" spans="3:28" ht="13.2" x14ac:dyDescent="0.55000000000000004"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2"/>
      <c r="N522" s="82"/>
      <c r="O522" s="82"/>
      <c r="P522" s="82"/>
      <c r="Q522" s="82"/>
      <c r="R522" s="82"/>
      <c r="S522" s="82"/>
      <c r="T522" s="82"/>
      <c r="U522" s="82"/>
      <c r="V522" s="82"/>
      <c r="W522" s="82"/>
      <c r="X522" s="82"/>
      <c r="Y522" s="82"/>
      <c r="Z522" s="82"/>
      <c r="AA522" s="82"/>
      <c r="AB522" s="82"/>
    </row>
    <row r="523" spans="3:28" ht="13.2" x14ac:dyDescent="0.55000000000000004">
      <c r="C523" s="82"/>
      <c r="D523" s="82"/>
      <c r="E523" s="82"/>
      <c r="F523" s="82"/>
      <c r="G523" s="82"/>
      <c r="H523" s="82"/>
      <c r="I523" s="82"/>
      <c r="J523" s="82"/>
      <c r="K523" s="82"/>
      <c r="L523" s="82"/>
      <c r="M523" s="82"/>
      <c r="N523" s="82"/>
      <c r="O523" s="82"/>
      <c r="P523" s="82"/>
      <c r="Q523" s="82"/>
      <c r="R523" s="82"/>
      <c r="S523" s="82"/>
      <c r="T523" s="82"/>
      <c r="U523" s="82"/>
      <c r="V523" s="82"/>
      <c r="W523" s="82"/>
      <c r="X523" s="82"/>
      <c r="Y523" s="82"/>
      <c r="Z523" s="82"/>
      <c r="AA523" s="82"/>
      <c r="AB523" s="82"/>
    </row>
    <row r="524" spans="3:28" ht="13.2" x14ac:dyDescent="0.55000000000000004"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2"/>
      <c r="N524" s="82"/>
      <c r="O524" s="82"/>
      <c r="P524" s="82"/>
      <c r="Q524" s="82"/>
      <c r="R524" s="82"/>
      <c r="S524" s="82"/>
      <c r="T524" s="82"/>
      <c r="U524" s="82"/>
      <c r="V524" s="82"/>
      <c r="W524" s="82"/>
      <c r="X524" s="82"/>
      <c r="Y524" s="82"/>
      <c r="Z524" s="82"/>
      <c r="AA524" s="82"/>
      <c r="AB524" s="82"/>
    </row>
    <row r="525" spans="3:28" ht="13.2" x14ac:dyDescent="0.55000000000000004">
      <c r="C525" s="82"/>
      <c r="D525" s="82"/>
      <c r="E525" s="82"/>
      <c r="F525" s="82"/>
      <c r="G525" s="82"/>
      <c r="H525" s="82"/>
      <c r="I525" s="82"/>
      <c r="J525" s="82"/>
      <c r="K525" s="82"/>
      <c r="L525" s="82"/>
      <c r="M525" s="82"/>
      <c r="N525" s="82"/>
      <c r="O525" s="82"/>
      <c r="P525" s="82"/>
      <c r="Q525" s="82"/>
      <c r="R525" s="82"/>
      <c r="S525" s="82"/>
      <c r="T525" s="82"/>
      <c r="U525" s="82"/>
      <c r="V525" s="82"/>
      <c r="W525" s="82"/>
      <c r="X525" s="82"/>
      <c r="Y525" s="82"/>
      <c r="Z525" s="82"/>
      <c r="AA525" s="82"/>
      <c r="AB525" s="82"/>
    </row>
    <row r="526" spans="3:28" ht="13.2" x14ac:dyDescent="0.55000000000000004"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2"/>
      <c r="N526" s="82"/>
      <c r="O526" s="82"/>
      <c r="P526" s="82"/>
      <c r="Q526" s="82"/>
      <c r="R526" s="82"/>
      <c r="S526" s="82"/>
      <c r="T526" s="82"/>
      <c r="U526" s="82"/>
      <c r="V526" s="82"/>
      <c r="W526" s="82"/>
      <c r="X526" s="82"/>
      <c r="Y526" s="82"/>
      <c r="Z526" s="82"/>
      <c r="AA526" s="82"/>
      <c r="AB526" s="82"/>
    </row>
    <row r="527" spans="3:28" ht="13.2" x14ac:dyDescent="0.55000000000000004">
      <c r="C527" s="82"/>
      <c r="D527" s="82"/>
      <c r="E527" s="82"/>
      <c r="F527" s="82"/>
      <c r="G527" s="82"/>
      <c r="H527" s="82"/>
      <c r="I527" s="82"/>
      <c r="J527" s="82"/>
      <c r="K527" s="82"/>
      <c r="L527" s="82"/>
      <c r="M527" s="82"/>
      <c r="N527" s="82"/>
      <c r="O527" s="82"/>
      <c r="P527" s="82"/>
      <c r="Q527" s="82"/>
      <c r="R527" s="82"/>
      <c r="S527" s="82"/>
      <c r="T527" s="82"/>
      <c r="U527" s="82"/>
      <c r="V527" s="82"/>
      <c r="W527" s="82"/>
      <c r="X527" s="82"/>
      <c r="Y527" s="82"/>
      <c r="Z527" s="82"/>
      <c r="AA527" s="82"/>
      <c r="AB527" s="82"/>
    </row>
    <row r="528" spans="3:28" ht="13.2" x14ac:dyDescent="0.55000000000000004"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82"/>
      <c r="T528" s="82"/>
      <c r="U528" s="82"/>
      <c r="V528" s="82"/>
      <c r="W528" s="82"/>
      <c r="X528" s="82"/>
      <c r="Y528" s="82"/>
      <c r="Z528" s="82"/>
      <c r="AA528" s="82"/>
      <c r="AB528" s="82"/>
    </row>
    <row r="529" spans="3:28" ht="13.2" x14ac:dyDescent="0.55000000000000004">
      <c r="C529" s="82"/>
      <c r="D529" s="82"/>
      <c r="E529" s="82"/>
      <c r="F529" s="82"/>
      <c r="G529" s="82"/>
      <c r="H529" s="82"/>
      <c r="I529" s="82"/>
      <c r="J529" s="82"/>
      <c r="K529" s="82"/>
      <c r="L529" s="82"/>
      <c r="M529" s="82"/>
      <c r="N529" s="82"/>
      <c r="O529" s="82"/>
      <c r="P529" s="82"/>
      <c r="Q529" s="82"/>
      <c r="R529" s="82"/>
      <c r="S529" s="82"/>
      <c r="T529" s="82"/>
      <c r="U529" s="82"/>
      <c r="V529" s="82"/>
      <c r="W529" s="82"/>
      <c r="X529" s="82"/>
      <c r="Y529" s="82"/>
      <c r="Z529" s="82"/>
      <c r="AA529" s="82"/>
      <c r="AB529" s="82"/>
    </row>
    <row r="530" spans="3:28" ht="13.2" x14ac:dyDescent="0.55000000000000004"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82"/>
      <c r="Z530" s="82"/>
      <c r="AA530" s="82"/>
      <c r="AB530" s="82"/>
    </row>
    <row r="531" spans="3:28" ht="13.2" x14ac:dyDescent="0.55000000000000004"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2"/>
      <c r="N531" s="82"/>
      <c r="O531" s="82"/>
      <c r="P531" s="82"/>
      <c r="Q531" s="82"/>
      <c r="R531" s="82"/>
      <c r="S531" s="82"/>
      <c r="T531" s="82"/>
      <c r="U531" s="82"/>
      <c r="V531" s="82"/>
      <c r="W531" s="82"/>
      <c r="X531" s="82"/>
      <c r="Y531" s="82"/>
      <c r="Z531" s="82"/>
      <c r="AA531" s="82"/>
      <c r="AB531" s="82"/>
    </row>
    <row r="532" spans="3:28" ht="13.2" x14ac:dyDescent="0.55000000000000004"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82"/>
      <c r="O532" s="82"/>
      <c r="P532" s="82"/>
      <c r="Q532" s="82"/>
      <c r="R532" s="82"/>
      <c r="S532" s="82"/>
      <c r="T532" s="82"/>
      <c r="U532" s="82"/>
      <c r="V532" s="82"/>
      <c r="W532" s="82"/>
      <c r="X532" s="82"/>
      <c r="Y532" s="82"/>
      <c r="Z532" s="82"/>
      <c r="AA532" s="82"/>
      <c r="AB532" s="82"/>
    </row>
    <row r="533" spans="3:28" ht="13.2" x14ac:dyDescent="0.55000000000000004"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2"/>
      <c r="N533" s="82"/>
      <c r="O533" s="82"/>
      <c r="P533" s="82"/>
      <c r="Q533" s="82"/>
      <c r="R533" s="82"/>
      <c r="S533" s="82"/>
      <c r="T533" s="82"/>
      <c r="U533" s="82"/>
      <c r="V533" s="82"/>
      <c r="W533" s="82"/>
      <c r="X533" s="82"/>
      <c r="Y533" s="82"/>
      <c r="Z533" s="82"/>
      <c r="AA533" s="82"/>
      <c r="AB533" s="82"/>
    </row>
    <row r="534" spans="3:28" ht="13.2" x14ac:dyDescent="0.55000000000000004"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2"/>
      <c r="N534" s="82"/>
      <c r="O534" s="82"/>
      <c r="P534" s="82"/>
      <c r="Q534" s="82"/>
      <c r="R534" s="82"/>
      <c r="S534" s="82"/>
      <c r="T534" s="82"/>
      <c r="U534" s="82"/>
      <c r="V534" s="82"/>
      <c r="W534" s="82"/>
      <c r="X534" s="82"/>
      <c r="Y534" s="82"/>
      <c r="Z534" s="82"/>
      <c r="AA534" s="82"/>
      <c r="AB534" s="82"/>
    </row>
    <row r="535" spans="3:28" ht="13.2" x14ac:dyDescent="0.55000000000000004">
      <c r="C535" s="82"/>
      <c r="D535" s="82"/>
      <c r="E535" s="82"/>
      <c r="F535" s="82"/>
      <c r="G535" s="82"/>
      <c r="H535" s="82"/>
      <c r="I535" s="82"/>
      <c r="J535" s="82"/>
      <c r="K535" s="82"/>
      <c r="L535" s="82"/>
      <c r="M535" s="82"/>
      <c r="N535" s="82"/>
      <c r="O535" s="82"/>
      <c r="P535" s="82"/>
      <c r="Q535" s="82"/>
      <c r="R535" s="82"/>
      <c r="S535" s="82"/>
      <c r="T535" s="82"/>
      <c r="U535" s="82"/>
      <c r="V535" s="82"/>
      <c r="W535" s="82"/>
      <c r="X535" s="82"/>
      <c r="Y535" s="82"/>
      <c r="Z535" s="82"/>
      <c r="AA535" s="82"/>
      <c r="AB535" s="82"/>
    </row>
    <row r="536" spans="3:28" ht="13.2" x14ac:dyDescent="0.55000000000000004">
      <c r="C536" s="82"/>
      <c r="D536" s="82"/>
      <c r="E536" s="82"/>
      <c r="F536" s="82"/>
      <c r="G536" s="82"/>
      <c r="H536" s="82"/>
      <c r="I536" s="82"/>
      <c r="J536" s="82"/>
      <c r="K536" s="82"/>
      <c r="L536" s="82"/>
      <c r="M536" s="82"/>
      <c r="N536" s="82"/>
      <c r="O536" s="82"/>
      <c r="P536" s="82"/>
      <c r="Q536" s="82"/>
      <c r="R536" s="82"/>
      <c r="S536" s="82"/>
      <c r="T536" s="82"/>
      <c r="U536" s="82"/>
      <c r="V536" s="82"/>
      <c r="W536" s="82"/>
      <c r="X536" s="82"/>
      <c r="Y536" s="82"/>
      <c r="Z536" s="82"/>
      <c r="AA536" s="82"/>
      <c r="AB536" s="82"/>
    </row>
    <row r="537" spans="3:28" ht="13.2" x14ac:dyDescent="0.55000000000000004">
      <c r="C537" s="82"/>
      <c r="D537" s="82"/>
      <c r="E537" s="82"/>
      <c r="F537" s="82"/>
      <c r="G537" s="82"/>
      <c r="H537" s="82"/>
      <c r="I537" s="82"/>
      <c r="J537" s="82"/>
      <c r="K537" s="82"/>
      <c r="L537" s="82"/>
      <c r="M537" s="82"/>
      <c r="N537" s="82"/>
      <c r="O537" s="82"/>
      <c r="P537" s="82"/>
      <c r="Q537" s="82"/>
      <c r="R537" s="82"/>
      <c r="S537" s="82"/>
      <c r="T537" s="82"/>
      <c r="U537" s="82"/>
      <c r="V537" s="82"/>
      <c r="W537" s="82"/>
      <c r="X537" s="82"/>
      <c r="Y537" s="82"/>
      <c r="Z537" s="82"/>
      <c r="AA537" s="82"/>
      <c r="AB537" s="82"/>
    </row>
    <row r="538" spans="3:28" ht="13.2" x14ac:dyDescent="0.55000000000000004"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2"/>
      <c r="N538" s="82"/>
      <c r="O538" s="82"/>
      <c r="P538" s="82"/>
      <c r="Q538" s="82"/>
      <c r="R538" s="82"/>
      <c r="S538" s="82"/>
      <c r="T538" s="82"/>
      <c r="U538" s="82"/>
      <c r="V538" s="82"/>
      <c r="W538" s="82"/>
      <c r="X538" s="82"/>
      <c r="Y538" s="82"/>
      <c r="Z538" s="82"/>
      <c r="AA538" s="82"/>
      <c r="AB538" s="82"/>
    </row>
    <row r="539" spans="3:28" ht="13.2" x14ac:dyDescent="0.55000000000000004">
      <c r="C539" s="82"/>
      <c r="D539" s="82"/>
      <c r="E539" s="82"/>
      <c r="F539" s="82"/>
      <c r="G539" s="82"/>
      <c r="H539" s="82"/>
      <c r="I539" s="82"/>
      <c r="J539" s="82"/>
      <c r="K539" s="82"/>
      <c r="L539" s="82"/>
      <c r="M539" s="82"/>
      <c r="N539" s="82"/>
      <c r="O539" s="82"/>
      <c r="P539" s="82"/>
      <c r="Q539" s="82"/>
      <c r="R539" s="82"/>
      <c r="S539" s="82"/>
      <c r="T539" s="82"/>
      <c r="U539" s="82"/>
      <c r="V539" s="82"/>
      <c r="W539" s="82"/>
      <c r="X539" s="82"/>
      <c r="Y539" s="82"/>
      <c r="Z539" s="82"/>
      <c r="AA539" s="82"/>
      <c r="AB539" s="82"/>
    </row>
    <row r="540" spans="3:28" ht="13.2" x14ac:dyDescent="0.55000000000000004"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2"/>
      <c r="N540" s="82"/>
      <c r="O540" s="82"/>
      <c r="P540" s="82"/>
      <c r="Q540" s="82"/>
      <c r="R540" s="82"/>
      <c r="S540" s="82"/>
      <c r="T540" s="82"/>
      <c r="U540" s="82"/>
      <c r="V540" s="82"/>
      <c r="W540" s="82"/>
      <c r="X540" s="82"/>
      <c r="Y540" s="82"/>
      <c r="Z540" s="82"/>
      <c r="AA540" s="82"/>
      <c r="AB540" s="82"/>
    </row>
    <row r="541" spans="3:28" ht="13.2" x14ac:dyDescent="0.55000000000000004">
      <c r="C541" s="82"/>
      <c r="D541" s="82"/>
      <c r="E541" s="82"/>
      <c r="F541" s="82"/>
      <c r="G541" s="82"/>
      <c r="H541" s="82"/>
      <c r="I541" s="82"/>
      <c r="J541" s="82"/>
      <c r="K541" s="82"/>
      <c r="L541" s="82"/>
      <c r="M541" s="82"/>
      <c r="N541" s="82"/>
      <c r="O541" s="82"/>
      <c r="P541" s="82"/>
      <c r="Q541" s="82"/>
      <c r="R541" s="82"/>
      <c r="S541" s="82"/>
      <c r="T541" s="82"/>
      <c r="U541" s="82"/>
      <c r="V541" s="82"/>
      <c r="W541" s="82"/>
      <c r="X541" s="82"/>
      <c r="Y541" s="82"/>
      <c r="Z541" s="82"/>
      <c r="AA541" s="82"/>
      <c r="AB541" s="82"/>
    </row>
    <row r="542" spans="3:28" ht="13.2" x14ac:dyDescent="0.55000000000000004">
      <c r="C542" s="82"/>
      <c r="D542" s="82"/>
      <c r="E542" s="82"/>
      <c r="F542" s="82"/>
      <c r="G542" s="82"/>
      <c r="H542" s="82"/>
      <c r="I542" s="82"/>
      <c r="J542" s="82"/>
      <c r="K542" s="82"/>
      <c r="L542" s="82"/>
      <c r="M542" s="82"/>
      <c r="N542" s="82"/>
      <c r="O542" s="82"/>
      <c r="P542" s="82"/>
      <c r="Q542" s="82"/>
      <c r="R542" s="82"/>
      <c r="S542" s="82"/>
      <c r="T542" s="82"/>
      <c r="U542" s="82"/>
      <c r="V542" s="82"/>
      <c r="W542" s="82"/>
      <c r="X542" s="82"/>
      <c r="Y542" s="82"/>
      <c r="Z542" s="82"/>
      <c r="AA542" s="82"/>
      <c r="AB542" s="82"/>
    </row>
    <row r="543" spans="3:28" ht="13.2" x14ac:dyDescent="0.55000000000000004">
      <c r="C543" s="82"/>
      <c r="D543" s="82"/>
      <c r="E543" s="82"/>
      <c r="F543" s="82"/>
      <c r="G543" s="82"/>
      <c r="H543" s="82"/>
      <c r="I543" s="82"/>
      <c r="J543" s="82"/>
      <c r="K543" s="82"/>
      <c r="L543" s="82"/>
      <c r="M543" s="82"/>
      <c r="N543" s="82"/>
      <c r="O543" s="82"/>
      <c r="P543" s="82"/>
      <c r="Q543" s="82"/>
      <c r="R543" s="82"/>
      <c r="S543" s="82"/>
      <c r="T543" s="82"/>
      <c r="U543" s="82"/>
      <c r="V543" s="82"/>
      <c r="W543" s="82"/>
      <c r="X543" s="82"/>
      <c r="Y543" s="82"/>
      <c r="Z543" s="82"/>
      <c r="AA543" s="82"/>
      <c r="AB543" s="82"/>
    </row>
    <row r="544" spans="3:28" ht="13.2" x14ac:dyDescent="0.55000000000000004"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2"/>
      <c r="N544" s="82"/>
      <c r="O544" s="82"/>
      <c r="P544" s="82"/>
      <c r="Q544" s="82"/>
      <c r="R544" s="82"/>
      <c r="S544" s="82"/>
      <c r="T544" s="82"/>
      <c r="U544" s="82"/>
      <c r="V544" s="82"/>
      <c r="W544" s="82"/>
      <c r="X544" s="82"/>
      <c r="Y544" s="82"/>
      <c r="Z544" s="82"/>
      <c r="AA544" s="82"/>
      <c r="AB544" s="82"/>
    </row>
    <row r="545" spans="3:28" ht="13.2" x14ac:dyDescent="0.55000000000000004">
      <c r="C545" s="82"/>
      <c r="D545" s="82"/>
      <c r="E545" s="82"/>
      <c r="F545" s="82"/>
      <c r="G545" s="82"/>
      <c r="H545" s="82"/>
      <c r="I545" s="82"/>
      <c r="J545" s="82"/>
      <c r="K545" s="82"/>
      <c r="L545" s="82"/>
      <c r="M545" s="82"/>
      <c r="N545" s="82"/>
      <c r="O545" s="82"/>
      <c r="P545" s="82"/>
      <c r="Q545" s="82"/>
      <c r="R545" s="82"/>
      <c r="S545" s="82"/>
      <c r="T545" s="82"/>
      <c r="U545" s="82"/>
      <c r="V545" s="82"/>
      <c r="W545" s="82"/>
      <c r="X545" s="82"/>
      <c r="Y545" s="82"/>
      <c r="Z545" s="82"/>
      <c r="AA545" s="82"/>
      <c r="AB545" s="82"/>
    </row>
    <row r="546" spans="3:28" ht="13.2" x14ac:dyDescent="0.55000000000000004"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/>
      <c r="N546" s="82"/>
      <c r="O546" s="82"/>
      <c r="P546" s="82"/>
      <c r="Q546" s="82"/>
      <c r="R546" s="82"/>
      <c r="S546" s="82"/>
      <c r="T546" s="82"/>
      <c r="U546" s="82"/>
      <c r="V546" s="82"/>
      <c r="W546" s="82"/>
      <c r="X546" s="82"/>
      <c r="Y546" s="82"/>
      <c r="Z546" s="82"/>
      <c r="AA546" s="82"/>
      <c r="AB546" s="82"/>
    </row>
    <row r="547" spans="3:28" ht="13.2" x14ac:dyDescent="0.55000000000000004"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2"/>
      <c r="N547" s="82"/>
      <c r="O547" s="82"/>
      <c r="P547" s="82"/>
      <c r="Q547" s="82"/>
      <c r="R547" s="82"/>
      <c r="S547" s="82"/>
      <c r="T547" s="82"/>
      <c r="U547" s="82"/>
      <c r="V547" s="82"/>
      <c r="W547" s="82"/>
      <c r="X547" s="82"/>
      <c r="Y547" s="82"/>
      <c r="Z547" s="82"/>
      <c r="AA547" s="82"/>
      <c r="AB547" s="82"/>
    </row>
    <row r="548" spans="3:28" ht="13.2" x14ac:dyDescent="0.55000000000000004"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  <c r="AA548" s="82"/>
      <c r="AB548" s="82"/>
    </row>
    <row r="549" spans="3:28" ht="13.2" x14ac:dyDescent="0.55000000000000004"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2"/>
      <c r="N549" s="82"/>
      <c r="O549" s="82"/>
      <c r="P549" s="82"/>
      <c r="Q549" s="82"/>
      <c r="R549" s="82"/>
      <c r="S549" s="82"/>
      <c r="T549" s="82"/>
      <c r="U549" s="82"/>
      <c r="V549" s="82"/>
      <c r="W549" s="82"/>
      <c r="X549" s="82"/>
      <c r="Y549" s="82"/>
      <c r="Z549" s="82"/>
      <c r="AA549" s="82"/>
      <c r="AB549" s="82"/>
    </row>
    <row r="550" spans="3:28" ht="13.2" x14ac:dyDescent="0.55000000000000004"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82"/>
      <c r="O550" s="82"/>
      <c r="P550" s="82"/>
      <c r="Q550" s="82"/>
      <c r="R550" s="82"/>
      <c r="S550" s="82"/>
      <c r="T550" s="82"/>
      <c r="U550" s="82"/>
      <c r="V550" s="82"/>
      <c r="W550" s="82"/>
      <c r="X550" s="82"/>
      <c r="Y550" s="82"/>
      <c r="Z550" s="82"/>
      <c r="AA550" s="82"/>
      <c r="AB550" s="82"/>
    </row>
    <row r="551" spans="3:28" ht="13.2" x14ac:dyDescent="0.55000000000000004"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2"/>
      <c r="N551" s="82"/>
      <c r="O551" s="82"/>
      <c r="P551" s="82"/>
      <c r="Q551" s="82"/>
      <c r="R551" s="82"/>
      <c r="S551" s="82"/>
      <c r="T551" s="82"/>
      <c r="U551" s="82"/>
      <c r="V551" s="82"/>
      <c r="W551" s="82"/>
      <c r="X551" s="82"/>
      <c r="Y551" s="82"/>
      <c r="Z551" s="82"/>
      <c r="AA551" s="82"/>
      <c r="AB551" s="82"/>
    </row>
    <row r="552" spans="3:28" ht="13.2" x14ac:dyDescent="0.55000000000000004"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/>
      <c r="N552" s="82"/>
      <c r="O552" s="82"/>
      <c r="P552" s="82"/>
      <c r="Q552" s="82"/>
      <c r="R552" s="82"/>
      <c r="S552" s="82"/>
      <c r="T552" s="82"/>
      <c r="U552" s="82"/>
      <c r="V552" s="82"/>
      <c r="W552" s="82"/>
      <c r="X552" s="82"/>
      <c r="Y552" s="82"/>
      <c r="Z552" s="82"/>
      <c r="AA552" s="82"/>
      <c r="AB552" s="82"/>
    </row>
    <row r="553" spans="3:28" ht="13.2" x14ac:dyDescent="0.55000000000000004">
      <c r="C553" s="82"/>
      <c r="D553" s="82"/>
      <c r="E553" s="82"/>
      <c r="F553" s="82"/>
      <c r="G553" s="82"/>
      <c r="H553" s="82"/>
      <c r="I553" s="82"/>
      <c r="J553" s="82"/>
      <c r="K553" s="82"/>
      <c r="L553" s="82"/>
      <c r="M553" s="82"/>
      <c r="N553" s="82"/>
      <c r="O553" s="82"/>
      <c r="P553" s="82"/>
      <c r="Q553" s="82"/>
      <c r="R553" s="82"/>
      <c r="S553" s="82"/>
      <c r="T553" s="82"/>
      <c r="U553" s="82"/>
      <c r="V553" s="82"/>
      <c r="W553" s="82"/>
      <c r="X553" s="82"/>
      <c r="Y553" s="82"/>
      <c r="Z553" s="82"/>
      <c r="AA553" s="82"/>
      <c r="AB553" s="82"/>
    </row>
    <row r="554" spans="3:28" ht="13.2" x14ac:dyDescent="0.55000000000000004"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2"/>
      <c r="N554" s="82"/>
      <c r="O554" s="82"/>
      <c r="P554" s="82"/>
      <c r="Q554" s="82"/>
      <c r="R554" s="82"/>
      <c r="S554" s="82"/>
      <c r="T554" s="82"/>
      <c r="U554" s="82"/>
      <c r="V554" s="82"/>
      <c r="W554" s="82"/>
      <c r="X554" s="82"/>
      <c r="Y554" s="82"/>
      <c r="Z554" s="82"/>
      <c r="AA554" s="82"/>
      <c r="AB554" s="82"/>
    </row>
    <row r="555" spans="3:28" ht="13.2" x14ac:dyDescent="0.55000000000000004"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2"/>
      <c r="N555" s="82"/>
      <c r="O555" s="82"/>
      <c r="P555" s="82"/>
      <c r="Q555" s="82"/>
      <c r="R555" s="82"/>
      <c r="S555" s="82"/>
      <c r="T555" s="82"/>
      <c r="U555" s="82"/>
      <c r="V555" s="82"/>
      <c r="W555" s="82"/>
      <c r="X555" s="82"/>
      <c r="Y555" s="82"/>
      <c r="Z555" s="82"/>
      <c r="AA555" s="82"/>
      <c r="AB555" s="82"/>
    </row>
    <row r="556" spans="3:28" ht="13.2" x14ac:dyDescent="0.55000000000000004"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/>
      <c r="N556" s="82"/>
      <c r="O556" s="82"/>
      <c r="P556" s="82"/>
      <c r="Q556" s="82"/>
      <c r="R556" s="82"/>
      <c r="S556" s="82"/>
      <c r="T556" s="82"/>
      <c r="U556" s="82"/>
      <c r="V556" s="82"/>
      <c r="W556" s="82"/>
      <c r="X556" s="82"/>
      <c r="Y556" s="82"/>
      <c r="Z556" s="82"/>
      <c r="AA556" s="82"/>
      <c r="AB556" s="82"/>
    </row>
    <row r="557" spans="3:28" ht="13.2" x14ac:dyDescent="0.55000000000000004"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2"/>
      <c r="N557" s="82"/>
      <c r="O557" s="82"/>
      <c r="P557" s="82"/>
      <c r="Q557" s="82"/>
      <c r="R557" s="82"/>
      <c r="S557" s="82"/>
      <c r="T557" s="82"/>
      <c r="U557" s="82"/>
      <c r="V557" s="82"/>
      <c r="W557" s="82"/>
      <c r="X557" s="82"/>
      <c r="Y557" s="82"/>
      <c r="Z557" s="82"/>
      <c r="AA557" s="82"/>
      <c r="AB557" s="82"/>
    </row>
    <row r="558" spans="3:28" ht="13.2" x14ac:dyDescent="0.55000000000000004"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2"/>
      <c r="N558" s="82"/>
      <c r="O558" s="82"/>
      <c r="P558" s="82"/>
      <c r="Q558" s="82"/>
      <c r="R558" s="82"/>
      <c r="S558" s="82"/>
      <c r="T558" s="82"/>
      <c r="U558" s="82"/>
      <c r="V558" s="82"/>
      <c r="W558" s="82"/>
      <c r="X558" s="82"/>
      <c r="Y558" s="82"/>
      <c r="Z558" s="82"/>
      <c r="AA558" s="82"/>
      <c r="AB558" s="82"/>
    </row>
    <row r="559" spans="3:28" ht="13.2" x14ac:dyDescent="0.55000000000000004">
      <c r="C559" s="82"/>
      <c r="D559" s="82"/>
      <c r="E559" s="82"/>
      <c r="F559" s="82"/>
      <c r="G559" s="82"/>
      <c r="H559" s="82"/>
      <c r="I559" s="82"/>
      <c r="J559" s="82"/>
      <c r="K559" s="82"/>
      <c r="L559" s="82"/>
      <c r="M559" s="82"/>
      <c r="N559" s="82"/>
      <c r="O559" s="82"/>
      <c r="P559" s="82"/>
      <c r="Q559" s="82"/>
      <c r="R559" s="82"/>
      <c r="S559" s="82"/>
      <c r="T559" s="82"/>
      <c r="U559" s="82"/>
      <c r="V559" s="82"/>
      <c r="W559" s="82"/>
      <c r="X559" s="82"/>
      <c r="Y559" s="82"/>
      <c r="Z559" s="82"/>
      <c r="AA559" s="82"/>
      <c r="AB559" s="82"/>
    </row>
    <row r="560" spans="3:28" ht="13.2" x14ac:dyDescent="0.55000000000000004"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2"/>
      <c r="N560" s="82"/>
      <c r="O560" s="82"/>
      <c r="P560" s="82"/>
      <c r="Q560" s="82"/>
      <c r="R560" s="82"/>
      <c r="S560" s="82"/>
      <c r="T560" s="82"/>
      <c r="U560" s="82"/>
      <c r="V560" s="82"/>
      <c r="W560" s="82"/>
      <c r="X560" s="82"/>
      <c r="Y560" s="82"/>
      <c r="Z560" s="82"/>
      <c r="AA560" s="82"/>
      <c r="AB560" s="82"/>
    </row>
    <row r="561" spans="3:28" ht="13.2" x14ac:dyDescent="0.55000000000000004">
      <c r="C561" s="82"/>
      <c r="D561" s="82"/>
      <c r="E561" s="82"/>
      <c r="F561" s="82"/>
      <c r="G561" s="82"/>
      <c r="H561" s="82"/>
      <c r="I561" s="82"/>
      <c r="J561" s="82"/>
      <c r="K561" s="82"/>
      <c r="L561" s="82"/>
      <c r="M561" s="82"/>
      <c r="N561" s="82"/>
      <c r="O561" s="82"/>
      <c r="P561" s="82"/>
      <c r="Q561" s="82"/>
      <c r="R561" s="82"/>
      <c r="S561" s="82"/>
      <c r="T561" s="82"/>
      <c r="U561" s="82"/>
      <c r="V561" s="82"/>
      <c r="W561" s="82"/>
      <c r="X561" s="82"/>
      <c r="Y561" s="82"/>
      <c r="Z561" s="82"/>
      <c r="AA561" s="82"/>
      <c r="AB561" s="82"/>
    </row>
    <row r="562" spans="3:28" ht="13.2" x14ac:dyDescent="0.55000000000000004">
      <c r="C562" s="82"/>
      <c r="D562" s="82"/>
      <c r="E562" s="82"/>
      <c r="F562" s="82"/>
      <c r="G562" s="82"/>
      <c r="H562" s="82"/>
      <c r="I562" s="82"/>
      <c r="J562" s="82"/>
      <c r="K562" s="82"/>
      <c r="L562" s="82"/>
      <c r="M562" s="82"/>
      <c r="N562" s="82"/>
      <c r="O562" s="82"/>
      <c r="P562" s="82"/>
      <c r="Q562" s="82"/>
      <c r="R562" s="82"/>
      <c r="S562" s="82"/>
      <c r="T562" s="82"/>
      <c r="U562" s="82"/>
      <c r="V562" s="82"/>
      <c r="W562" s="82"/>
      <c r="X562" s="82"/>
      <c r="Y562" s="82"/>
      <c r="Z562" s="82"/>
      <c r="AA562" s="82"/>
      <c r="AB562" s="82"/>
    </row>
    <row r="563" spans="3:28" ht="13.2" x14ac:dyDescent="0.55000000000000004"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2"/>
      <c r="N563" s="82"/>
      <c r="O563" s="82"/>
      <c r="P563" s="82"/>
      <c r="Q563" s="82"/>
      <c r="R563" s="82"/>
      <c r="S563" s="82"/>
      <c r="T563" s="82"/>
      <c r="U563" s="82"/>
      <c r="V563" s="82"/>
      <c r="W563" s="82"/>
      <c r="X563" s="82"/>
      <c r="Y563" s="82"/>
      <c r="Z563" s="82"/>
      <c r="AA563" s="82"/>
      <c r="AB563" s="82"/>
    </row>
    <row r="564" spans="3:28" ht="13.2" x14ac:dyDescent="0.55000000000000004"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2"/>
      <c r="N564" s="82"/>
      <c r="O564" s="82"/>
      <c r="P564" s="82"/>
      <c r="Q564" s="82"/>
      <c r="R564" s="82"/>
      <c r="S564" s="82"/>
      <c r="T564" s="82"/>
      <c r="U564" s="82"/>
      <c r="V564" s="82"/>
      <c r="W564" s="82"/>
      <c r="X564" s="82"/>
      <c r="Y564" s="82"/>
      <c r="Z564" s="82"/>
      <c r="AA564" s="82"/>
      <c r="AB564" s="82"/>
    </row>
    <row r="565" spans="3:28" ht="13.2" x14ac:dyDescent="0.55000000000000004"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  <c r="S565" s="82"/>
      <c r="T565" s="82"/>
      <c r="U565" s="82"/>
      <c r="V565" s="82"/>
      <c r="W565" s="82"/>
      <c r="X565" s="82"/>
      <c r="Y565" s="82"/>
      <c r="Z565" s="82"/>
      <c r="AA565" s="82"/>
      <c r="AB565" s="82"/>
    </row>
    <row r="566" spans="3:28" ht="13.2" x14ac:dyDescent="0.55000000000000004"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/>
      <c r="N566" s="82"/>
      <c r="O566" s="82"/>
      <c r="P566" s="82"/>
      <c r="Q566" s="82"/>
      <c r="R566" s="82"/>
      <c r="S566" s="82"/>
      <c r="T566" s="82"/>
      <c r="U566" s="82"/>
      <c r="V566" s="82"/>
      <c r="W566" s="82"/>
      <c r="X566" s="82"/>
      <c r="Y566" s="82"/>
      <c r="Z566" s="82"/>
      <c r="AA566" s="82"/>
      <c r="AB566" s="82"/>
    </row>
    <row r="567" spans="3:28" ht="13.2" x14ac:dyDescent="0.55000000000000004"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2"/>
      <c r="N567" s="82"/>
      <c r="O567" s="82"/>
      <c r="P567" s="82"/>
      <c r="Q567" s="82"/>
      <c r="R567" s="82"/>
      <c r="S567" s="82"/>
      <c r="T567" s="82"/>
      <c r="U567" s="82"/>
      <c r="V567" s="82"/>
      <c r="W567" s="82"/>
      <c r="X567" s="82"/>
      <c r="Y567" s="82"/>
      <c r="Z567" s="82"/>
      <c r="AA567" s="82"/>
      <c r="AB567" s="82"/>
    </row>
    <row r="568" spans="3:28" ht="13.2" x14ac:dyDescent="0.55000000000000004"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/>
      <c r="N568" s="82"/>
      <c r="O568" s="82"/>
      <c r="P568" s="82"/>
      <c r="Q568" s="82"/>
      <c r="R568" s="82"/>
      <c r="S568" s="82"/>
      <c r="T568" s="82"/>
      <c r="U568" s="82"/>
      <c r="V568" s="82"/>
      <c r="W568" s="82"/>
      <c r="X568" s="82"/>
      <c r="Y568" s="82"/>
      <c r="Z568" s="82"/>
      <c r="AA568" s="82"/>
      <c r="AB568" s="82"/>
    </row>
    <row r="569" spans="3:28" ht="13.2" x14ac:dyDescent="0.55000000000000004"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2"/>
      <c r="N569" s="82"/>
      <c r="O569" s="82"/>
      <c r="P569" s="82"/>
      <c r="Q569" s="82"/>
      <c r="R569" s="82"/>
      <c r="S569" s="82"/>
      <c r="T569" s="82"/>
      <c r="U569" s="82"/>
      <c r="V569" s="82"/>
      <c r="W569" s="82"/>
      <c r="X569" s="82"/>
      <c r="Y569" s="82"/>
      <c r="Z569" s="82"/>
      <c r="AA569" s="82"/>
      <c r="AB569" s="82"/>
    </row>
    <row r="570" spans="3:28" ht="13.2" x14ac:dyDescent="0.55000000000000004"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82"/>
      <c r="O570" s="82"/>
      <c r="P570" s="82"/>
      <c r="Q570" s="82"/>
      <c r="R570" s="82"/>
      <c r="S570" s="82"/>
      <c r="T570" s="82"/>
      <c r="U570" s="82"/>
      <c r="V570" s="82"/>
      <c r="W570" s="82"/>
      <c r="X570" s="82"/>
      <c r="Y570" s="82"/>
      <c r="Z570" s="82"/>
      <c r="AA570" s="82"/>
      <c r="AB570" s="82"/>
    </row>
    <row r="571" spans="3:28" ht="13.2" x14ac:dyDescent="0.55000000000000004"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2"/>
      <c r="N571" s="82"/>
      <c r="O571" s="82"/>
      <c r="P571" s="82"/>
      <c r="Q571" s="82"/>
      <c r="R571" s="82"/>
      <c r="S571" s="82"/>
      <c r="T571" s="82"/>
      <c r="U571" s="82"/>
      <c r="V571" s="82"/>
      <c r="W571" s="82"/>
      <c r="X571" s="82"/>
      <c r="Y571" s="82"/>
      <c r="Z571" s="82"/>
      <c r="AA571" s="82"/>
      <c r="AB571" s="82"/>
    </row>
    <row r="572" spans="3:28" ht="13.2" x14ac:dyDescent="0.55000000000000004">
      <c r="C572" s="82"/>
      <c r="D572" s="82"/>
      <c r="E572" s="82"/>
      <c r="F572" s="82"/>
      <c r="G572" s="82"/>
      <c r="H572" s="82"/>
      <c r="I572" s="82"/>
      <c r="J572" s="82"/>
      <c r="K572" s="82"/>
      <c r="L572" s="82"/>
      <c r="M572" s="82"/>
      <c r="N572" s="82"/>
      <c r="O572" s="82"/>
      <c r="P572" s="82"/>
      <c r="Q572" s="82"/>
      <c r="R572" s="82"/>
      <c r="S572" s="82"/>
      <c r="T572" s="82"/>
      <c r="U572" s="82"/>
      <c r="V572" s="82"/>
      <c r="W572" s="82"/>
      <c r="X572" s="82"/>
      <c r="Y572" s="82"/>
      <c r="Z572" s="82"/>
      <c r="AA572" s="82"/>
      <c r="AB572" s="82"/>
    </row>
    <row r="573" spans="3:28" ht="13.2" x14ac:dyDescent="0.55000000000000004">
      <c r="C573" s="82"/>
      <c r="D573" s="82"/>
      <c r="E573" s="82"/>
      <c r="F573" s="82"/>
      <c r="G573" s="82"/>
      <c r="H573" s="82"/>
      <c r="I573" s="82"/>
      <c r="J573" s="82"/>
      <c r="K573" s="82"/>
      <c r="L573" s="82"/>
      <c r="M573" s="82"/>
      <c r="N573" s="82"/>
      <c r="O573" s="82"/>
      <c r="P573" s="82"/>
      <c r="Q573" s="82"/>
      <c r="R573" s="82"/>
      <c r="S573" s="82"/>
      <c r="T573" s="82"/>
      <c r="U573" s="82"/>
      <c r="V573" s="82"/>
      <c r="W573" s="82"/>
      <c r="X573" s="82"/>
      <c r="Y573" s="82"/>
      <c r="Z573" s="82"/>
      <c r="AA573" s="82"/>
      <c r="AB573" s="82"/>
    </row>
    <row r="574" spans="3:28" ht="13.2" x14ac:dyDescent="0.55000000000000004">
      <c r="C574" s="82"/>
      <c r="D574" s="82"/>
      <c r="E574" s="82"/>
      <c r="F574" s="82"/>
      <c r="G574" s="82"/>
      <c r="H574" s="82"/>
      <c r="I574" s="82"/>
      <c r="J574" s="82"/>
      <c r="K574" s="82"/>
      <c r="L574" s="82"/>
      <c r="M574" s="82"/>
      <c r="N574" s="82"/>
      <c r="O574" s="82"/>
      <c r="P574" s="82"/>
      <c r="Q574" s="82"/>
      <c r="R574" s="82"/>
      <c r="S574" s="82"/>
      <c r="T574" s="82"/>
      <c r="U574" s="82"/>
      <c r="V574" s="82"/>
      <c r="W574" s="82"/>
      <c r="X574" s="82"/>
      <c r="Y574" s="82"/>
      <c r="Z574" s="82"/>
      <c r="AA574" s="82"/>
      <c r="AB574" s="82"/>
    </row>
    <row r="575" spans="3:28" ht="13.2" x14ac:dyDescent="0.55000000000000004">
      <c r="C575" s="82"/>
      <c r="D575" s="82"/>
      <c r="E575" s="82"/>
      <c r="F575" s="82"/>
      <c r="G575" s="82"/>
      <c r="H575" s="82"/>
      <c r="I575" s="82"/>
      <c r="J575" s="82"/>
      <c r="K575" s="82"/>
      <c r="L575" s="82"/>
      <c r="M575" s="82"/>
      <c r="N575" s="82"/>
      <c r="O575" s="82"/>
      <c r="P575" s="82"/>
      <c r="Q575" s="82"/>
      <c r="R575" s="82"/>
      <c r="S575" s="82"/>
      <c r="T575" s="82"/>
      <c r="U575" s="82"/>
      <c r="V575" s="82"/>
      <c r="W575" s="82"/>
      <c r="X575" s="82"/>
      <c r="Y575" s="82"/>
      <c r="Z575" s="82"/>
      <c r="AA575" s="82"/>
      <c r="AB575" s="82"/>
    </row>
    <row r="576" spans="3:28" ht="13.2" x14ac:dyDescent="0.55000000000000004"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2"/>
      <c r="N576" s="82"/>
      <c r="O576" s="82"/>
      <c r="P576" s="82"/>
      <c r="Q576" s="82"/>
      <c r="R576" s="82"/>
      <c r="S576" s="82"/>
      <c r="T576" s="82"/>
      <c r="U576" s="82"/>
      <c r="V576" s="82"/>
      <c r="W576" s="82"/>
      <c r="X576" s="82"/>
      <c r="Y576" s="82"/>
      <c r="Z576" s="82"/>
      <c r="AA576" s="82"/>
      <c r="AB576" s="82"/>
    </row>
    <row r="577" spans="3:28" ht="13.2" x14ac:dyDescent="0.55000000000000004">
      <c r="C577" s="82"/>
      <c r="D577" s="82"/>
      <c r="E577" s="82"/>
      <c r="F577" s="82"/>
      <c r="G577" s="82"/>
      <c r="H577" s="82"/>
      <c r="I577" s="82"/>
      <c r="J577" s="82"/>
      <c r="K577" s="82"/>
      <c r="L577" s="82"/>
      <c r="M577" s="82"/>
      <c r="N577" s="82"/>
      <c r="O577" s="82"/>
      <c r="P577" s="82"/>
      <c r="Q577" s="82"/>
      <c r="R577" s="82"/>
      <c r="S577" s="82"/>
      <c r="T577" s="82"/>
      <c r="U577" s="82"/>
      <c r="V577" s="82"/>
      <c r="W577" s="82"/>
      <c r="X577" s="82"/>
      <c r="Y577" s="82"/>
      <c r="Z577" s="82"/>
      <c r="AA577" s="82"/>
      <c r="AB577" s="82"/>
    </row>
    <row r="578" spans="3:28" ht="13.2" x14ac:dyDescent="0.55000000000000004"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2"/>
      <c r="N578" s="82"/>
      <c r="O578" s="82"/>
      <c r="P578" s="82"/>
      <c r="Q578" s="82"/>
      <c r="R578" s="82"/>
      <c r="S578" s="82"/>
      <c r="T578" s="82"/>
      <c r="U578" s="82"/>
      <c r="V578" s="82"/>
      <c r="W578" s="82"/>
      <c r="X578" s="82"/>
      <c r="Y578" s="82"/>
      <c r="Z578" s="82"/>
      <c r="AA578" s="82"/>
      <c r="AB578" s="82"/>
    </row>
    <row r="579" spans="3:28" ht="13.2" x14ac:dyDescent="0.55000000000000004">
      <c r="C579" s="82"/>
      <c r="D579" s="82"/>
      <c r="E579" s="82"/>
      <c r="F579" s="82"/>
      <c r="G579" s="82"/>
      <c r="H579" s="82"/>
      <c r="I579" s="82"/>
      <c r="J579" s="82"/>
      <c r="K579" s="82"/>
      <c r="L579" s="82"/>
      <c r="M579" s="82"/>
      <c r="N579" s="82"/>
      <c r="O579" s="82"/>
      <c r="P579" s="82"/>
      <c r="Q579" s="82"/>
      <c r="R579" s="82"/>
      <c r="S579" s="82"/>
      <c r="T579" s="82"/>
      <c r="U579" s="82"/>
      <c r="V579" s="82"/>
      <c r="W579" s="82"/>
      <c r="X579" s="82"/>
      <c r="Y579" s="82"/>
      <c r="Z579" s="82"/>
      <c r="AA579" s="82"/>
      <c r="AB579" s="82"/>
    </row>
    <row r="580" spans="3:28" ht="13.2" x14ac:dyDescent="0.55000000000000004"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2"/>
      <c r="N580" s="82"/>
      <c r="O580" s="82"/>
      <c r="P580" s="82"/>
      <c r="Q580" s="82"/>
      <c r="R580" s="82"/>
      <c r="S580" s="82"/>
      <c r="T580" s="82"/>
      <c r="U580" s="82"/>
      <c r="V580" s="82"/>
      <c r="W580" s="82"/>
      <c r="X580" s="82"/>
      <c r="Y580" s="82"/>
      <c r="Z580" s="82"/>
      <c r="AA580" s="82"/>
      <c r="AB580" s="82"/>
    </row>
    <row r="581" spans="3:28" ht="13.2" x14ac:dyDescent="0.55000000000000004">
      <c r="C581" s="82"/>
      <c r="D581" s="82"/>
      <c r="E581" s="82"/>
      <c r="F581" s="82"/>
      <c r="G581" s="82"/>
      <c r="H581" s="82"/>
      <c r="I581" s="82"/>
      <c r="J581" s="82"/>
      <c r="K581" s="82"/>
      <c r="L581" s="82"/>
      <c r="M581" s="82"/>
      <c r="N581" s="82"/>
      <c r="O581" s="82"/>
      <c r="P581" s="82"/>
      <c r="Q581" s="82"/>
      <c r="R581" s="82"/>
      <c r="S581" s="82"/>
      <c r="T581" s="82"/>
      <c r="U581" s="82"/>
      <c r="V581" s="82"/>
      <c r="W581" s="82"/>
      <c r="X581" s="82"/>
      <c r="Y581" s="82"/>
      <c r="Z581" s="82"/>
      <c r="AA581" s="82"/>
      <c r="AB581" s="82"/>
    </row>
    <row r="582" spans="3:28" ht="13.2" x14ac:dyDescent="0.55000000000000004"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2"/>
      <c r="N582" s="82"/>
      <c r="O582" s="82"/>
      <c r="P582" s="82"/>
      <c r="Q582" s="82"/>
      <c r="R582" s="82"/>
      <c r="S582" s="82"/>
      <c r="T582" s="82"/>
      <c r="U582" s="82"/>
      <c r="V582" s="82"/>
      <c r="W582" s="82"/>
      <c r="X582" s="82"/>
      <c r="Y582" s="82"/>
      <c r="Z582" s="82"/>
      <c r="AA582" s="82"/>
      <c r="AB582" s="82"/>
    </row>
    <row r="583" spans="3:28" ht="13.2" x14ac:dyDescent="0.55000000000000004">
      <c r="C583" s="82"/>
      <c r="D583" s="82"/>
      <c r="E583" s="82"/>
      <c r="F583" s="82"/>
      <c r="G583" s="82"/>
      <c r="H583" s="82"/>
      <c r="I583" s="82"/>
      <c r="J583" s="82"/>
      <c r="K583" s="82"/>
      <c r="L583" s="82"/>
      <c r="M583" s="82"/>
      <c r="N583" s="82"/>
      <c r="O583" s="82"/>
      <c r="P583" s="82"/>
      <c r="Q583" s="82"/>
      <c r="R583" s="82"/>
      <c r="S583" s="82"/>
      <c r="T583" s="82"/>
      <c r="U583" s="82"/>
      <c r="V583" s="82"/>
      <c r="W583" s="82"/>
      <c r="X583" s="82"/>
      <c r="Y583" s="82"/>
      <c r="Z583" s="82"/>
      <c r="AA583" s="82"/>
      <c r="AB583" s="82"/>
    </row>
    <row r="584" spans="3:28" ht="13.2" x14ac:dyDescent="0.55000000000000004"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82"/>
      <c r="O584" s="82"/>
      <c r="P584" s="82"/>
      <c r="Q584" s="82"/>
      <c r="R584" s="82"/>
      <c r="S584" s="82"/>
      <c r="T584" s="82"/>
      <c r="U584" s="82"/>
      <c r="V584" s="82"/>
      <c r="W584" s="82"/>
      <c r="X584" s="82"/>
      <c r="Y584" s="82"/>
      <c r="Z584" s="82"/>
      <c r="AA584" s="82"/>
      <c r="AB584" s="82"/>
    </row>
    <row r="585" spans="3:28" ht="13.2" x14ac:dyDescent="0.55000000000000004"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2"/>
      <c r="N585" s="82"/>
      <c r="O585" s="82"/>
      <c r="P585" s="82"/>
      <c r="Q585" s="82"/>
      <c r="R585" s="82"/>
      <c r="S585" s="82"/>
      <c r="T585" s="82"/>
      <c r="U585" s="82"/>
      <c r="V585" s="82"/>
      <c r="W585" s="82"/>
      <c r="X585" s="82"/>
      <c r="Y585" s="82"/>
      <c r="Z585" s="82"/>
      <c r="AA585" s="82"/>
      <c r="AB585" s="82"/>
    </row>
    <row r="586" spans="3:28" ht="13.2" x14ac:dyDescent="0.55000000000000004"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82"/>
      <c r="O586" s="82"/>
      <c r="P586" s="82"/>
      <c r="Q586" s="82"/>
      <c r="R586" s="82"/>
      <c r="S586" s="82"/>
      <c r="T586" s="82"/>
      <c r="U586" s="82"/>
      <c r="V586" s="82"/>
      <c r="W586" s="82"/>
      <c r="X586" s="82"/>
      <c r="Y586" s="82"/>
      <c r="Z586" s="82"/>
      <c r="AA586" s="82"/>
      <c r="AB586" s="82"/>
    </row>
    <row r="587" spans="3:28" ht="13.2" x14ac:dyDescent="0.55000000000000004"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2"/>
      <c r="N587" s="82"/>
      <c r="O587" s="82"/>
      <c r="P587" s="82"/>
      <c r="Q587" s="82"/>
      <c r="R587" s="82"/>
      <c r="S587" s="82"/>
      <c r="T587" s="82"/>
      <c r="U587" s="82"/>
      <c r="V587" s="82"/>
      <c r="W587" s="82"/>
      <c r="X587" s="82"/>
      <c r="Y587" s="82"/>
      <c r="Z587" s="82"/>
      <c r="AA587" s="82"/>
      <c r="AB587" s="82"/>
    </row>
    <row r="588" spans="3:28" ht="13.2" x14ac:dyDescent="0.55000000000000004"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/>
      <c r="N588" s="82"/>
      <c r="O588" s="82"/>
      <c r="P588" s="82"/>
      <c r="Q588" s="82"/>
      <c r="R588" s="82"/>
      <c r="S588" s="82"/>
      <c r="T588" s="82"/>
      <c r="U588" s="82"/>
      <c r="V588" s="82"/>
      <c r="W588" s="82"/>
      <c r="X588" s="82"/>
      <c r="Y588" s="82"/>
      <c r="Z588" s="82"/>
      <c r="AA588" s="82"/>
      <c r="AB588" s="82"/>
    </row>
    <row r="589" spans="3:28" ht="13.2" x14ac:dyDescent="0.55000000000000004"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2"/>
      <c r="N589" s="82"/>
      <c r="O589" s="82"/>
      <c r="P589" s="82"/>
      <c r="Q589" s="82"/>
      <c r="R589" s="82"/>
      <c r="S589" s="82"/>
      <c r="T589" s="82"/>
      <c r="U589" s="82"/>
      <c r="V589" s="82"/>
      <c r="W589" s="82"/>
      <c r="X589" s="82"/>
      <c r="Y589" s="82"/>
      <c r="Z589" s="82"/>
      <c r="AA589" s="82"/>
      <c r="AB589" s="82"/>
    </row>
    <row r="590" spans="3:28" ht="13.2" x14ac:dyDescent="0.55000000000000004"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/>
      <c r="N590" s="82"/>
      <c r="O590" s="82"/>
      <c r="P590" s="82"/>
      <c r="Q590" s="82"/>
      <c r="R590" s="82"/>
      <c r="S590" s="82"/>
      <c r="T590" s="82"/>
      <c r="U590" s="82"/>
      <c r="V590" s="82"/>
      <c r="W590" s="82"/>
      <c r="X590" s="82"/>
      <c r="Y590" s="82"/>
      <c r="Z590" s="82"/>
      <c r="AA590" s="82"/>
      <c r="AB590" s="82"/>
    </row>
    <row r="591" spans="3:28" ht="13.2" x14ac:dyDescent="0.55000000000000004">
      <c r="C591" s="82"/>
      <c r="D591" s="82"/>
      <c r="E591" s="82"/>
      <c r="F591" s="82"/>
      <c r="G591" s="82"/>
      <c r="H591" s="82"/>
      <c r="I591" s="82"/>
      <c r="J591" s="82"/>
      <c r="K591" s="82"/>
      <c r="L591" s="82"/>
      <c r="M591" s="82"/>
      <c r="N591" s="82"/>
      <c r="O591" s="82"/>
      <c r="P591" s="82"/>
      <c r="Q591" s="82"/>
      <c r="R591" s="82"/>
      <c r="S591" s="82"/>
      <c r="T591" s="82"/>
      <c r="U591" s="82"/>
      <c r="V591" s="82"/>
      <c r="W591" s="82"/>
      <c r="X591" s="82"/>
      <c r="Y591" s="82"/>
      <c r="Z591" s="82"/>
      <c r="AA591" s="82"/>
      <c r="AB591" s="82"/>
    </row>
    <row r="592" spans="3:28" ht="13.2" x14ac:dyDescent="0.55000000000000004"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2"/>
      <c r="N592" s="82"/>
      <c r="O592" s="82"/>
      <c r="P592" s="82"/>
      <c r="Q592" s="82"/>
      <c r="R592" s="82"/>
      <c r="S592" s="82"/>
      <c r="T592" s="82"/>
      <c r="U592" s="82"/>
      <c r="V592" s="82"/>
      <c r="W592" s="82"/>
      <c r="X592" s="82"/>
      <c r="Y592" s="82"/>
      <c r="Z592" s="82"/>
      <c r="AA592" s="82"/>
      <c r="AB592" s="82"/>
    </row>
    <row r="593" spans="3:28" ht="13.2" x14ac:dyDescent="0.55000000000000004">
      <c r="C593" s="82"/>
      <c r="D593" s="82"/>
      <c r="E593" s="82"/>
      <c r="F593" s="82"/>
      <c r="G593" s="82"/>
      <c r="H593" s="82"/>
      <c r="I593" s="82"/>
      <c r="J593" s="82"/>
      <c r="K593" s="82"/>
      <c r="L593" s="82"/>
      <c r="M593" s="82"/>
      <c r="N593" s="82"/>
      <c r="O593" s="82"/>
      <c r="P593" s="82"/>
      <c r="Q593" s="82"/>
      <c r="R593" s="82"/>
      <c r="S593" s="82"/>
      <c r="T593" s="82"/>
      <c r="U593" s="82"/>
      <c r="V593" s="82"/>
      <c r="W593" s="82"/>
      <c r="X593" s="82"/>
      <c r="Y593" s="82"/>
      <c r="Z593" s="82"/>
      <c r="AA593" s="82"/>
      <c r="AB593" s="82"/>
    </row>
    <row r="594" spans="3:28" ht="13.2" x14ac:dyDescent="0.55000000000000004"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2"/>
      <c r="N594" s="82"/>
      <c r="O594" s="82"/>
      <c r="P594" s="82"/>
      <c r="Q594" s="82"/>
      <c r="R594" s="82"/>
      <c r="S594" s="82"/>
      <c r="T594" s="82"/>
      <c r="U594" s="82"/>
      <c r="V594" s="82"/>
      <c r="W594" s="82"/>
      <c r="X594" s="82"/>
      <c r="Y594" s="82"/>
      <c r="Z594" s="82"/>
      <c r="AA594" s="82"/>
      <c r="AB594" s="82"/>
    </row>
    <row r="595" spans="3:28" ht="13.2" x14ac:dyDescent="0.55000000000000004">
      <c r="C595" s="82"/>
      <c r="D595" s="82"/>
      <c r="E595" s="82"/>
      <c r="F595" s="82"/>
      <c r="G595" s="82"/>
      <c r="H595" s="82"/>
      <c r="I595" s="82"/>
      <c r="J595" s="82"/>
      <c r="K595" s="82"/>
      <c r="L595" s="82"/>
      <c r="M595" s="82"/>
      <c r="N595" s="82"/>
      <c r="O595" s="82"/>
      <c r="P595" s="82"/>
      <c r="Q595" s="82"/>
      <c r="R595" s="82"/>
      <c r="S595" s="82"/>
      <c r="T595" s="82"/>
      <c r="U595" s="82"/>
      <c r="V595" s="82"/>
      <c r="W595" s="82"/>
      <c r="X595" s="82"/>
      <c r="Y595" s="82"/>
      <c r="Z595" s="82"/>
      <c r="AA595" s="82"/>
      <c r="AB595" s="82"/>
    </row>
    <row r="596" spans="3:28" ht="13.2" x14ac:dyDescent="0.55000000000000004"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2"/>
      <c r="N596" s="82"/>
      <c r="O596" s="82"/>
      <c r="P596" s="82"/>
      <c r="Q596" s="82"/>
      <c r="R596" s="82"/>
      <c r="S596" s="82"/>
      <c r="T596" s="82"/>
      <c r="U596" s="82"/>
      <c r="V596" s="82"/>
      <c r="W596" s="82"/>
      <c r="X596" s="82"/>
      <c r="Y596" s="82"/>
      <c r="Z596" s="82"/>
      <c r="AA596" s="82"/>
      <c r="AB596" s="82"/>
    </row>
    <row r="597" spans="3:28" ht="13.2" x14ac:dyDescent="0.55000000000000004">
      <c r="C597" s="82"/>
      <c r="D597" s="82"/>
      <c r="E597" s="82"/>
      <c r="F597" s="82"/>
      <c r="G597" s="82"/>
      <c r="H597" s="82"/>
      <c r="I597" s="82"/>
      <c r="J597" s="82"/>
      <c r="K597" s="82"/>
      <c r="L597" s="82"/>
      <c r="M597" s="82"/>
      <c r="N597" s="82"/>
      <c r="O597" s="82"/>
      <c r="P597" s="82"/>
      <c r="Q597" s="82"/>
      <c r="R597" s="82"/>
      <c r="S597" s="82"/>
      <c r="T597" s="82"/>
      <c r="U597" s="82"/>
      <c r="V597" s="82"/>
      <c r="W597" s="82"/>
      <c r="X597" s="82"/>
      <c r="Y597" s="82"/>
      <c r="Z597" s="82"/>
      <c r="AA597" s="82"/>
      <c r="AB597" s="82"/>
    </row>
    <row r="598" spans="3:28" ht="13.2" x14ac:dyDescent="0.55000000000000004"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2"/>
      <c r="N598" s="82"/>
      <c r="O598" s="82"/>
      <c r="P598" s="82"/>
      <c r="Q598" s="82"/>
      <c r="R598" s="82"/>
      <c r="S598" s="82"/>
      <c r="T598" s="82"/>
      <c r="U598" s="82"/>
      <c r="V598" s="82"/>
      <c r="W598" s="82"/>
      <c r="X598" s="82"/>
      <c r="Y598" s="82"/>
      <c r="Z598" s="82"/>
      <c r="AA598" s="82"/>
      <c r="AB598" s="82"/>
    </row>
    <row r="599" spans="3:28" ht="13.2" x14ac:dyDescent="0.55000000000000004">
      <c r="C599" s="82"/>
      <c r="D599" s="82"/>
      <c r="E599" s="82"/>
      <c r="F599" s="82"/>
      <c r="G599" s="82"/>
      <c r="H599" s="82"/>
      <c r="I599" s="82"/>
      <c r="J599" s="82"/>
      <c r="K599" s="82"/>
      <c r="L599" s="82"/>
      <c r="M599" s="82"/>
      <c r="N599" s="82"/>
      <c r="O599" s="82"/>
      <c r="P599" s="82"/>
      <c r="Q599" s="82"/>
      <c r="R599" s="82"/>
      <c r="S599" s="82"/>
      <c r="T599" s="82"/>
      <c r="U599" s="82"/>
      <c r="V599" s="82"/>
      <c r="W599" s="82"/>
      <c r="X599" s="82"/>
      <c r="Y599" s="82"/>
      <c r="Z599" s="82"/>
      <c r="AA599" s="82"/>
      <c r="AB599" s="82"/>
    </row>
    <row r="600" spans="3:28" ht="13.2" x14ac:dyDescent="0.55000000000000004"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2"/>
      <c r="N600" s="82"/>
      <c r="O600" s="82"/>
      <c r="P600" s="82"/>
      <c r="Q600" s="82"/>
      <c r="R600" s="82"/>
      <c r="S600" s="82"/>
      <c r="T600" s="82"/>
      <c r="U600" s="82"/>
      <c r="V600" s="82"/>
      <c r="W600" s="82"/>
      <c r="X600" s="82"/>
      <c r="Y600" s="82"/>
      <c r="Z600" s="82"/>
      <c r="AA600" s="82"/>
      <c r="AB600" s="82"/>
    </row>
    <row r="601" spans="3:28" ht="13.2" x14ac:dyDescent="0.55000000000000004">
      <c r="C601" s="82"/>
      <c r="D601" s="82"/>
      <c r="E601" s="82"/>
      <c r="F601" s="82"/>
      <c r="G601" s="82"/>
      <c r="H601" s="82"/>
      <c r="I601" s="82"/>
      <c r="J601" s="82"/>
      <c r="K601" s="82"/>
      <c r="L601" s="82"/>
      <c r="M601" s="82"/>
      <c r="N601" s="82"/>
      <c r="O601" s="82"/>
      <c r="P601" s="82"/>
      <c r="Q601" s="82"/>
      <c r="R601" s="82"/>
      <c r="S601" s="82"/>
      <c r="T601" s="82"/>
      <c r="U601" s="82"/>
      <c r="V601" s="82"/>
      <c r="W601" s="82"/>
      <c r="X601" s="82"/>
      <c r="Y601" s="82"/>
      <c r="Z601" s="82"/>
      <c r="AA601" s="82"/>
      <c r="AB601" s="82"/>
    </row>
    <row r="602" spans="3:28" ht="13.2" x14ac:dyDescent="0.55000000000000004"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2"/>
      <c r="N602" s="82"/>
      <c r="O602" s="82"/>
      <c r="P602" s="82"/>
      <c r="Q602" s="82"/>
      <c r="R602" s="82"/>
      <c r="S602" s="82"/>
      <c r="T602" s="82"/>
      <c r="U602" s="82"/>
      <c r="V602" s="82"/>
      <c r="W602" s="82"/>
      <c r="X602" s="82"/>
      <c r="Y602" s="82"/>
      <c r="Z602" s="82"/>
      <c r="AA602" s="82"/>
      <c r="AB602" s="82"/>
    </row>
    <row r="603" spans="3:28" ht="13.2" x14ac:dyDescent="0.55000000000000004"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2"/>
      <c r="N603" s="82"/>
      <c r="O603" s="82"/>
      <c r="P603" s="82"/>
      <c r="Q603" s="82"/>
      <c r="R603" s="82"/>
      <c r="S603" s="82"/>
      <c r="T603" s="82"/>
      <c r="U603" s="82"/>
      <c r="V603" s="82"/>
      <c r="W603" s="82"/>
      <c r="X603" s="82"/>
      <c r="Y603" s="82"/>
      <c r="Z603" s="82"/>
      <c r="AA603" s="82"/>
      <c r="AB603" s="82"/>
    </row>
    <row r="604" spans="3:28" ht="13.2" x14ac:dyDescent="0.55000000000000004"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82"/>
      <c r="O604" s="82"/>
      <c r="P604" s="82"/>
      <c r="Q604" s="82"/>
      <c r="R604" s="82"/>
      <c r="S604" s="82"/>
      <c r="T604" s="82"/>
      <c r="U604" s="82"/>
      <c r="V604" s="82"/>
      <c r="W604" s="82"/>
      <c r="X604" s="82"/>
      <c r="Y604" s="82"/>
      <c r="Z604" s="82"/>
      <c r="AA604" s="82"/>
      <c r="AB604" s="82"/>
    </row>
    <row r="605" spans="3:28" ht="13.2" x14ac:dyDescent="0.55000000000000004"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2"/>
      <c r="N605" s="82"/>
      <c r="O605" s="82"/>
      <c r="P605" s="82"/>
      <c r="Q605" s="82"/>
      <c r="R605" s="82"/>
      <c r="S605" s="82"/>
      <c r="T605" s="82"/>
      <c r="U605" s="82"/>
      <c r="V605" s="82"/>
      <c r="W605" s="82"/>
      <c r="X605" s="82"/>
      <c r="Y605" s="82"/>
      <c r="Z605" s="82"/>
      <c r="AA605" s="82"/>
      <c r="AB605" s="82"/>
    </row>
    <row r="606" spans="3:28" ht="13.2" x14ac:dyDescent="0.55000000000000004"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82"/>
      <c r="Z606" s="82"/>
      <c r="AA606" s="82"/>
      <c r="AB606" s="82"/>
    </row>
    <row r="607" spans="3:28" ht="13.2" x14ac:dyDescent="0.55000000000000004"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2"/>
      <c r="N607" s="82"/>
      <c r="O607" s="82"/>
      <c r="P607" s="82"/>
      <c r="Q607" s="82"/>
      <c r="R607" s="82"/>
      <c r="S607" s="82"/>
      <c r="T607" s="82"/>
      <c r="U607" s="82"/>
      <c r="V607" s="82"/>
      <c r="W607" s="82"/>
      <c r="X607" s="82"/>
      <c r="Y607" s="82"/>
      <c r="Z607" s="82"/>
      <c r="AA607" s="82"/>
      <c r="AB607" s="82"/>
    </row>
    <row r="608" spans="3:28" ht="13.2" x14ac:dyDescent="0.55000000000000004"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/>
      <c r="N608" s="82"/>
      <c r="O608" s="82"/>
      <c r="P608" s="82"/>
      <c r="Q608" s="82"/>
      <c r="R608" s="82"/>
      <c r="S608" s="82"/>
      <c r="T608" s="82"/>
      <c r="U608" s="82"/>
      <c r="V608" s="82"/>
      <c r="W608" s="82"/>
      <c r="X608" s="82"/>
      <c r="Y608" s="82"/>
      <c r="Z608" s="82"/>
      <c r="AA608" s="82"/>
      <c r="AB608" s="82"/>
    </row>
    <row r="609" spans="3:28" ht="13.2" x14ac:dyDescent="0.55000000000000004"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2"/>
      <c r="N609" s="82"/>
      <c r="O609" s="82"/>
      <c r="P609" s="82"/>
      <c r="Q609" s="82"/>
      <c r="R609" s="82"/>
      <c r="S609" s="82"/>
      <c r="T609" s="82"/>
      <c r="U609" s="82"/>
      <c r="V609" s="82"/>
      <c r="W609" s="82"/>
      <c r="X609" s="82"/>
      <c r="Y609" s="82"/>
      <c r="Z609" s="82"/>
      <c r="AA609" s="82"/>
      <c r="AB609" s="82"/>
    </row>
    <row r="610" spans="3:28" ht="13.2" x14ac:dyDescent="0.55000000000000004"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2"/>
      <c r="N610" s="82"/>
      <c r="O610" s="82"/>
      <c r="P610" s="82"/>
      <c r="Q610" s="82"/>
      <c r="R610" s="82"/>
      <c r="S610" s="82"/>
      <c r="T610" s="82"/>
      <c r="U610" s="82"/>
      <c r="V610" s="82"/>
      <c r="W610" s="82"/>
      <c r="X610" s="82"/>
      <c r="Y610" s="82"/>
      <c r="Z610" s="82"/>
      <c r="AA610" s="82"/>
      <c r="AB610" s="82"/>
    </row>
    <row r="611" spans="3:28" ht="13.2" x14ac:dyDescent="0.55000000000000004">
      <c r="C611" s="82"/>
      <c r="D611" s="82"/>
      <c r="E611" s="82"/>
      <c r="F611" s="82"/>
      <c r="G611" s="82"/>
      <c r="H611" s="82"/>
      <c r="I611" s="82"/>
      <c r="J611" s="82"/>
      <c r="K611" s="82"/>
      <c r="L611" s="82"/>
      <c r="M611" s="82"/>
      <c r="N611" s="82"/>
      <c r="O611" s="82"/>
      <c r="P611" s="82"/>
      <c r="Q611" s="82"/>
      <c r="R611" s="82"/>
      <c r="S611" s="82"/>
      <c r="T611" s="82"/>
      <c r="U611" s="82"/>
      <c r="V611" s="82"/>
      <c r="W611" s="82"/>
      <c r="X611" s="82"/>
      <c r="Y611" s="82"/>
      <c r="Z611" s="82"/>
      <c r="AA611" s="82"/>
      <c r="AB611" s="82"/>
    </row>
    <row r="612" spans="3:28" ht="13.2" x14ac:dyDescent="0.55000000000000004"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2"/>
      <c r="N612" s="82"/>
      <c r="O612" s="82"/>
      <c r="P612" s="82"/>
      <c r="Q612" s="82"/>
      <c r="R612" s="82"/>
      <c r="S612" s="82"/>
      <c r="T612" s="82"/>
      <c r="U612" s="82"/>
      <c r="V612" s="82"/>
      <c r="W612" s="82"/>
      <c r="X612" s="82"/>
      <c r="Y612" s="82"/>
      <c r="Z612" s="82"/>
      <c r="AA612" s="82"/>
      <c r="AB612" s="82"/>
    </row>
    <row r="613" spans="3:28" ht="13.2" x14ac:dyDescent="0.55000000000000004">
      <c r="C613" s="82"/>
      <c r="D613" s="82"/>
      <c r="E613" s="82"/>
      <c r="F613" s="82"/>
      <c r="G613" s="82"/>
      <c r="H613" s="82"/>
      <c r="I613" s="82"/>
      <c r="J613" s="82"/>
      <c r="K613" s="82"/>
      <c r="L613" s="82"/>
      <c r="M613" s="82"/>
      <c r="N613" s="82"/>
      <c r="O613" s="82"/>
      <c r="P613" s="82"/>
      <c r="Q613" s="82"/>
      <c r="R613" s="82"/>
      <c r="S613" s="82"/>
      <c r="T613" s="82"/>
      <c r="U613" s="82"/>
      <c r="V613" s="82"/>
      <c r="W613" s="82"/>
      <c r="X613" s="82"/>
      <c r="Y613" s="82"/>
      <c r="Z613" s="82"/>
      <c r="AA613" s="82"/>
      <c r="AB613" s="82"/>
    </row>
    <row r="614" spans="3:28" ht="13.2" x14ac:dyDescent="0.55000000000000004"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2"/>
      <c r="N614" s="82"/>
      <c r="O614" s="82"/>
      <c r="P614" s="82"/>
      <c r="Q614" s="82"/>
      <c r="R614" s="82"/>
      <c r="S614" s="82"/>
      <c r="T614" s="82"/>
      <c r="U614" s="82"/>
      <c r="V614" s="82"/>
      <c r="W614" s="82"/>
      <c r="X614" s="82"/>
      <c r="Y614" s="82"/>
      <c r="Z614" s="82"/>
      <c r="AA614" s="82"/>
      <c r="AB614" s="82"/>
    </row>
    <row r="615" spans="3:28" ht="13.2" x14ac:dyDescent="0.55000000000000004">
      <c r="C615" s="82"/>
      <c r="D615" s="82"/>
      <c r="E615" s="82"/>
      <c r="F615" s="82"/>
      <c r="G615" s="82"/>
      <c r="H615" s="82"/>
      <c r="I615" s="82"/>
      <c r="J615" s="82"/>
      <c r="K615" s="82"/>
      <c r="L615" s="82"/>
      <c r="M615" s="82"/>
      <c r="N615" s="82"/>
      <c r="O615" s="82"/>
      <c r="P615" s="82"/>
      <c r="Q615" s="82"/>
      <c r="R615" s="82"/>
      <c r="S615" s="82"/>
      <c r="T615" s="82"/>
      <c r="U615" s="82"/>
      <c r="V615" s="82"/>
      <c r="W615" s="82"/>
      <c r="X615" s="82"/>
      <c r="Y615" s="82"/>
      <c r="Z615" s="82"/>
      <c r="AA615" s="82"/>
      <c r="AB615" s="82"/>
    </row>
    <row r="616" spans="3:28" ht="13.2" x14ac:dyDescent="0.55000000000000004"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2"/>
      <c r="N616" s="82"/>
      <c r="O616" s="82"/>
      <c r="P616" s="82"/>
      <c r="Q616" s="82"/>
      <c r="R616" s="82"/>
      <c r="S616" s="82"/>
      <c r="T616" s="82"/>
      <c r="U616" s="82"/>
      <c r="V616" s="82"/>
      <c r="W616" s="82"/>
      <c r="X616" s="82"/>
      <c r="Y616" s="82"/>
      <c r="Z616" s="82"/>
      <c r="AA616" s="82"/>
      <c r="AB616" s="82"/>
    </row>
    <row r="617" spans="3:28" ht="13.2" x14ac:dyDescent="0.55000000000000004">
      <c r="C617" s="82"/>
      <c r="D617" s="82"/>
      <c r="E617" s="82"/>
      <c r="F617" s="82"/>
      <c r="G617" s="82"/>
      <c r="H617" s="82"/>
      <c r="I617" s="82"/>
      <c r="J617" s="82"/>
      <c r="K617" s="82"/>
      <c r="L617" s="82"/>
      <c r="M617" s="82"/>
      <c r="N617" s="82"/>
      <c r="O617" s="82"/>
      <c r="P617" s="82"/>
      <c r="Q617" s="82"/>
      <c r="R617" s="82"/>
      <c r="S617" s="82"/>
      <c r="T617" s="82"/>
      <c r="U617" s="82"/>
      <c r="V617" s="82"/>
      <c r="W617" s="82"/>
      <c r="X617" s="82"/>
      <c r="Y617" s="82"/>
      <c r="Z617" s="82"/>
      <c r="AA617" s="82"/>
      <c r="AB617" s="82"/>
    </row>
    <row r="618" spans="3:28" ht="13.2" x14ac:dyDescent="0.55000000000000004"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2"/>
      <c r="N618" s="82"/>
      <c r="O618" s="82"/>
      <c r="P618" s="82"/>
      <c r="Q618" s="82"/>
      <c r="R618" s="82"/>
      <c r="S618" s="82"/>
      <c r="T618" s="82"/>
      <c r="U618" s="82"/>
      <c r="V618" s="82"/>
      <c r="W618" s="82"/>
      <c r="X618" s="82"/>
      <c r="Y618" s="82"/>
      <c r="Z618" s="82"/>
      <c r="AA618" s="82"/>
      <c r="AB618" s="82"/>
    </row>
    <row r="619" spans="3:28" ht="13.2" x14ac:dyDescent="0.55000000000000004">
      <c r="C619" s="82"/>
      <c r="D619" s="82"/>
      <c r="E619" s="82"/>
      <c r="F619" s="82"/>
      <c r="G619" s="82"/>
      <c r="H619" s="82"/>
      <c r="I619" s="82"/>
      <c r="J619" s="82"/>
      <c r="K619" s="82"/>
      <c r="L619" s="82"/>
      <c r="M619" s="82"/>
      <c r="N619" s="82"/>
      <c r="O619" s="82"/>
      <c r="P619" s="82"/>
      <c r="Q619" s="82"/>
      <c r="R619" s="82"/>
      <c r="S619" s="82"/>
      <c r="T619" s="82"/>
      <c r="U619" s="82"/>
      <c r="V619" s="82"/>
      <c r="W619" s="82"/>
      <c r="X619" s="82"/>
      <c r="Y619" s="82"/>
      <c r="Z619" s="82"/>
      <c r="AA619" s="82"/>
      <c r="AB619" s="82"/>
    </row>
    <row r="620" spans="3:28" ht="13.2" x14ac:dyDescent="0.55000000000000004"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2"/>
      <c r="N620" s="82"/>
      <c r="O620" s="82"/>
      <c r="P620" s="82"/>
      <c r="Q620" s="82"/>
      <c r="R620" s="82"/>
      <c r="S620" s="82"/>
      <c r="T620" s="82"/>
      <c r="U620" s="82"/>
      <c r="V620" s="82"/>
      <c r="W620" s="82"/>
      <c r="X620" s="82"/>
      <c r="Y620" s="82"/>
      <c r="Z620" s="82"/>
      <c r="AA620" s="82"/>
      <c r="AB620" s="82"/>
    </row>
    <row r="621" spans="3:28" ht="13.2" x14ac:dyDescent="0.55000000000000004">
      <c r="C621" s="82"/>
      <c r="D621" s="82"/>
      <c r="E621" s="82"/>
      <c r="F621" s="82"/>
      <c r="G621" s="82"/>
      <c r="H621" s="82"/>
      <c r="I621" s="82"/>
      <c r="J621" s="82"/>
      <c r="K621" s="82"/>
      <c r="L621" s="82"/>
      <c r="M621" s="82"/>
      <c r="N621" s="82"/>
      <c r="O621" s="82"/>
      <c r="P621" s="82"/>
      <c r="Q621" s="82"/>
      <c r="R621" s="82"/>
      <c r="S621" s="82"/>
      <c r="T621" s="82"/>
      <c r="U621" s="82"/>
      <c r="V621" s="82"/>
      <c r="W621" s="82"/>
      <c r="X621" s="82"/>
      <c r="Y621" s="82"/>
      <c r="Z621" s="82"/>
      <c r="AA621" s="82"/>
      <c r="AB621" s="82"/>
    </row>
    <row r="622" spans="3:28" ht="13.2" x14ac:dyDescent="0.55000000000000004"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82"/>
      <c r="Z622" s="82"/>
      <c r="AA622" s="82"/>
      <c r="AB622" s="82"/>
    </row>
    <row r="623" spans="3:28" ht="13.2" x14ac:dyDescent="0.55000000000000004"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2"/>
      <c r="N623" s="82"/>
      <c r="O623" s="82"/>
      <c r="P623" s="82"/>
      <c r="Q623" s="82"/>
      <c r="R623" s="82"/>
      <c r="S623" s="82"/>
      <c r="T623" s="82"/>
      <c r="U623" s="82"/>
      <c r="V623" s="82"/>
      <c r="W623" s="82"/>
      <c r="X623" s="82"/>
      <c r="Y623" s="82"/>
      <c r="Z623" s="82"/>
      <c r="AA623" s="82"/>
      <c r="AB623" s="82"/>
    </row>
    <row r="624" spans="3:28" ht="13.2" x14ac:dyDescent="0.55000000000000004"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/>
      <c r="N624" s="82"/>
      <c r="O624" s="82"/>
      <c r="P624" s="82"/>
      <c r="Q624" s="82"/>
      <c r="R624" s="82"/>
      <c r="S624" s="82"/>
      <c r="T624" s="82"/>
      <c r="U624" s="82"/>
      <c r="V624" s="82"/>
      <c r="W624" s="82"/>
      <c r="X624" s="82"/>
      <c r="Y624" s="82"/>
      <c r="Z624" s="82"/>
      <c r="AA624" s="82"/>
      <c r="AB624" s="82"/>
    </row>
    <row r="625" spans="3:28" ht="13.2" x14ac:dyDescent="0.55000000000000004"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2"/>
      <c r="N625" s="82"/>
      <c r="O625" s="82"/>
      <c r="P625" s="82"/>
      <c r="Q625" s="82"/>
      <c r="R625" s="82"/>
      <c r="S625" s="82"/>
      <c r="T625" s="82"/>
      <c r="U625" s="82"/>
      <c r="V625" s="82"/>
      <c r="W625" s="82"/>
      <c r="X625" s="82"/>
      <c r="Y625" s="82"/>
      <c r="Z625" s="82"/>
      <c r="AA625" s="82"/>
      <c r="AB625" s="82"/>
    </row>
    <row r="626" spans="3:28" ht="13.2" x14ac:dyDescent="0.55000000000000004"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/>
      <c r="N626" s="82"/>
      <c r="O626" s="82"/>
      <c r="P626" s="82"/>
      <c r="Q626" s="82"/>
      <c r="R626" s="82"/>
      <c r="S626" s="82"/>
      <c r="T626" s="82"/>
      <c r="U626" s="82"/>
      <c r="V626" s="82"/>
      <c r="W626" s="82"/>
      <c r="X626" s="82"/>
      <c r="Y626" s="82"/>
      <c r="Z626" s="82"/>
      <c r="AA626" s="82"/>
      <c r="AB626" s="82"/>
    </row>
    <row r="627" spans="3:28" ht="13.2" x14ac:dyDescent="0.55000000000000004"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2"/>
      <c r="N627" s="82"/>
      <c r="O627" s="82"/>
      <c r="P627" s="82"/>
      <c r="Q627" s="82"/>
      <c r="R627" s="82"/>
      <c r="S627" s="82"/>
      <c r="T627" s="82"/>
      <c r="U627" s="82"/>
      <c r="V627" s="82"/>
      <c r="W627" s="82"/>
      <c r="X627" s="82"/>
      <c r="Y627" s="82"/>
      <c r="Z627" s="82"/>
      <c r="AA627" s="82"/>
      <c r="AB627" s="82"/>
    </row>
    <row r="628" spans="3:28" ht="13.2" x14ac:dyDescent="0.55000000000000004"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/>
      <c r="N628" s="82"/>
      <c r="O628" s="82"/>
      <c r="P628" s="82"/>
      <c r="Q628" s="82"/>
      <c r="R628" s="82"/>
      <c r="S628" s="82"/>
      <c r="T628" s="82"/>
      <c r="U628" s="82"/>
      <c r="V628" s="82"/>
      <c r="W628" s="82"/>
      <c r="X628" s="82"/>
      <c r="Y628" s="82"/>
      <c r="Z628" s="82"/>
      <c r="AA628" s="82"/>
      <c r="AB628" s="82"/>
    </row>
    <row r="629" spans="3:28" ht="13.2" x14ac:dyDescent="0.55000000000000004">
      <c r="C629" s="82"/>
      <c r="D629" s="82"/>
      <c r="E629" s="82"/>
      <c r="F629" s="82"/>
      <c r="G629" s="82"/>
      <c r="H629" s="82"/>
      <c r="I629" s="82"/>
      <c r="J629" s="82"/>
      <c r="K629" s="82"/>
      <c r="L629" s="82"/>
      <c r="M629" s="82"/>
      <c r="N629" s="82"/>
      <c r="O629" s="82"/>
      <c r="P629" s="82"/>
      <c r="Q629" s="82"/>
      <c r="R629" s="82"/>
      <c r="S629" s="82"/>
      <c r="T629" s="82"/>
      <c r="U629" s="82"/>
      <c r="V629" s="82"/>
      <c r="W629" s="82"/>
      <c r="X629" s="82"/>
      <c r="Y629" s="82"/>
      <c r="Z629" s="82"/>
      <c r="AA629" s="82"/>
      <c r="AB629" s="82"/>
    </row>
    <row r="630" spans="3:28" ht="13.2" x14ac:dyDescent="0.55000000000000004"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2"/>
      <c r="N630" s="82"/>
      <c r="O630" s="82"/>
      <c r="P630" s="82"/>
      <c r="Q630" s="82"/>
      <c r="R630" s="82"/>
      <c r="S630" s="82"/>
      <c r="T630" s="82"/>
      <c r="U630" s="82"/>
      <c r="V630" s="82"/>
      <c r="W630" s="82"/>
      <c r="X630" s="82"/>
      <c r="Y630" s="82"/>
      <c r="Z630" s="82"/>
      <c r="AA630" s="82"/>
      <c r="AB630" s="82"/>
    </row>
    <row r="631" spans="3:28" ht="13.2" x14ac:dyDescent="0.55000000000000004"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</row>
    <row r="632" spans="3:28" ht="13.2" x14ac:dyDescent="0.55000000000000004"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2"/>
      <c r="N632" s="82"/>
      <c r="O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</row>
    <row r="633" spans="3:28" ht="13.2" x14ac:dyDescent="0.55000000000000004">
      <c r="C633" s="82"/>
      <c r="D633" s="82"/>
      <c r="E633" s="82"/>
      <c r="F633" s="82"/>
      <c r="G633" s="82"/>
      <c r="H633" s="82"/>
      <c r="I633" s="82"/>
      <c r="J633" s="82"/>
      <c r="K633" s="82"/>
      <c r="L633" s="82"/>
      <c r="M633" s="82"/>
      <c r="N633" s="82"/>
      <c r="O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</row>
    <row r="634" spans="3:28" ht="13.2" x14ac:dyDescent="0.55000000000000004"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2"/>
      <c r="N634" s="82"/>
      <c r="O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</row>
    <row r="635" spans="3:28" ht="13.2" x14ac:dyDescent="0.55000000000000004">
      <c r="C635" s="82"/>
      <c r="D635" s="82"/>
      <c r="E635" s="82"/>
      <c r="F635" s="82"/>
      <c r="G635" s="82"/>
      <c r="H635" s="82"/>
      <c r="I635" s="82"/>
      <c r="J635" s="82"/>
      <c r="K635" s="82"/>
      <c r="L635" s="82"/>
      <c r="M635" s="82"/>
      <c r="N635" s="82"/>
      <c r="O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</row>
    <row r="636" spans="3:28" ht="13.2" x14ac:dyDescent="0.55000000000000004"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2"/>
      <c r="N636" s="82"/>
      <c r="O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</row>
    <row r="637" spans="3:28" ht="13.2" x14ac:dyDescent="0.55000000000000004">
      <c r="C637" s="82"/>
      <c r="D637" s="82"/>
      <c r="E637" s="82"/>
      <c r="F637" s="82"/>
      <c r="G637" s="82"/>
      <c r="H637" s="82"/>
      <c r="I637" s="82"/>
      <c r="J637" s="82"/>
      <c r="K637" s="82"/>
      <c r="L637" s="82"/>
      <c r="M637" s="82"/>
      <c r="N637" s="82"/>
      <c r="O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</row>
    <row r="638" spans="3:28" ht="13.2" x14ac:dyDescent="0.55000000000000004"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2"/>
      <c r="N638" s="82"/>
      <c r="O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</row>
    <row r="639" spans="3:28" ht="13.2" x14ac:dyDescent="0.55000000000000004">
      <c r="C639" s="82"/>
      <c r="D639" s="82"/>
      <c r="E639" s="82"/>
      <c r="F639" s="82"/>
      <c r="G639" s="82"/>
      <c r="H639" s="82"/>
      <c r="I639" s="82"/>
      <c r="J639" s="82"/>
      <c r="K639" s="82"/>
      <c r="L639" s="82"/>
      <c r="M639" s="82"/>
      <c r="N639" s="82"/>
      <c r="O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</row>
    <row r="640" spans="3:28" ht="13.2" x14ac:dyDescent="0.55000000000000004"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</row>
    <row r="641" spans="3:28" ht="13.2" x14ac:dyDescent="0.55000000000000004"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2"/>
      <c r="N641" s="82"/>
      <c r="O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</row>
    <row r="642" spans="3:28" ht="13.2" x14ac:dyDescent="0.55000000000000004"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/>
      <c r="N642" s="82"/>
      <c r="O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</row>
    <row r="643" spans="3:28" ht="13.2" x14ac:dyDescent="0.55000000000000004"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2"/>
      <c r="N643" s="82"/>
      <c r="O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</row>
    <row r="644" spans="3:28" ht="13.2" x14ac:dyDescent="0.55000000000000004"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82"/>
      <c r="O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</row>
    <row r="645" spans="3:28" ht="13.2" x14ac:dyDescent="0.55000000000000004"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2"/>
      <c r="N645" s="82"/>
      <c r="O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</row>
    <row r="646" spans="3:28" ht="13.2" x14ac:dyDescent="0.55000000000000004"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2"/>
      <c r="N646" s="82"/>
      <c r="O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</row>
    <row r="647" spans="3:28" ht="13.2" x14ac:dyDescent="0.55000000000000004">
      <c r="C647" s="82"/>
      <c r="D647" s="82"/>
      <c r="E647" s="82"/>
      <c r="F647" s="82"/>
      <c r="G647" s="82"/>
      <c r="H647" s="82"/>
      <c r="I647" s="82"/>
      <c r="J647" s="82"/>
      <c r="K647" s="82"/>
      <c r="L647" s="82"/>
      <c r="M647" s="82"/>
      <c r="N647" s="82"/>
      <c r="O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</row>
    <row r="648" spans="3:28" ht="13.2" x14ac:dyDescent="0.55000000000000004"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2"/>
      <c r="N648" s="82"/>
      <c r="O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</row>
    <row r="649" spans="3:28" ht="13.2" x14ac:dyDescent="0.55000000000000004">
      <c r="C649" s="82"/>
      <c r="D649" s="82"/>
      <c r="E649" s="82"/>
      <c r="F649" s="82"/>
      <c r="G649" s="82"/>
      <c r="H649" s="82"/>
      <c r="I649" s="82"/>
      <c r="J649" s="82"/>
      <c r="K649" s="82"/>
      <c r="L649" s="82"/>
      <c r="M649" s="82"/>
      <c r="N649" s="82"/>
      <c r="O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</row>
    <row r="650" spans="3:28" ht="13.2" x14ac:dyDescent="0.55000000000000004"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2"/>
      <c r="N650" s="82"/>
      <c r="O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</row>
    <row r="651" spans="3:28" ht="13.2" x14ac:dyDescent="0.55000000000000004">
      <c r="C651" s="82"/>
      <c r="D651" s="82"/>
      <c r="E651" s="82"/>
      <c r="F651" s="82"/>
      <c r="G651" s="82"/>
      <c r="H651" s="82"/>
      <c r="I651" s="82"/>
      <c r="J651" s="82"/>
      <c r="K651" s="82"/>
      <c r="L651" s="82"/>
      <c r="M651" s="82"/>
      <c r="N651" s="82"/>
      <c r="O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</row>
    <row r="652" spans="3:28" ht="13.2" x14ac:dyDescent="0.55000000000000004"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2"/>
      <c r="N652" s="82"/>
      <c r="O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</row>
    <row r="653" spans="3:28" ht="13.2" x14ac:dyDescent="0.55000000000000004">
      <c r="C653" s="82"/>
      <c r="D653" s="82"/>
      <c r="E653" s="82"/>
      <c r="F653" s="82"/>
      <c r="G653" s="82"/>
      <c r="H653" s="82"/>
      <c r="I653" s="82"/>
      <c r="J653" s="82"/>
      <c r="K653" s="82"/>
      <c r="L653" s="82"/>
      <c r="M653" s="82"/>
      <c r="N653" s="82"/>
      <c r="O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</row>
    <row r="654" spans="3:28" ht="13.2" x14ac:dyDescent="0.55000000000000004"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2"/>
      <c r="N654" s="82"/>
      <c r="O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</row>
    <row r="655" spans="3:28" ht="13.2" x14ac:dyDescent="0.55000000000000004">
      <c r="C655" s="82"/>
      <c r="D655" s="82"/>
      <c r="E655" s="82"/>
      <c r="F655" s="82"/>
      <c r="G655" s="82"/>
      <c r="H655" s="82"/>
      <c r="I655" s="82"/>
      <c r="J655" s="82"/>
      <c r="K655" s="82"/>
      <c r="L655" s="82"/>
      <c r="M655" s="82"/>
      <c r="N655" s="82"/>
      <c r="O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</row>
    <row r="656" spans="3:28" ht="13.2" x14ac:dyDescent="0.55000000000000004"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2"/>
      <c r="N656" s="82"/>
      <c r="O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</row>
    <row r="657" spans="3:28" ht="13.2" x14ac:dyDescent="0.55000000000000004">
      <c r="C657" s="82"/>
      <c r="D657" s="82"/>
      <c r="E657" s="82"/>
      <c r="F657" s="82"/>
      <c r="G657" s="82"/>
      <c r="H657" s="82"/>
      <c r="I657" s="82"/>
      <c r="J657" s="82"/>
      <c r="K657" s="82"/>
      <c r="L657" s="82"/>
      <c r="M657" s="82"/>
      <c r="N657" s="82"/>
      <c r="O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</row>
    <row r="658" spans="3:28" ht="13.2" x14ac:dyDescent="0.55000000000000004"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2"/>
      <c r="N658" s="82"/>
      <c r="O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</row>
    <row r="659" spans="3:28" ht="13.2" x14ac:dyDescent="0.55000000000000004">
      <c r="C659" s="82"/>
      <c r="D659" s="82"/>
      <c r="E659" s="82"/>
      <c r="F659" s="82"/>
      <c r="G659" s="82"/>
      <c r="H659" s="82"/>
      <c r="I659" s="82"/>
      <c r="J659" s="82"/>
      <c r="K659" s="82"/>
      <c r="L659" s="82"/>
      <c r="M659" s="82"/>
      <c r="N659" s="82"/>
      <c r="O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</row>
    <row r="660" spans="3:28" ht="13.2" x14ac:dyDescent="0.55000000000000004"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2"/>
      <c r="N660" s="82"/>
      <c r="O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</row>
    <row r="661" spans="3:28" ht="13.2" x14ac:dyDescent="0.55000000000000004">
      <c r="C661" s="82"/>
      <c r="D661" s="82"/>
      <c r="E661" s="82"/>
      <c r="F661" s="82"/>
      <c r="G661" s="82"/>
      <c r="H661" s="82"/>
      <c r="I661" s="82"/>
      <c r="J661" s="82"/>
      <c r="K661" s="82"/>
      <c r="L661" s="82"/>
      <c r="M661" s="82"/>
      <c r="N661" s="82"/>
      <c r="O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</row>
    <row r="662" spans="3:28" ht="13.2" x14ac:dyDescent="0.55000000000000004"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2"/>
      <c r="N662" s="82"/>
      <c r="O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</row>
    <row r="663" spans="3:28" ht="13.2" x14ac:dyDescent="0.55000000000000004">
      <c r="C663" s="82"/>
      <c r="D663" s="82"/>
      <c r="E663" s="82"/>
      <c r="F663" s="82"/>
      <c r="G663" s="82"/>
      <c r="H663" s="82"/>
      <c r="I663" s="82"/>
      <c r="J663" s="82"/>
      <c r="K663" s="82"/>
      <c r="L663" s="82"/>
      <c r="M663" s="82"/>
      <c r="N663" s="82"/>
      <c r="O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</row>
    <row r="664" spans="3:28" ht="13.2" x14ac:dyDescent="0.55000000000000004">
      <c r="C664" s="82"/>
      <c r="D664" s="82"/>
      <c r="E664" s="82"/>
      <c r="F664" s="82"/>
      <c r="G664" s="82"/>
      <c r="H664" s="82"/>
      <c r="I664" s="82"/>
      <c r="J664" s="82"/>
      <c r="K664" s="82"/>
      <c r="L664" s="82"/>
      <c r="M664" s="82"/>
      <c r="N664" s="82"/>
      <c r="O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</row>
    <row r="665" spans="3:28" ht="13.2" x14ac:dyDescent="0.55000000000000004">
      <c r="C665" s="82"/>
      <c r="D665" s="82"/>
      <c r="E665" s="82"/>
      <c r="F665" s="82"/>
      <c r="G665" s="82"/>
      <c r="H665" s="82"/>
      <c r="I665" s="82"/>
      <c r="J665" s="82"/>
      <c r="K665" s="82"/>
      <c r="L665" s="82"/>
      <c r="M665" s="82"/>
      <c r="N665" s="82"/>
      <c r="O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</row>
    <row r="666" spans="3:28" ht="13.2" x14ac:dyDescent="0.55000000000000004"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2"/>
      <c r="N666" s="82"/>
      <c r="O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</row>
    <row r="667" spans="3:28" ht="13.2" x14ac:dyDescent="0.55000000000000004">
      <c r="C667" s="82"/>
      <c r="D667" s="82"/>
      <c r="E667" s="82"/>
      <c r="F667" s="82"/>
      <c r="G667" s="82"/>
      <c r="H667" s="82"/>
      <c r="I667" s="82"/>
      <c r="J667" s="82"/>
      <c r="K667" s="82"/>
      <c r="L667" s="82"/>
      <c r="M667" s="82"/>
      <c r="N667" s="82"/>
      <c r="O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</row>
    <row r="668" spans="3:28" ht="13.2" x14ac:dyDescent="0.55000000000000004"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2"/>
      <c r="N668" s="82"/>
      <c r="O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</row>
    <row r="669" spans="3:28" ht="13.2" x14ac:dyDescent="0.55000000000000004">
      <c r="C669" s="82"/>
      <c r="D669" s="82"/>
      <c r="E669" s="82"/>
      <c r="F669" s="82"/>
      <c r="G669" s="82"/>
      <c r="H669" s="82"/>
      <c r="I669" s="82"/>
      <c r="J669" s="82"/>
      <c r="K669" s="82"/>
      <c r="L669" s="82"/>
      <c r="M669" s="82"/>
      <c r="N669" s="82"/>
      <c r="O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</row>
    <row r="670" spans="3:28" ht="13.2" x14ac:dyDescent="0.55000000000000004"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2"/>
      <c r="N670" s="82"/>
      <c r="O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</row>
    <row r="671" spans="3:28" ht="13.2" x14ac:dyDescent="0.55000000000000004">
      <c r="C671" s="82"/>
      <c r="D671" s="82"/>
      <c r="E671" s="82"/>
      <c r="F671" s="82"/>
      <c r="G671" s="82"/>
      <c r="H671" s="82"/>
      <c r="I671" s="82"/>
      <c r="J671" s="82"/>
      <c r="K671" s="82"/>
      <c r="L671" s="82"/>
      <c r="M671" s="82"/>
      <c r="N671" s="82"/>
      <c r="O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</row>
    <row r="672" spans="3:28" ht="13.2" x14ac:dyDescent="0.55000000000000004"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2"/>
      <c r="N672" s="82"/>
      <c r="O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</row>
    <row r="673" spans="3:28" ht="13.2" x14ac:dyDescent="0.55000000000000004">
      <c r="C673" s="82"/>
      <c r="D673" s="82"/>
      <c r="E673" s="82"/>
      <c r="F673" s="82"/>
      <c r="G673" s="82"/>
      <c r="H673" s="82"/>
      <c r="I673" s="82"/>
      <c r="J673" s="82"/>
      <c r="K673" s="82"/>
      <c r="L673" s="82"/>
      <c r="M673" s="82"/>
      <c r="N673" s="82"/>
      <c r="O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</row>
    <row r="674" spans="3:28" ht="13.2" x14ac:dyDescent="0.55000000000000004"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2"/>
      <c r="N674" s="82"/>
      <c r="O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</row>
    <row r="675" spans="3:28" ht="13.2" x14ac:dyDescent="0.55000000000000004">
      <c r="C675" s="82"/>
      <c r="D675" s="82"/>
      <c r="E675" s="82"/>
      <c r="F675" s="82"/>
      <c r="G675" s="82"/>
      <c r="H675" s="82"/>
      <c r="I675" s="82"/>
      <c r="J675" s="82"/>
      <c r="K675" s="82"/>
      <c r="L675" s="82"/>
      <c r="M675" s="82"/>
      <c r="N675" s="82"/>
      <c r="O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</row>
    <row r="676" spans="3:28" ht="13.2" x14ac:dyDescent="0.55000000000000004"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2"/>
      <c r="N676" s="82"/>
      <c r="O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</row>
    <row r="677" spans="3:28" ht="13.2" x14ac:dyDescent="0.55000000000000004">
      <c r="C677" s="82"/>
      <c r="D677" s="82"/>
      <c r="E677" s="82"/>
      <c r="F677" s="82"/>
      <c r="G677" s="82"/>
      <c r="H677" s="82"/>
      <c r="I677" s="82"/>
      <c r="J677" s="82"/>
      <c r="K677" s="82"/>
      <c r="L677" s="82"/>
      <c r="M677" s="82"/>
      <c r="N677" s="82"/>
      <c r="O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</row>
    <row r="678" spans="3:28" ht="13.2" x14ac:dyDescent="0.55000000000000004"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2"/>
      <c r="N678" s="82"/>
      <c r="O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</row>
    <row r="679" spans="3:28" ht="13.2" x14ac:dyDescent="0.55000000000000004">
      <c r="C679" s="82"/>
      <c r="D679" s="82"/>
      <c r="E679" s="82"/>
      <c r="F679" s="82"/>
      <c r="G679" s="82"/>
      <c r="H679" s="82"/>
      <c r="I679" s="82"/>
      <c r="J679" s="82"/>
      <c r="K679" s="82"/>
      <c r="L679" s="82"/>
      <c r="M679" s="82"/>
      <c r="N679" s="82"/>
      <c r="O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</row>
    <row r="680" spans="3:28" ht="13.2" x14ac:dyDescent="0.55000000000000004"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2"/>
      <c r="N680" s="82"/>
      <c r="O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</row>
    <row r="681" spans="3:28" ht="13.2" x14ac:dyDescent="0.55000000000000004"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2"/>
      <c r="N681" s="82"/>
      <c r="O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</row>
    <row r="682" spans="3:28" ht="13.2" x14ac:dyDescent="0.55000000000000004"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2"/>
      <c r="N682" s="82"/>
      <c r="O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</row>
    <row r="683" spans="3:28" ht="13.2" x14ac:dyDescent="0.55000000000000004">
      <c r="C683" s="82"/>
      <c r="D683" s="82"/>
      <c r="E683" s="82"/>
      <c r="F683" s="82"/>
      <c r="G683" s="82"/>
      <c r="H683" s="82"/>
      <c r="I683" s="82"/>
      <c r="J683" s="82"/>
      <c r="K683" s="82"/>
      <c r="L683" s="82"/>
      <c r="M683" s="82"/>
      <c r="N683" s="82"/>
      <c r="O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</row>
    <row r="684" spans="3:28" ht="13.2" x14ac:dyDescent="0.55000000000000004"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2"/>
      <c r="N684" s="82"/>
      <c r="O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</row>
    <row r="685" spans="3:28" ht="13.2" x14ac:dyDescent="0.55000000000000004">
      <c r="C685" s="82"/>
      <c r="D685" s="82"/>
      <c r="E685" s="82"/>
      <c r="F685" s="82"/>
      <c r="G685" s="82"/>
      <c r="H685" s="82"/>
      <c r="I685" s="82"/>
      <c r="J685" s="82"/>
      <c r="K685" s="82"/>
      <c r="L685" s="82"/>
      <c r="M685" s="82"/>
      <c r="N685" s="82"/>
      <c r="O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</row>
    <row r="686" spans="3:28" ht="13.2" x14ac:dyDescent="0.55000000000000004"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2"/>
      <c r="N686" s="82"/>
      <c r="O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</row>
    <row r="687" spans="3:28" ht="13.2" x14ac:dyDescent="0.55000000000000004">
      <c r="C687" s="82"/>
      <c r="D687" s="82"/>
      <c r="E687" s="82"/>
      <c r="F687" s="82"/>
      <c r="G687" s="82"/>
      <c r="H687" s="82"/>
      <c r="I687" s="82"/>
      <c r="J687" s="82"/>
      <c r="K687" s="82"/>
      <c r="L687" s="82"/>
      <c r="M687" s="82"/>
      <c r="N687" s="82"/>
      <c r="O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</row>
    <row r="688" spans="3:28" ht="13.2" x14ac:dyDescent="0.55000000000000004"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2"/>
      <c r="N688" s="82"/>
      <c r="O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</row>
    <row r="689" spans="3:28" ht="13.2" x14ac:dyDescent="0.55000000000000004">
      <c r="C689" s="82"/>
      <c r="D689" s="82"/>
      <c r="E689" s="82"/>
      <c r="F689" s="82"/>
      <c r="G689" s="82"/>
      <c r="H689" s="82"/>
      <c r="I689" s="82"/>
      <c r="J689" s="82"/>
      <c r="K689" s="82"/>
      <c r="L689" s="82"/>
      <c r="M689" s="82"/>
      <c r="N689" s="82"/>
      <c r="O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</row>
    <row r="690" spans="3:28" ht="13.2" x14ac:dyDescent="0.55000000000000004"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2"/>
      <c r="N690" s="82"/>
      <c r="O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</row>
    <row r="691" spans="3:28" ht="13.2" x14ac:dyDescent="0.55000000000000004"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</row>
    <row r="692" spans="3:28" ht="13.2" x14ac:dyDescent="0.55000000000000004"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2"/>
      <c r="N692" s="82"/>
      <c r="O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</row>
    <row r="693" spans="3:28" ht="13.2" x14ac:dyDescent="0.55000000000000004">
      <c r="C693" s="82"/>
      <c r="D693" s="82"/>
      <c r="E693" s="82"/>
      <c r="F693" s="82"/>
      <c r="G693" s="82"/>
      <c r="H693" s="82"/>
      <c r="I693" s="82"/>
      <c r="J693" s="82"/>
      <c r="K693" s="82"/>
      <c r="L693" s="82"/>
      <c r="M693" s="82"/>
      <c r="N693" s="82"/>
      <c r="O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</row>
    <row r="694" spans="3:28" ht="13.2" x14ac:dyDescent="0.55000000000000004"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2"/>
      <c r="N694" s="82"/>
      <c r="O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</row>
    <row r="695" spans="3:28" ht="13.2" x14ac:dyDescent="0.55000000000000004"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</row>
    <row r="696" spans="3:28" ht="13.2" x14ac:dyDescent="0.55000000000000004"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82"/>
      <c r="N696" s="82"/>
      <c r="O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</row>
    <row r="697" spans="3:28" ht="13.2" x14ac:dyDescent="0.55000000000000004">
      <c r="C697" s="82"/>
      <c r="D697" s="82"/>
      <c r="E697" s="82"/>
      <c r="F697" s="82"/>
      <c r="G697" s="82"/>
      <c r="H697" s="82"/>
      <c r="I697" s="82"/>
      <c r="J697" s="82"/>
      <c r="K697" s="82"/>
      <c r="L697" s="82"/>
      <c r="M697" s="82"/>
      <c r="N697" s="82"/>
      <c r="O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</row>
    <row r="698" spans="3:28" ht="13.2" x14ac:dyDescent="0.55000000000000004"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2"/>
      <c r="N698" s="82"/>
      <c r="O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</row>
    <row r="699" spans="3:28" ht="13.2" x14ac:dyDescent="0.55000000000000004">
      <c r="C699" s="82"/>
      <c r="D699" s="82"/>
      <c r="E699" s="82"/>
      <c r="F699" s="82"/>
      <c r="G699" s="82"/>
      <c r="H699" s="82"/>
      <c r="I699" s="82"/>
      <c r="J699" s="82"/>
      <c r="K699" s="82"/>
      <c r="L699" s="82"/>
      <c r="M699" s="82"/>
      <c r="N699" s="82"/>
      <c r="O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</row>
    <row r="700" spans="3:28" ht="13.2" x14ac:dyDescent="0.55000000000000004"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2"/>
      <c r="N700" s="82"/>
      <c r="O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</row>
    <row r="701" spans="3:28" ht="13.2" x14ac:dyDescent="0.55000000000000004">
      <c r="C701" s="82"/>
      <c r="D701" s="82"/>
      <c r="E701" s="82"/>
      <c r="F701" s="82"/>
      <c r="G701" s="82"/>
      <c r="H701" s="82"/>
      <c r="I701" s="82"/>
      <c r="J701" s="82"/>
      <c r="K701" s="82"/>
      <c r="L701" s="82"/>
      <c r="M701" s="82"/>
      <c r="N701" s="82"/>
      <c r="O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</row>
    <row r="702" spans="3:28" ht="13.2" x14ac:dyDescent="0.55000000000000004"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2"/>
      <c r="N702" s="82"/>
      <c r="O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</row>
    <row r="703" spans="3:28" ht="13.2" x14ac:dyDescent="0.55000000000000004">
      <c r="C703" s="82"/>
      <c r="D703" s="82"/>
      <c r="E703" s="82"/>
      <c r="F703" s="82"/>
      <c r="G703" s="82"/>
      <c r="H703" s="82"/>
      <c r="I703" s="82"/>
      <c r="J703" s="82"/>
      <c r="K703" s="82"/>
      <c r="L703" s="82"/>
      <c r="M703" s="82"/>
      <c r="N703" s="82"/>
      <c r="O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</row>
    <row r="704" spans="3:28" ht="13.2" x14ac:dyDescent="0.55000000000000004"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2"/>
      <c r="N704" s="82"/>
      <c r="O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</row>
    <row r="705" spans="3:28" ht="13.2" x14ac:dyDescent="0.55000000000000004">
      <c r="C705" s="82"/>
      <c r="D705" s="82"/>
      <c r="E705" s="82"/>
      <c r="F705" s="82"/>
      <c r="G705" s="82"/>
      <c r="H705" s="82"/>
      <c r="I705" s="82"/>
      <c r="J705" s="82"/>
      <c r="K705" s="82"/>
      <c r="L705" s="82"/>
      <c r="M705" s="82"/>
      <c r="N705" s="82"/>
      <c r="O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</row>
    <row r="706" spans="3:28" ht="13.2" x14ac:dyDescent="0.55000000000000004">
      <c r="C706" s="82"/>
      <c r="D706" s="82"/>
      <c r="E706" s="82"/>
      <c r="F706" s="82"/>
      <c r="G706" s="82"/>
      <c r="H706" s="82"/>
      <c r="I706" s="82"/>
      <c r="J706" s="82"/>
      <c r="K706" s="82"/>
      <c r="L706" s="82"/>
      <c r="M706" s="82"/>
      <c r="N706" s="82"/>
      <c r="O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</row>
    <row r="707" spans="3:28" ht="13.2" x14ac:dyDescent="0.55000000000000004">
      <c r="C707" s="82"/>
      <c r="D707" s="82"/>
      <c r="E707" s="82"/>
      <c r="F707" s="82"/>
      <c r="G707" s="82"/>
      <c r="H707" s="82"/>
      <c r="I707" s="82"/>
      <c r="J707" s="82"/>
      <c r="K707" s="82"/>
      <c r="L707" s="82"/>
      <c r="M707" s="82"/>
      <c r="N707" s="82"/>
      <c r="O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</row>
    <row r="708" spans="3:28" ht="13.2" x14ac:dyDescent="0.55000000000000004">
      <c r="C708" s="82"/>
      <c r="D708" s="82"/>
      <c r="E708" s="82"/>
      <c r="F708" s="82"/>
      <c r="G708" s="82"/>
      <c r="H708" s="82"/>
      <c r="I708" s="82"/>
      <c r="J708" s="82"/>
      <c r="K708" s="82"/>
      <c r="L708" s="82"/>
      <c r="M708" s="82"/>
      <c r="N708" s="82"/>
      <c r="O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</row>
    <row r="709" spans="3:28" ht="13.2" x14ac:dyDescent="0.55000000000000004">
      <c r="C709" s="82"/>
      <c r="D709" s="82"/>
      <c r="E709" s="82"/>
      <c r="F709" s="82"/>
      <c r="G709" s="82"/>
      <c r="H709" s="82"/>
      <c r="I709" s="82"/>
      <c r="J709" s="82"/>
      <c r="K709" s="82"/>
      <c r="L709" s="82"/>
      <c r="M709" s="82"/>
      <c r="N709" s="82"/>
      <c r="O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</row>
    <row r="710" spans="3:28" ht="13.2" x14ac:dyDescent="0.55000000000000004">
      <c r="C710" s="82"/>
      <c r="D710" s="82"/>
      <c r="E710" s="82"/>
      <c r="F710" s="82"/>
      <c r="G710" s="82"/>
      <c r="H710" s="82"/>
      <c r="I710" s="82"/>
      <c r="J710" s="82"/>
      <c r="K710" s="82"/>
      <c r="L710" s="82"/>
      <c r="M710" s="82"/>
      <c r="N710" s="82"/>
      <c r="O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</row>
    <row r="711" spans="3:28" ht="13.2" x14ac:dyDescent="0.55000000000000004">
      <c r="C711" s="82"/>
      <c r="D711" s="82"/>
      <c r="E711" s="82"/>
      <c r="F711" s="82"/>
      <c r="G711" s="82"/>
      <c r="H711" s="82"/>
      <c r="I711" s="82"/>
      <c r="J711" s="82"/>
      <c r="K711" s="82"/>
      <c r="L711" s="82"/>
      <c r="M711" s="82"/>
      <c r="N711" s="82"/>
      <c r="O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</row>
    <row r="712" spans="3:28" ht="13.2" x14ac:dyDescent="0.55000000000000004">
      <c r="C712" s="82"/>
      <c r="D712" s="82"/>
      <c r="E712" s="82"/>
      <c r="F712" s="82"/>
      <c r="G712" s="82"/>
      <c r="H712" s="82"/>
      <c r="I712" s="82"/>
      <c r="J712" s="82"/>
      <c r="K712" s="82"/>
      <c r="L712" s="82"/>
      <c r="M712" s="82"/>
      <c r="N712" s="82"/>
      <c r="O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</row>
    <row r="713" spans="3:28" ht="13.2" x14ac:dyDescent="0.55000000000000004">
      <c r="C713" s="82"/>
      <c r="D713" s="82"/>
      <c r="E713" s="82"/>
      <c r="F713" s="82"/>
      <c r="G713" s="82"/>
      <c r="H713" s="82"/>
      <c r="I713" s="82"/>
      <c r="J713" s="82"/>
      <c r="K713" s="82"/>
      <c r="L713" s="82"/>
      <c r="M713" s="82"/>
      <c r="N713" s="82"/>
      <c r="O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</row>
    <row r="714" spans="3:28" ht="13.2" x14ac:dyDescent="0.55000000000000004">
      <c r="C714" s="82"/>
      <c r="D714" s="82"/>
      <c r="E714" s="82"/>
      <c r="F714" s="82"/>
      <c r="G714" s="82"/>
      <c r="H714" s="82"/>
      <c r="I714" s="82"/>
      <c r="J714" s="82"/>
      <c r="K714" s="82"/>
      <c r="L714" s="82"/>
      <c r="M714" s="82"/>
      <c r="N714" s="82"/>
      <c r="O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</row>
    <row r="715" spans="3:28" ht="13.2" x14ac:dyDescent="0.55000000000000004">
      <c r="C715" s="82"/>
      <c r="D715" s="82"/>
      <c r="E715" s="82"/>
      <c r="F715" s="82"/>
      <c r="G715" s="82"/>
      <c r="H715" s="82"/>
      <c r="I715" s="82"/>
      <c r="J715" s="82"/>
      <c r="K715" s="82"/>
      <c r="L715" s="82"/>
      <c r="M715" s="82"/>
      <c r="N715" s="82"/>
      <c r="O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</row>
    <row r="716" spans="3:28" ht="13.2" x14ac:dyDescent="0.55000000000000004">
      <c r="C716" s="82"/>
      <c r="D716" s="82"/>
      <c r="E716" s="82"/>
      <c r="F716" s="82"/>
      <c r="G716" s="82"/>
      <c r="H716" s="82"/>
      <c r="I716" s="82"/>
      <c r="J716" s="82"/>
      <c r="K716" s="82"/>
      <c r="L716" s="82"/>
      <c r="M716" s="82"/>
      <c r="N716" s="82"/>
      <c r="O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</row>
    <row r="717" spans="3:28" ht="13.2" x14ac:dyDescent="0.55000000000000004">
      <c r="C717" s="82"/>
      <c r="D717" s="82"/>
      <c r="E717" s="82"/>
      <c r="F717" s="82"/>
      <c r="G717" s="82"/>
      <c r="H717" s="82"/>
      <c r="I717" s="82"/>
      <c r="J717" s="82"/>
      <c r="K717" s="82"/>
      <c r="L717" s="82"/>
      <c r="M717" s="82"/>
      <c r="N717" s="82"/>
      <c r="O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</row>
    <row r="718" spans="3:28" ht="13.2" x14ac:dyDescent="0.55000000000000004"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2"/>
      <c r="N718" s="82"/>
      <c r="O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</row>
    <row r="719" spans="3:28" ht="13.2" x14ac:dyDescent="0.55000000000000004">
      <c r="C719" s="82"/>
      <c r="D719" s="82"/>
      <c r="E719" s="82"/>
      <c r="F719" s="82"/>
      <c r="G719" s="82"/>
      <c r="H719" s="82"/>
      <c r="I719" s="82"/>
      <c r="J719" s="82"/>
      <c r="K719" s="82"/>
      <c r="L719" s="82"/>
      <c r="M719" s="82"/>
      <c r="N719" s="82"/>
      <c r="O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</row>
    <row r="720" spans="3:28" ht="13.2" x14ac:dyDescent="0.55000000000000004"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2"/>
      <c r="N720" s="82"/>
      <c r="O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</row>
    <row r="721" spans="3:28" ht="13.2" x14ac:dyDescent="0.55000000000000004">
      <c r="C721" s="82"/>
      <c r="D721" s="82"/>
      <c r="E721" s="82"/>
      <c r="F721" s="82"/>
      <c r="G721" s="82"/>
      <c r="H721" s="82"/>
      <c r="I721" s="82"/>
      <c r="J721" s="82"/>
      <c r="K721" s="82"/>
      <c r="L721" s="82"/>
      <c r="M721" s="82"/>
      <c r="N721" s="82"/>
      <c r="O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</row>
    <row r="722" spans="3:28" ht="13.2" x14ac:dyDescent="0.55000000000000004"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2"/>
      <c r="N722" s="82"/>
      <c r="O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</row>
    <row r="723" spans="3:28" ht="13.2" x14ac:dyDescent="0.55000000000000004">
      <c r="C723" s="82"/>
      <c r="D723" s="82"/>
      <c r="E723" s="82"/>
      <c r="F723" s="82"/>
      <c r="G723" s="82"/>
      <c r="H723" s="82"/>
      <c r="I723" s="82"/>
      <c r="J723" s="82"/>
      <c r="K723" s="82"/>
      <c r="L723" s="82"/>
      <c r="M723" s="82"/>
      <c r="N723" s="82"/>
      <c r="O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</row>
    <row r="724" spans="3:28" ht="13.2" x14ac:dyDescent="0.55000000000000004">
      <c r="C724" s="82"/>
      <c r="D724" s="82"/>
      <c r="E724" s="82"/>
      <c r="F724" s="82"/>
      <c r="G724" s="82"/>
      <c r="H724" s="82"/>
      <c r="I724" s="82"/>
      <c r="J724" s="82"/>
      <c r="K724" s="82"/>
      <c r="L724" s="82"/>
      <c r="M724" s="82"/>
      <c r="N724" s="82"/>
      <c r="O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</row>
    <row r="725" spans="3:28" ht="13.2" x14ac:dyDescent="0.55000000000000004">
      <c r="C725" s="82"/>
      <c r="D725" s="82"/>
      <c r="E725" s="82"/>
      <c r="F725" s="82"/>
      <c r="G725" s="82"/>
      <c r="H725" s="82"/>
      <c r="I725" s="82"/>
      <c r="J725" s="82"/>
      <c r="K725" s="82"/>
      <c r="L725" s="82"/>
      <c r="M725" s="82"/>
      <c r="N725" s="82"/>
      <c r="O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</row>
    <row r="726" spans="3:28" ht="13.2" x14ac:dyDescent="0.55000000000000004">
      <c r="C726" s="82"/>
      <c r="D726" s="82"/>
      <c r="E726" s="82"/>
      <c r="F726" s="82"/>
      <c r="G726" s="82"/>
      <c r="H726" s="82"/>
      <c r="I726" s="82"/>
      <c r="J726" s="82"/>
      <c r="K726" s="82"/>
      <c r="L726" s="82"/>
      <c r="M726" s="82"/>
      <c r="N726" s="82"/>
      <c r="O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</row>
    <row r="727" spans="3:28" ht="13.2" x14ac:dyDescent="0.55000000000000004">
      <c r="C727" s="82"/>
      <c r="D727" s="82"/>
      <c r="E727" s="82"/>
      <c r="F727" s="82"/>
      <c r="G727" s="82"/>
      <c r="H727" s="82"/>
      <c r="I727" s="82"/>
      <c r="J727" s="82"/>
      <c r="K727" s="82"/>
      <c r="L727" s="82"/>
      <c r="M727" s="82"/>
      <c r="N727" s="82"/>
      <c r="O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</row>
    <row r="728" spans="3:28" ht="13.2" x14ac:dyDescent="0.55000000000000004">
      <c r="C728" s="82"/>
      <c r="D728" s="82"/>
      <c r="E728" s="82"/>
      <c r="F728" s="82"/>
      <c r="G728" s="82"/>
      <c r="H728" s="82"/>
      <c r="I728" s="82"/>
      <c r="J728" s="82"/>
      <c r="K728" s="82"/>
      <c r="L728" s="82"/>
      <c r="M728" s="82"/>
      <c r="N728" s="82"/>
      <c r="O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</row>
    <row r="729" spans="3:28" ht="13.2" x14ac:dyDescent="0.55000000000000004">
      <c r="C729" s="82"/>
      <c r="D729" s="82"/>
      <c r="E729" s="82"/>
      <c r="F729" s="82"/>
      <c r="G729" s="82"/>
      <c r="H729" s="82"/>
      <c r="I729" s="82"/>
      <c r="J729" s="82"/>
      <c r="K729" s="82"/>
      <c r="L729" s="82"/>
      <c r="M729" s="82"/>
      <c r="N729" s="82"/>
      <c r="O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</row>
    <row r="730" spans="3:28" ht="13.2" x14ac:dyDescent="0.55000000000000004">
      <c r="C730" s="82"/>
      <c r="D730" s="82"/>
      <c r="E730" s="82"/>
      <c r="F730" s="82"/>
      <c r="G730" s="82"/>
      <c r="H730" s="82"/>
      <c r="I730" s="82"/>
      <c r="J730" s="82"/>
      <c r="K730" s="82"/>
      <c r="L730" s="82"/>
      <c r="M730" s="82"/>
      <c r="N730" s="82"/>
      <c r="O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</row>
    <row r="731" spans="3:28" ht="13.2" x14ac:dyDescent="0.55000000000000004">
      <c r="C731" s="82"/>
      <c r="D731" s="82"/>
      <c r="E731" s="82"/>
      <c r="F731" s="82"/>
      <c r="G731" s="82"/>
      <c r="H731" s="82"/>
      <c r="I731" s="82"/>
      <c r="J731" s="82"/>
      <c r="K731" s="82"/>
      <c r="L731" s="82"/>
      <c r="M731" s="82"/>
      <c r="N731" s="82"/>
      <c r="O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</row>
    <row r="732" spans="3:28" ht="13.2" x14ac:dyDescent="0.55000000000000004">
      <c r="C732" s="82"/>
      <c r="D732" s="82"/>
      <c r="E732" s="82"/>
      <c r="F732" s="82"/>
      <c r="G732" s="82"/>
      <c r="H732" s="82"/>
      <c r="I732" s="82"/>
      <c r="J732" s="82"/>
      <c r="K732" s="82"/>
      <c r="L732" s="82"/>
      <c r="M732" s="82"/>
      <c r="N732" s="82"/>
      <c r="O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</row>
    <row r="733" spans="3:28" ht="13.2" x14ac:dyDescent="0.55000000000000004">
      <c r="C733" s="82"/>
      <c r="D733" s="82"/>
      <c r="E733" s="82"/>
      <c r="F733" s="82"/>
      <c r="G733" s="82"/>
      <c r="H733" s="82"/>
      <c r="I733" s="82"/>
      <c r="J733" s="82"/>
      <c r="K733" s="82"/>
      <c r="L733" s="82"/>
      <c r="M733" s="82"/>
      <c r="N733" s="82"/>
      <c r="O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</row>
    <row r="734" spans="3:28" ht="13.2" x14ac:dyDescent="0.55000000000000004">
      <c r="C734" s="82"/>
      <c r="D734" s="82"/>
      <c r="E734" s="82"/>
      <c r="F734" s="82"/>
      <c r="G734" s="82"/>
      <c r="H734" s="82"/>
      <c r="I734" s="82"/>
      <c r="J734" s="82"/>
      <c r="K734" s="82"/>
      <c r="L734" s="82"/>
      <c r="M734" s="82"/>
      <c r="N734" s="82"/>
      <c r="O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</row>
    <row r="735" spans="3:28" ht="13.2" x14ac:dyDescent="0.55000000000000004">
      <c r="C735" s="82"/>
      <c r="D735" s="82"/>
      <c r="E735" s="82"/>
      <c r="F735" s="82"/>
      <c r="G735" s="82"/>
      <c r="H735" s="82"/>
      <c r="I735" s="82"/>
      <c r="J735" s="82"/>
      <c r="K735" s="82"/>
      <c r="L735" s="82"/>
      <c r="M735" s="82"/>
      <c r="N735" s="82"/>
      <c r="O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</row>
    <row r="736" spans="3:28" ht="13.2" x14ac:dyDescent="0.55000000000000004"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2"/>
      <c r="N736" s="82"/>
      <c r="O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</row>
    <row r="737" spans="3:28" ht="13.2" x14ac:dyDescent="0.55000000000000004">
      <c r="C737" s="82"/>
      <c r="D737" s="82"/>
      <c r="E737" s="82"/>
      <c r="F737" s="82"/>
      <c r="G737" s="82"/>
      <c r="H737" s="82"/>
      <c r="I737" s="82"/>
      <c r="J737" s="82"/>
      <c r="K737" s="82"/>
      <c r="L737" s="82"/>
      <c r="M737" s="82"/>
      <c r="N737" s="82"/>
      <c r="O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</row>
    <row r="738" spans="3:28" ht="13.2" x14ac:dyDescent="0.55000000000000004"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2"/>
      <c r="N738" s="82"/>
      <c r="O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</row>
    <row r="739" spans="3:28" ht="13.2" x14ac:dyDescent="0.55000000000000004">
      <c r="C739" s="82"/>
      <c r="D739" s="82"/>
      <c r="E739" s="82"/>
      <c r="F739" s="82"/>
      <c r="G739" s="82"/>
      <c r="H739" s="82"/>
      <c r="I739" s="82"/>
      <c r="J739" s="82"/>
      <c r="K739" s="82"/>
      <c r="L739" s="82"/>
      <c r="M739" s="82"/>
      <c r="N739" s="82"/>
      <c r="O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</row>
    <row r="740" spans="3:28" ht="13.2" x14ac:dyDescent="0.55000000000000004"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2"/>
      <c r="N740" s="82"/>
      <c r="O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</row>
    <row r="741" spans="3:28" ht="13.2" x14ac:dyDescent="0.55000000000000004">
      <c r="C741" s="82"/>
      <c r="D741" s="82"/>
      <c r="E741" s="82"/>
      <c r="F741" s="82"/>
      <c r="G741" s="82"/>
      <c r="H741" s="82"/>
      <c r="I741" s="82"/>
      <c r="J741" s="82"/>
      <c r="K741" s="82"/>
      <c r="L741" s="82"/>
      <c r="M741" s="82"/>
      <c r="N741" s="82"/>
      <c r="O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</row>
    <row r="742" spans="3:28" ht="13.2" x14ac:dyDescent="0.55000000000000004">
      <c r="C742" s="82"/>
      <c r="D742" s="82"/>
      <c r="E742" s="82"/>
      <c r="F742" s="82"/>
      <c r="G742" s="82"/>
      <c r="H742" s="82"/>
      <c r="I742" s="82"/>
      <c r="J742" s="82"/>
      <c r="K742" s="82"/>
      <c r="L742" s="82"/>
      <c r="M742" s="82"/>
      <c r="N742" s="82"/>
      <c r="O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</row>
    <row r="743" spans="3:28" ht="13.2" x14ac:dyDescent="0.55000000000000004">
      <c r="C743" s="82"/>
      <c r="D743" s="82"/>
      <c r="E743" s="82"/>
      <c r="F743" s="82"/>
      <c r="G743" s="82"/>
      <c r="H743" s="82"/>
      <c r="I743" s="82"/>
      <c r="J743" s="82"/>
      <c r="K743" s="82"/>
      <c r="L743" s="82"/>
      <c r="M743" s="82"/>
      <c r="N743" s="82"/>
      <c r="O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</row>
    <row r="744" spans="3:28" ht="13.2" x14ac:dyDescent="0.55000000000000004">
      <c r="C744" s="82"/>
      <c r="D744" s="82"/>
      <c r="E744" s="82"/>
      <c r="F744" s="82"/>
      <c r="G744" s="82"/>
      <c r="H744" s="82"/>
      <c r="I744" s="82"/>
      <c r="J744" s="82"/>
      <c r="K744" s="82"/>
      <c r="L744" s="82"/>
      <c r="M744" s="82"/>
      <c r="N744" s="82"/>
      <c r="O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</row>
    <row r="745" spans="3:28" ht="13.2" x14ac:dyDescent="0.55000000000000004">
      <c r="C745" s="82"/>
      <c r="D745" s="82"/>
      <c r="E745" s="82"/>
      <c r="F745" s="82"/>
      <c r="G745" s="82"/>
      <c r="H745" s="82"/>
      <c r="I745" s="82"/>
      <c r="J745" s="82"/>
      <c r="K745" s="82"/>
      <c r="L745" s="82"/>
      <c r="M745" s="82"/>
      <c r="N745" s="82"/>
      <c r="O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</row>
    <row r="746" spans="3:28" ht="13.2" x14ac:dyDescent="0.55000000000000004">
      <c r="C746" s="82"/>
      <c r="D746" s="82"/>
      <c r="E746" s="82"/>
      <c r="F746" s="82"/>
      <c r="G746" s="82"/>
      <c r="H746" s="82"/>
      <c r="I746" s="82"/>
      <c r="J746" s="82"/>
      <c r="K746" s="82"/>
      <c r="L746" s="82"/>
      <c r="M746" s="82"/>
      <c r="N746" s="82"/>
      <c r="O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</row>
    <row r="747" spans="3:28" ht="13.2" x14ac:dyDescent="0.55000000000000004">
      <c r="C747" s="82"/>
      <c r="D747" s="82"/>
      <c r="E747" s="82"/>
      <c r="F747" s="82"/>
      <c r="G747" s="82"/>
      <c r="H747" s="82"/>
      <c r="I747" s="82"/>
      <c r="J747" s="82"/>
      <c r="K747" s="82"/>
      <c r="L747" s="82"/>
      <c r="M747" s="82"/>
      <c r="N747" s="82"/>
      <c r="O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</row>
    <row r="748" spans="3:28" ht="13.2" x14ac:dyDescent="0.55000000000000004">
      <c r="C748" s="82"/>
      <c r="D748" s="82"/>
      <c r="E748" s="82"/>
      <c r="F748" s="82"/>
      <c r="G748" s="82"/>
      <c r="H748" s="82"/>
      <c r="I748" s="82"/>
      <c r="J748" s="82"/>
      <c r="K748" s="82"/>
      <c r="L748" s="82"/>
      <c r="M748" s="82"/>
      <c r="N748" s="82"/>
      <c r="O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</row>
    <row r="749" spans="3:28" ht="13.2" x14ac:dyDescent="0.55000000000000004">
      <c r="C749" s="82"/>
      <c r="D749" s="82"/>
      <c r="E749" s="82"/>
      <c r="F749" s="82"/>
      <c r="G749" s="82"/>
      <c r="H749" s="82"/>
      <c r="I749" s="82"/>
      <c r="J749" s="82"/>
      <c r="K749" s="82"/>
      <c r="L749" s="82"/>
      <c r="M749" s="82"/>
      <c r="N749" s="82"/>
      <c r="O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</row>
    <row r="750" spans="3:28" ht="13.2" x14ac:dyDescent="0.55000000000000004">
      <c r="C750" s="82"/>
      <c r="D750" s="82"/>
      <c r="E750" s="82"/>
      <c r="F750" s="82"/>
      <c r="G750" s="82"/>
      <c r="H750" s="82"/>
      <c r="I750" s="82"/>
      <c r="J750" s="82"/>
      <c r="K750" s="82"/>
      <c r="L750" s="82"/>
      <c r="M750" s="82"/>
      <c r="N750" s="82"/>
      <c r="O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</row>
    <row r="751" spans="3:28" ht="13.2" x14ac:dyDescent="0.55000000000000004">
      <c r="C751" s="82"/>
      <c r="D751" s="82"/>
      <c r="E751" s="82"/>
      <c r="F751" s="82"/>
      <c r="G751" s="82"/>
      <c r="H751" s="82"/>
      <c r="I751" s="82"/>
      <c r="J751" s="82"/>
      <c r="K751" s="82"/>
      <c r="L751" s="82"/>
      <c r="M751" s="82"/>
      <c r="N751" s="82"/>
      <c r="O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</row>
    <row r="752" spans="3:28" ht="13.2" x14ac:dyDescent="0.55000000000000004">
      <c r="C752" s="82"/>
      <c r="D752" s="82"/>
      <c r="E752" s="82"/>
      <c r="F752" s="82"/>
      <c r="G752" s="82"/>
      <c r="H752" s="82"/>
      <c r="I752" s="82"/>
      <c r="J752" s="82"/>
      <c r="K752" s="82"/>
      <c r="L752" s="82"/>
      <c r="M752" s="82"/>
      <c r="N752" s="82"/>
      <c r="O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</row>
    <row r="753" spans="3:28" ht="13.2" x14ac:dyDescent="0.55000000000000004">
      <c r="C753" s="82"/>
      <c r="D753" s="82"/>
      <c r="E753" s="82"/>
      <c r="F753" s="82"/>
      <c r="G753" s="82"/>
      <c r="H753" s="82"/>
      <c r="I753" s="82"/>
      <c r="J753" s="82"/>
      <c r="K753" s="82"/>
      <c r="L753" s="82"/>
      <c r="M753" s="82"/>
      <c r="N753" s="82"/>
      <c r="O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</row>
    <row r="754" spans="3:28" ht="13.2" x14ac:dyDescent="0.55000000000000004">
      <c r="C754" s="82"/>
      <c r="D754" s="82"/>
      <c r="E754" s="82"/>
      <c r="F754" s="82"/>
      <c r="G754" s="82"/>
      <c r="H754" s="82"/>
      <c r="I754" s="82"/>
      <c r="J754" s="82"/>
      <c r="K754" s="82"/>
      <c r="L754" s="82"/>
      <c r="M754" s="82"/>
      <c r="N754" s="82"/>
      <c r="O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</row>
    <row r="755" spans="3:28" ht="13.2" x14ac:dyDescent="0.55000000000000004">
      <c r="C755" s="82"/>
      <c r="D755" s="82"/>
      <c r="E755" s="82"/>
      <c r="F755" s="82"/>
      <c r="G755" s="82"/>
      <c r="H755" s="82"/>
      <c r="I755" s="82"/>
      <c r="J755" s="82"/>
      <c r="K755" s="82"/>
      <c r="L755" s="82"/>
      <c r="M755" s="82"/>
      <c r="N755" s="82"/>
      <c r="O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</row>
    <row r="756" spans="3:28" ht="13.2" x14ac:dyDescent="0.55000000000000004"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2"/>
      <c r="N756" s="82"/>
      <c r="O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</row>
    <row r="757" spans="3:28" ht="13.2" x14ac:dyDescent="0.55000000000000004">
      <c r="C757" s="82"/>
      <c r="D757" s="82"/>
      <c r="E757" s="82"/>
      <c r="F757" s="82"/>
      <c r="G757" s="82"/>
      <c r="H757" s="82"/>
      <c r="I757" s="82"/>
      <c r="J757" s="82"/>
      <c r="K757" s="82"/>
      <c r="L757" s="82"/>
      <c r="M757" s="82"/>
      <c r="N757" s="82"/>
      <c r="O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</row>
    <row r="758" spans="3:28" ht="13.2" x14ac:dyDescent="0.55000000000000004"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2"/>
      <c r="N758" s="82"/>
      <c r="O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</row>
    <row r="759" spans="3:28" ht="13.2" x14ac:dyDescent="0.55000000000000004">
      <c r="C759" s="82"/>
      <c r="D759" s="82"/>
      <c r="E759" s="82"/>
      <c r="F759" s="82"/>
      <c r="G759" s="82"/>
      <c r="H759" s="82"/>
      <c r="I759" s="82"/>
      <c r="J759" s="82"/>
      <c r="K759" s="82"/>
      <c r="L759" s="82"/>
      <c r="M759" s="82"/>
      <c r="N759" s="82"/>
      <c r="O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</row>
    <row r="760" spans="3:28" ht="13.2" x14ac:dyDescent="0.55000000000000004"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2"/>
      <c r="N760" s="82"/>
      <c r="O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</row>
    <row r="761" spans="3:28" ht="13.2" x14ac:dyDescent="0.55000000000000004">
      <c r="C761" s="82"/>
      <c r="D761" s="82"/>
      <c r="E761" s="82"/>
      <c r="F761" s="82"/>
      <c r="G761" s="82"/>
      <c r="H761" s="82"/>
      <c r="I761" s="82"/>
      <c r="J761" s="82"/>
      <c r="K761" s="82"/>
      <c r="L761" s="82"/>
      <c r="M761" s="82"/>
      <c r="N761" s="82"/>
      <c r="O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</row>
    <row r="762" spans="3:28" ht="13.2" x14ac:dyDescent="0.55000000000000004">
      <c r="C762" s="82"/>
      <c r="D762" s="82"/>
      <c r="E762" s="82"/>
      <c r="F762" s="82"/>
      <c r="G762" s="82"/>
      <c r="H762" s="82"/>
      <c r="I762" s="82"/>
      <c r="J762" s="82"/>
      <c r="K762" s="82"/>
      <c r="L762" s="82"/>
      <c r="M762" s="82"/>
      <c r="N762" s="82"/>
      <c r="O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</row>
    <row r="763" spans="3:28" ht="13.2" x14ac:dyDescent="0.55000000000000004">
      <c r="C763" s="82"/>
      <c r="D763" s="82"/>
      <c r="E763" s="82"/>
      <c r="F763" s="82"/>
      <c r="G763" s="82"/>
      <c r="H763" s="82"/>
      <c r="I763" s="82"/>
      <c r="J763" s="82"/>
      <c r="K763" s="82"/>
      <c r="L763" s="82"/>
      <c r="M763" s="82"/>
      <c r="N763" s="82"/>
      <c r="O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</row>
    <row r="764" spans="3:28" ht="13.2" x14ac:dyDescent="0.55000000000000004">
      <c r="C764" s="82"/>
      <c r="D764" s="82"/>
      <c r="E764" s="82"/>
      <c r="F764" s="82"/>
      <c r="G764" s="82"/>
      <c r="H764" s="82"/>
      <c r="I764" s="82"/>
      <c r="J764" s="82"/>
      <c r="K764" s="82"/>
      <c r="L764" s="82"/>
      <c r="M764" s="82"/>
      <c r="N764" s="82"/>
      <c r="O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</row>
    <row r="765" spans="3:28" ht="13.2" x14ac:dyDescent="0.55000000000000004">
      <c r="C765" s="82"/>
      <c r="D765" s="82"/>
      <c r="E765" s="82"/>
      <c r="F765" s="82"/>
      <c r="G765" s="82"/>
      <c r="H765" s="82"/>
      <c r="I765" s="82"/>
      <c r="J765" s="82"/>
      <c r="K765" s="82"/>
      <c r="L765" s="82"/>
      <c r="M765" s="82"/>
      <c r="N765" s="82"/>
      <c r="O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</row>
    <row r="766" spans="3:28" ht="13.2" x14ac:dyDescent="0.55000000000000004">
      <c r="C766" s="82"/>
      <c r="D766" s="82"/>
      <c r="E766" s="82"/>
      <c r="F766" s="82"/>
      <c r="G766" s="82"/>
      <c r="H766" s="82"/>
      <c r="I766" s="82"/>
      <c r="J766" s="82"/>
      <c r="K766" s="82"/>
      <c r="L766" s="82"/>
      <c r="M766" s="82"/>
      <c r="N766" s="82"/>
      <c r="O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</row>
    <row r="767" spans="3:28" ht="13.2" x14ac:dyDescent="0.55000000000000004">
      <c r="C767" s="82"/>
      <c r="D767" s="82"/>
      <c r="E767" s="82"/>
      <c r="F767" s="82"/>
      <c r="G767" s="82"/>
      <c r="H767" s="82"/>
      <c r="I767" s="82"/>
      <c r="J767" s="82"/>
      <c r="K767" s="82"/>
      <c r="L767" s="82"/>
      <c r="M767" s="82"/>
      <c r="N767" s="82"/>
      <c r="O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</row>
    <row r="768" spans="3:28" ht="13.2" x14ac:dyDescent="0.55000000000000004">
      <c r="C768" s="82"/>
      <c r="D768" s="82"/>
      <c r="E768" s="82"/>
      <c r="F768" s="82"/>
      <c r="G768" s="82"/>
      <c r="H768" s="82"/>
      <c r="I768" s="82"/>
      <c r="J768" s="82"/>
      <c r="K768" s="82"/>
      <c r="L768" s="82"/>
      <c r="M768" s="82"/>
      <c r="N768" s="82"/>
      <c r="O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</row>
    <row r="769" spans="3:28" ht="13.2" x14ac:dyDescent="0.55000000000000004">
      <c r="C769" s="82"/>
      <c r="D769" s="82"/>
      <c r="E769" s="82"/>
      <c r="F769" s="82"/>
      <c r="G769" s="82"/>
      <c r="H769" s="82"/>
      <c r="I769" s="82"/>
      <c r="J769" s="82"/>
      <c r="K769" s="82"/>
      <c r="L769" s="82"/>
      <c r="M769" s="82"/>
      <c r="N769" s="82"/>
      <c r="O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</row>
    <row r="770" spans="3:28" ht="13.2" x14ac:dyDescent="0.55000000000000004">
      <c r="C770" s="82"/>
      <c r="D770" s="82"/>
      <c r="E770" s="82"/>
      <c r="F770" s="82"/>
      <c r="G770" s="82"/>
      <c r="H770" s="82"/>
      <c r="I770" s="82"/>
      <c r="J770" s="82"/>
      <c r="K770" s="82"/>
      <c r="L770" s="82"/>
      <c r="M770" s="82"/>
      <c r="N770" s="82"/>
      <c r="O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</row>
    <row r="771" spans="3:28" ht="13.2" x14ac:dyDescent="0.55000000000000004">
      <c r="C771" s="82"/>
      <c r="D771" s="82"/>
      <c r="E771" s="82"/>
      <c r="F771" s="82"/>
      <c r="G771" s="82"/>
      <c r="H771" s="82"/>
      <c r="I771" s="82"/>
      <c r="J771" s="82"/>
      <c r="K771" s="82"/>
      <c r="L771" s="82"/>
      <c r="M771" s="82"/>
      <c r="N771" s="82"/>
      <c r="O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</row>
    <row r="772" spans="3:28" ht="13.2" x14ac:dyDescent="0.55000000000000004">
      <c r="C772" s="82"/>
      <c r="D772" s="82"/>
      <c r="E772" s="82"/>
      <c r="F772" s="82"/>
      <c r="G772" s="82"/>
      <c r="H772" s="82"/>
      <c r="I772" s="82"/>
      <c r="J772" s="82"/>
      <c r="K772" s="82"/>
      <c r="L772" s="82"/>
      <c r="M772" s="82"/>
      <c r="N772" s="82"/>
      <c r="O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</row>
    <row r="773" spans="3:28" ht="13.2" x14ac:dyDescent="0.55000000000000004">
      <c r="C773" s="82"/>
      <c r="D773" s="82"/>
      <c r="E773" s="82"/>
      <c r="F773" s="82"/>
      <c r="G773" s="82"/>
      <c r="H773" s="82"/>
      <c r="I773" s="82"/>
      <c r="J773" s="82"/>
      <c r="K773" s="82"/>
      <c r="L773" s="82"/>
      <c r="M773" s="82"/>
      <c r="N773" s="82"/>
      <c r="O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</row>
    <row r="774" spans="3:28" ht="13.2" x14ac:dyDescent="0.55000000000000004"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2"/>
      <c r="N774" s="82"/>
      <c r="O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</row>
    <row r="775" spans="3:28" ht="13.2" x14ac:dyDescent="0.55000000000000004">
      <c r="C775" s="82"/>
      <c r="D775" s="82"/>
      <c r="E775" s="82"/>
      <c r="F775" s="82"/>
      <c r="G775" s="82"/>
      <c r="H775" s="82"/>
      <c r="I775" s="82"/>
      <c r="J775" s="82"/>
      <c r="K775" s="82"/>
      <c r="L775" s="82"/>
      <c r="M775" s="82"/>
      <c r="N775" s="82"/>
      <c r="O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</row>
    <row r="776" spans="3:28" ht="13.2" x14ac:dyDescent="0.55000000000000004"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2"/>
      <c r="N776" s="82"/>
      <c r="O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</row>
    <row r="777" spans="3:28" ht="13.2" x14ac:dyDescent="0.55000000000000004">
      <c r="C777" s="82"/>
      <c r="D777" s="82"/>
      <c r="E777" s="82"/>
      <c r="F777" s="82"/>
      <c r="G777" s="82"/>
      <c r="H777" s="82"/>
      <c r="I777" s="82"/>
      <c r="J777" s="82"/>
      <c r="K777" s="82"/>
      <c r="L777" s="82"/>
      <c r="M777" s="82"/>
      <c r="N777" s="82"/>
      <c r="O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</row>
    <row r="778" spans="3:28" ht="13.2" x14ac:dyDescent="0.55000000000000004"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2"/>
      <c r="N778" s="82"/>
      <c r="O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</row>
    <row r="779" spans="3:28" ht="13.2" x14ac:dyDescent="0.55000000000000004">
      <c r="C779" s="82"/>
      <c r="D779" s="82"/>
      <c r="E779" s="82"/>
      <c r="F779" s="82"/>
      <c r="G779" s="82"/>
      <c r="H779" s="82"/>
      <c r="I779" s="82"/>
      <c r="J779" s="82"/>
      <c r="K779" s="82"/>
      <c r="L779" s="82"/>
      <c r="M779" s="82"/>
      <c r="N779" s="82"/>
      <c r="O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</row>
    <row r="780" spans="3:28" ht="13.2" x14ac:dyDescent="0.55000000000000004"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2"/>
      <c r="N780" s="82"/>
      <c r="O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</row>
    <row r="781" spans="3:28" ht="13.2" x14ac:dyDescent="0.55000000000000004">
      <c r="C781" s="82"/>
      <c r="D781" s="82"/>
      <c r="E781" s="82"/>
      <c r="F781" s="82"/>
      <c r="G781" s="82"/>
      <c r="H781" s="82"/>
      <c r="I781" s="82"/>
      <c r="J781" s="82"/>
      <c r="K781" s="82"/>
      <c r="L781" s="82"/>
      <c r="M781" s="82"/>
      <c r="N781" s="82"/>
      <c r="O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</row>
    <row r="782" spans="3:28" ht="13.2" x14ac:dyDescent="0.55000000000000004">
      <c r="C782" s="82"/>
      <c r="D782" s="82"/>
      <c r="E782" s="82"/>
      <c r="F782" s="82"/>
      <c r="G782" s="82"/>
      <c r="H782" s="82"/>
      <c r="I782" s="82"/>
      <c r="J782" s="82"/>
      <c r="K782" s="82"/>
      <c r="L782" s="82"/>
      <c r="M782" s="82"/>
      <c r="N782" s="82"/>
      <c r="O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</row>
    <row r="783" spans="3:28" ht="13.2" x14ac:dyDescent="0.55000000000000004">
      <c r="C783" s="82"/>
      <c r="D783" s="82"/>
      <c r="E783" s="82"/>
      <c r="F783" s="82"/>
      <c r="G783" s="82"/>
      <c r="H783" s="82"/>
      <c r="I783" s="82"/>
      <c r="J783" s="82"/>
      <c r="K783" s="82"/>
      <c r="L783" s="82"/>
      <c r="M783" s="82"/>
      <c r="N783" s="82"/>
      <c r="O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</row>
    <row r="784" spans="3:28" ht="13.2" x14ac:dyDescent="0.55000000000000004">
      <c r="C784" s="82"/>
      <c r="D784" s="82"/>
      <c r="E784" s="82"/>
      <c r="F784" s="82"/>
      <c r="G784" s="82"/>
      <c r="H784" s="82"/>
      <c r="I784" s="82"/>
      <c r="J784" s="82"/>
      <c r="K784" s="82"/>
      <c r="L784" s="82"/>
      <c r="M784" s="82"/>
      <c r="N784" s="82"/>
      <c r="O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</row>
    <row r="785" spans="3:28" ht="13.2" x14ac:dyDescent="0.55000000000000004">
      <c r="C785" s="82"/>
      <c r="D785" s="82"/>
      <c r="E785" s="82"/>
      <c r="F785" s="82"/>
      <c r="G785" s="82"/>
      <c r="H785" s="82"/>
      <c r="I785" s="82"/>
      <c r="J785" s="82"/>
      <c r="K785" s="82"/>
      <c r="L785" s="82"/>
      <c r="M785" s="82"/>
      <c r="N785" s="82"/>
      <c r="O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</row>
    <row r="786" spans="3:28" ht="13.2" x14ac:dyDescent="0.55000000000000004">
      <c r="C786" s="82"/>
      <c r="D786" s="82"/>
      <c r="E786" s="82"/>
      <c r="F786" s="82"/>
      <c r="G786" s="82"/>
      <c r="H786" s="82"/>
      <c r="I786" s="82"/>
      <c r="J786" s="82"/>
      <c r="K786" s="82"/>
      <c r="L786" s="82"/>
      <c r="M786" s="82"/>
      <c r="N786" s="82"/>
      <c r="O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</row>
    <row r="787" spans="3:28" ht="13.2" x14ac:dyDescent="0.55000000000000004">
      <c r="C787" s="82"/>
      <c r="D787" s="82"/>
      <c r="E787" s="82"/>
      <c r="F787" s="82"/>
      <c r="G787" s="82"/>
      <c r="H787" s="82"/>
      <c r="I787" s="82"/>
      <c r="J787" s="82"/>
      <c r="K787" s="82"/>
      <c r="L787" s="82"/>
      <c r="M787" s="82"/>
      <c r="N787" s="82"/>
      <c r="O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</row>
    <row r="788" spans="3:28" ht="13.2" x14ac:dyDescent="0.55000000000000004">
      <c r="C788" s="82"/>
      <c r="D788" s="82"/>
      <c r="E788" s="82"/>
      <c r="F788" s="82"/>
      <c r="G788" s="82"/>
      <c r="H788" s="82"/>
      <c r="I788" s="82"/>
      <c r="J788" s="82"/>
      <c r="K788" s="82"/>
      <c r="L788" s="82"/>
      <c r="M788" s="82"/>
      <c r="N788" s="82"/>
      <c r="O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</row>
    <row r="789" spans="3:28" ht="13.2" x14ac:dyDescent="0.55000000000000004">
      <c r="C789" s="82"/>
      <c r="D789" s="82"/>
      <c r="E789" s="82"/>
      <c r="F789" s="82"/>
      <c r="G789" s="82"/>
      <c r="H789" s="82"/>
      <c r="I789" s="82"/>
      <c r="J789" s="82"/>
      <c r="K789" s="82"/>
      <c r="L789" s="82"/>
      <c r="M789" s="82"/>
      <c r="N789" s="82"/>
      <c r="O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</row>
    <row r="790" spans="3:28" ht="13.2" x14ac:dyDescent="0.55000000000000004">
      <c r="C790" s="82"/>
      <c r="D790" s="82"/>
      <c r="E790" s="82"/>
      <c r="F790" s="82"/>
      <c r="G790" s="82"/>
      <c r="H790" s="82"/>
      <c r="I790" s="82"/>
      <c r="J790" s="82"/>
      <c r="K790" s="82"/>
      <c r="L790" s="82"/>
      <c r="M790" s="82"/>
      <c r="N790" s="82"/>
      <c r="O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</row>
    <row r="791" spans="3:28" ht="13.2" x14ac:dyDescent="0.55000000000000004">
      <c r="C791" s="82"/>
      <c r="D791" s="82"/>
      <c r="E791" s="82"/>
      <c r="F791" s="82"/>
      <c r="G791" s="82"/>
      <c r="H791" s="82"/>
      <c r="I791" s="82"/>
      <c r="J791" s="82"/>
      <c r="K791" s="82"/>
      <c r="L791" s="82"/>
      <c r="M791" s="82"/>
      <c r="N791" s="82"/>
      <c r="O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</row>
    <row r="792" spans="3:28" ht="13.2" x14ac:dyDescent="0.55000000000000004">
      <c r="C792" s="82"/>
      <c r="D792" s="82"/>
      <c r="E792" s="82"/>
      <c r="F792" s="82"/>
      <c r="G792" s="82"/>
      <c r="H792" s="82"/>
      <c r="I792" s="82"/>
      <c r="J792" s="82"/>
      <c r="K792" s="82"/>
      <c r="L792" s="82"/>
      <c r="M792" s="82"/>
      <c r="N792" s="82"/>
      <c r="O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</row>
    <row r="793" spans="3:28" ht="13.2" x14ac:dyDescent="0.55000000000000004">
      <c r="C793" s="82"/>
      <c r="D793" s="82"/>
      <c r="E793" s="82"/>
      <c r="F793" s="82"/>
      <c r="G793" s="82"/>
      <c r="H793" s="82"/>
      <c r="I793" s="82"/>
      <c r="J793" s="82"/>
      <c r="K793" s="82"/>
      <c r="L793" s="82"/>
      <c r="M793" s="82"/>
      <c r="N793" s="82"/>
      <c r="O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</row>
    <row r="794" spans="3:28" ht="13.2" x14ac:dyDescent="0.55000000000000004"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</row>
    <row r="795" spans="3:28" ht="13.2" x14ac:dyDescent="0.55000000000000004">
      <c r="C795" s="82"/>
      <c r="D795" s="82"/>
      <c r="E795" s="82"/>
      <c r="F795" s="82"/>
      <c r="G795" s="82"/>
      <c r="H795" s="82"/>
      <c r="I795" s="82"/>
      <c r="J795" s="82"/>
      <c r="K795" s="82"/>
      <c r="L795" s="82"/>
      <c r="M795" s="82"/>
      <c r="N795" s="82"/>
      <c r="O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</row>
    <row r="796" spans="3:28" ht="13.2" x14ac:dyDescent="0.55000000000000004"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2"/>
      <c r="N796" s="82"/>
      <c r="O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</row>
    <row r="797" spans="3:28" ht="13.2" x14ac:dyDescent="0.55000000000000004">
      <c r="C797" s="82"/>
      <c r="D797" s="82"/>
      <c r="E797" s="82"/>
      <c r="F797" s="82"/>
      <c r="G797" s="82"/>
      <c r="H797" s="82"/>
      <c r="I797" s="82"/>
      <c r="J797" s="82"/>
      <c r="K797" s="82"/>
      <c r="L797" s="82"/>
      <c r="M797" s="82"/>
      <c r="N797" s="82"/>
      <c r="O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</row>
    <row r="798" spans="3:28" ht="13.2" x14ac:dyDescent="0.55000000000000004"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2"/>
      <c r="N798" s="82"/>
      <c r="O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</row>
    <row r="799" spans="3:28" ht="13.2" x14ac:dyDescent="0.55000000000000004">
      <c r="C799" s="82"/>
      <c r="D799" s="82"/>
      <c r="E799" s="82"/>
      <c r="F799" s="82"/>
      <c r="G799" s="82"/>
      <c r="H799" s="82"/>
      <c r="I799" s="82"/>
      <c r="J799" s="82"/>
      <c r="K799" s="82"/>
      <c r="L799" s="82"/>
      <c r="M799" s="82"/>
      <c r="N799" s="82"/>
      <c r="O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</row>
    <row r="800" spans="3:28" ht="13.2" x14ac:dyDescent="0.55000000000000004">
      <c r="C800" s="82"/>
      <c r="D800" s="82"/>
      <c r="E800" s="82"/>
      <c r="F800" s="82"/>
      <c r="G800" s="82"/>
      <c r="H800" s="82"/>
      <c r="I800" s="82"/>
      <c r="J800" s="82"/>
      <c r="K800" s="82"/>
      <c r="L800" s="82"/>
      <c r="M800" s="82"/>
      <c r="N800" s="82"/>
      <c r="O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</row>
    <row r="801" spans="3:28" ht="13.2" x14ac:dyDescent="0.55000000000000004">
      <c r="C801" s="82"/>
      <c r="D801" s="82"/>
      <c r="E801" s="82"/>
      <c r="F801" s="82"/>
      <c r="G801" s="82"/>
      <c r="H801" s="82"/>
      <c r="I801" s="82"/>
      <c r="J801" s="82"/>
      <c r="K801" s="82"/>
      <c r="L801" s="82"/>
      <c r="M801" s="82"/>
      <c r="N801" s="82"/>
      <c r="O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</row>
    <row r="802" spans="3:28" ht="13.2" x14ac:dyDescent="0.55000000000000004">
      <c r="C802" s="82"/>
      <c r="D802" s="82"/>
      <c r="E802" s="82"/>
      <c r="F802" s="82"/>
      <c r="G802" s="82"/>
      <c r="H802" s="82"/>
      <c r="I802" s="82"/>
      <c r="J802" s="82"/>
      <c r="K802" s="82"/>
      <c r="L802" s="82"/>
      <c r="M802" s="82"/>
      <c r="N802" s="82"/>
      <c r="O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</row>
    <row r="803" spans="3:28" ht="13.2" x14ac:dyDescent="0.55000000000000004">
      <c r="C803" s="82"/>
      <c r="D803" s="82"/>
      <c r="E803" s="82"/>
      <c r="F803" s="82"/>
      <c r="G803" s="82"/>
      <c r="H803" s="82"/>
      <c r="I803" s="82"/>
      <c r="J803" s="82"/>
      <c r="K803" s="82"/>
      <c r="L803" s="82"/>
      <c r="M803" s="82"/>
      <c r="N803" s="82"/>
      <c r="O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</row>
    <row r="804" spans="3:28" ht="13.2" x14ac:dyDescent="0.55000000000000004">
      <c r="C804" s="82"/>
      <c r="D804" s="82"/>
      <c r="E804" s="82"/>
      <c r="F804" s="82"/>
      <c r="G804" s="82"/>
      <c r="H804" s="82"/>
      <c r="I804" s="82"/>
      <c r="J804" s="82"/>
      <c r="K804" s="82"/>
      <c r="L804" s="82"/>
      <c r="M804" s="82"/>
      <c r="N804" s="82"/>
      <c r="O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</row>
    <row r="805" spans="3:28" ht="13.2" x14ac:dyDescent="0.55000000000000004">
      <c r="C805" s="82"/>
      <c r="D805" s="82"/>
      <c r="E805" s="82"/>
      <c r="F805" s="82"/>
      <c r="G805" s="82"/>
      <c r="H805" s="82"/>
      <c r="I805" s="82"/>
      <c r="J805" s="82"/>
      <c r="K805" s="82"/>
      <c r="L805" s="82"/>
      <c r="M805" s="82"/>
      <c r="N805" s="82"/>
      <c r="O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</row>
    <row r="806" spans="3:28" ht="13.2" x14ac:dyDescent="0.55000000000000004">
      <c r="C806" s="82"/>
      <c r="D806" s="82"/>
      <c r="E806" s="82"/>
      <c r="F806" s="82"/>
      <c r="G806" s="82"/>
      <c r="H806" s="82"/>
      <c r="I806" s="82"/>
      <c r="J806" s="82"/>
      <c r="K806" s="82"/>
      <c r="L806" s="82"/>
      <c r="M806" s="82"/>
      <c r="N806" s="82"/>
      <c r="O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</row>
    <row r="807" spans="3:28" ht="13.2" x14ac:dyDescent="0.55000000000000004">
      <c r="C807" s="82"/>
      <c r="D807" s="82"/>
      <c r="E807" s="82"/>
      <c r="F807" s="82"/>
      <c r="G807" s="82"/>
      <c r="H807" s="82"/>
      <c r="I807" s="82"/>
      <c r="J807" s="82"/>
      <c r="K807" s="82"/>
      <c r="L807" s="82"/>
      <c r="M807" s="82"/>
      <c r="N807" s="82"/>
      <c r="O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</row>
    <row r="808" spans="3:28" ht="13.2" x14ac:dyDescent="0.55000000000000004">
      <c r="C808" s="82"/>
      <c r="D808" s="82"/>
      <c r="E808" s="82"/>
      <c r="F808" s="82"/>
      <c r="G808" s="82"/>
      <c r="H808" s="82"/>
      <c r="I808" s="82"/>
      <c r="J808" s="82"/>
      <c r="K808" s="82"/>
      <c r="L808" s="82"/>
      <c r="M808" s="82"/>
      <c r="N808" s="82"/>
      <c r="O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</row>
    <row r="809" spans="3:28" ht="13.2" x14ac:dyDescent="0.55000000000000004">
      <c r="C809" s="82"/>
      <c r="D809" s="82"/>
      <c r="E809" s="82"/>
      <c r="F809" s="82"/>
      <c r="G809" s="82"/>
      <c r="H809" s="82"/>
      <c r="I809" s="82"/>
      <c r="J809" s="82"/>
      <c r="K809" s="82"/>
      <c r="L809" s="82"/>
      <c r="M809" s="82"/>
      <c r="N809" s="82"/>
      <c r="O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</row>
    <row r="810" spans="3:28" ht="13.2" x14ac:dyDescent="0.55000000000000004">
      <c r="C810" s="82"/>
      <c r="D810" s="82"/>
      <c r="E810" s="82"/>
      <c r="F810" s="82"/>
      <c r="G810" s="82"/>
      <c r="H810" s="82"/>
      <c r="I810" s="82"/>
      <c r="J810" s="82"/>
      <c r="K810" s="82"/>
      <c r="L810" s="82"/>
      <c r="M810" s="82"/>
      <c r="N810" s="82"/>
      <c r="O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</row>
    <row r="811" spans="3:28" ht="13.2" x14ac:dyDescent="0.55000000000000004">
      <c r="C811" s="82"/>
      <c r="D811" s="82"/>
      <c r="E811" s="82"/>
      <c r="F811" s="82"/>
      <c r="G811" s="82"/>
      <c r="H811" s="82"/>
      <c r="I811" s="82"/>
      <c r="J811" s="82"/>
      <c r="K811" s="82"/>
      <c r="L811" s="82"/>
      <c r="M811" s="82"/>
      <c r="N811" s="82"/>
      <c r="O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</row>
    <row r="812" spans="3:28" ht="13.2" x14ac:dyDescent="0.55000000000000004"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2"/>
      <c r="N812" s="82"/>
      <c r="O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</row>
    <row r="813" spans="3:28" ht="13.2" x14ac:dyDescent="0.55000000000000004">
      <c r="C813" s="82"/>
      <c r="D813" s="82"/>
      <c r="E813" s="82"/>
      <c r="F813" s="82"/>
      <c r="G813" s="82"/>
      <c r="H813" s="82"/>
      <c r="I813" s="82"/>
      <c r="J813" s="82"/>
      <c r="K813" s="82"/>
      <c r="L813" s="82"/>
      <c r="M813" s="82"/>
      <c r="N813" s="82"/>
      <c r="O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</row>
    <row r="814" spans="3:28" ht="13.2" x14ac:dyDescent="0.55000000000000004"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2"/>
      <c r="N814" s="82"/>
      <c r="O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</row>
    <row r="815" spans="3:28" ht="13.2" x14ac:dyDescent="0.55000000000000004">
      <c r="C815" s="82"/>
      <c r="D815" s="82"/>
      <c r="E815" s="82"/>
      <c r="F815" s="82"/>
      <c r="G815" s="82"/>
      <c r="H815" s="82"/>
      <c r="I815" s="82"/>
      <c r="J815" s="82"/>
      <c r="K815" s="82"/>
      <c r="L815" s="82"/>
      <c r="M815" s="82"/>
      <c r="N815" s="82"/>
      <c r="O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</row>
    <row r="816" spans="3:28" ht="13.2" x14ac:dyDescent="0.55000000000000004"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</row>
    <row r="817" spans="3:28" ht="13.2" x14ac:dyDescent="0.55000000000000004">
      <c r="C817" s="82"/>
      <c r="D817" s="82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</row>
    <row r="818" spans="3:28" ht="13.2" x14ac:dyDescent="0.55000000000000004"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</row>
    <row r="819" spans="3:28" ht="13.2" x14ac:dyDescent="0.55000000000000004">
      <c r="C819" s="82"/>
      <c r="D819" s="82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</row>
    <row r="820" spans="3:28" ht="13.2" x14ac:dyDescent="0.55000000000000004">
      <c r="C820" s="82"/>
      <c r="D820" s="82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</row>
    <row r="821" spans="3:28" ht="13.2" x14ac:dyDescent="0.55000000000000004">
      <c r="C821" s="82"/>
      <c r="D821" s="82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</row>
    <row r="822" spans="3:28" ht="13.2" x14ac:dyDescent="0.55000000000000004">
      <c r="C822" s="82"/>
      <c r="D822" s="82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</row>
    <row r="823" spans="3:28" ht="13.2" x14ac:dyDescent="0.55000000000000004">
      <c r="C823" s="82"/>
      <c r="D823" s="82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</row>
    <row r="824" spans="3:28" ht="13.2" x14ac:dyDescent="0.55000000000000004">
      <c r="C824" s="82"/>
      <c r="D824" s="82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</row>
    <row r="825" spans="3:28" ht="13.2" x14ac:dyDescent="0.55000000000000004">
      <c r="C825" s="82"/>
      <c r="D825" s="82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</row>
    <row r="826" spans="3:28" ht="13.2" x14ac:dyDescent="0.55000000000000004">
      <c r="C826" s="82"/>
      <c r="D826" s="82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</row>
    <row r="827" spans="3:28" ht="13.2" x14ac:dyDescent="0.55000000000000004">
      <c r="C827" s="82"/>
      <c r="D827" s="82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</row>
    <row r="828" spans="3:28" ht="13.2" x14ac:dyDescent="0.55000000000000004">
      <c r="C828" s="82"/>
      <c r="D828" s="82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</row>
    <row r="829" spans="3:28" ht="13.2" x14ac:dyDescent="0.55000000000000004">
      <c r="C829" s="82"/>
      <c r="D829" s="82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</row>
    <row r="830" spans="3:28" ht="13.2" x14ac:dyDescent="0.55000000000000004">
      <c r="C830" s="82"/>
      <c r="D830" s="82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</row>
    <row r="831" spans="3:28" ht="13.2" x14ac:dyDescent="0.55000000000000004">
      <c r="C831" s="82"/>
      <c r="D831" s="82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</row>
    <row r="832" spans="3:28" ht="13.2" x14ac:dyDescent="0.55000000000000004"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</row>
    <row r="833" spans="3:28" ht="13.2" x14ac:dyDescent="0.55000000000000004">
      <c r="C833" s="82"/>
      <c r="D833" s="82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</row>
    <row r="834" spans="3:28" ht="13.2" x14ac:dyDescent="0.55000000000000004"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</row>
    <row r="835" spans="3:28" ht="13.2" x14ac:dyDescent="0.55000000000000004">
      <c r="C835" s="82"/>
      <c r="D835" s="82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</row>
    <row r="836" spans="3:28" ht="13.2" x14ac:dyDescent="0.55000000000000004"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</row>
    <row r="837" spans="3:28" ht="13.2" x14ac:dyDescent="0.55000000000000004">
      <c r="C837" s="82"/>
      <c r="D837" s="82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</row>
    <row r="838" spans="3:28" ht="13.2" x14ac:dyDescent="0.55000000000000004">
      <c r="C838" s="82"/>
      <c r="D838" s="82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</row>
    <row r="839" spans="3:28" ht="13.2" x14ac:dyDescent="0.55000000000000004">
      <c r="C839" s="82"/>
      <c r="D839" s="82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</row>
    <row r="840" spans="3:28" ht="13.2" x14ac:dyDescent="0.55000000000000004">
      <c r="C840" s="82"/>
      <c r="D840" s="82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</row>
    <row r="841" spans="3:28" ht="13.2" x14ac:dyDescent="0.55000000000000004">
      <c r="C841" s="82"/>
      <c r="D841" s="82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</row>
    <row r="842" spans="3:28" ht="13.2" x14ac:dyDescent="0.55000000000000004">
      <c r="C842" s="82"/>
      <c r="D842" s="82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</row>
    <row r="843" spans="3:28" ht="13.2" x14ac:dyDescent="0.55000000000000004">
      <c r="C843" s="82"/>
      <c r="D843" s="82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</row>
    <row r="844" spans="3:28" ht="13.2" x14ac:dyDescent="0.55000000000000004">
      <c r="C844" s="82"/>
      <c r="D844" s="82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</row>
    <row r="845" spans="3:28" ht="13.2" x14ac:dyDescent="0.55000000000000004">
      <c r="C845" s="82"/>
      <c r="D845" s="82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</row>
    <row r="846" spans="3:28" ht="13.2" x14ac:dyDescent="0.55000000000000004">
      <c r="C846" s="82"/>
      <c r="D846" s="82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</row>
    <row r="847" spans="3:28" ht="13.2" x14ac:dyDescent="0.55000000000000004">
      <c r="C847" s="82"/>
      <c r="D847" s="82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</row>
    <row r="848" spans="3:28" ht="13.2" x14ac:dyDescent="0.55000000000000004">
      <c r="C848" s="82"/>
      <c r="D848" s="82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</row>
    <row r="849" spans="3:28" ht="13.2" x14ac:dyDescent="0.55000000000000004">
      <c r="C849" s="82"/>
      <c r="D849" s="82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</row>
    <row r="850" spans="3:28" ht="13.2" x14ac:dyDescent="0.55000000000000004"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</row>
    <row r="851" spans="3:28" ht="13.2" x14ac:dyDescent="0.55000000000000004">
      <c r="C851" s="82"/>
      <c r="D851" s="82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</row>
    <row r="852" spans="3:28" ht="13.2" x14ac:dyDescent="0.55000000000000004"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</row>
    <row r="853" spans="3:28" ht="13.2" x14ac:dyDescent="0.55000000000000004">
      <c r="C853" s="82"/>
      <c r="D853" s="82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</row>
    <row r="854" spans="3:28" ht="13.2" x14ac:dyDescent="0.55000000000000004"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</row>
    <row r="855" spans="3:28" ht="13.2" x14ac:dyDescent="0.55000000000000004">
      <c r="C855" s="82"/>
      <c r="D855" s="82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</row>
    <row r="856" spans="3:28" ht="13.2" x14ac:dyDescent="0.55000000000000004"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</row>
    <row r="857" spans="3:28" ht="13.2" x14ac:dyDescent="0.55000000000000004">
      <c r="C857" s="82"/>
      <c r="D857" s="82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</row>
    <row r="858" spans="3:28" ht="13.2" x14ac:dyDescent="0.55000000000000004">
      <c r="C858" s="82"/>
      <c r="D858" s="82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</row>
    <row r="859" spans="3:28" ht="13.2" x14ac:dyDescent="0.55000000000000004">
      <c r="C859" s="82"/>
      <c r="D859" s="82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</row>
    <row r="860" spans="3:28" ht="13.2" x14ac:dyDescent="0.55000000000000004">
      <c r="C860" s="82"/>
      <c r="D860" s="82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</row>
    <row r="861" spans="3:28" ht="13.2" x14ac:dyDescent="0.55000000000000004">
      <c r="C861" s="82"/>
      <c r="D861" s="82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</row>
    <row r="862" spans="3:28" ht="13.2" x14ac:dyDescent="0.55000000000000004">
      <c r="C862" s="82"/>
      <c r="D862" s="82"/>
      <c r="E862" s="82"/>
      <c r="F862" s="82"/>
      <c r="G862" s="82"/>
      <c r="H862" s="82"/>
      <c r="I862" s="82"/>
      <c r="J862" s="82"/>
      <c r="K862" s="82"/>
      <c r="L862" s="82"/>
      <c r="M862" s="82"/>
      <c r="N862" s="82"/>
      <c r="O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</row>
    <row r="863" spans="3:28" ht="13.2" x14ac:dyDescent="0.55000000000000004">
      <c r="C863" s="82"/>
      <c r="D863" s="82"/>
      <c r="E863" s="82"/>
      <c r="F863" s="82"/>
      <c r="G863" s="82"/>
      <c r="H863" s="82"/>
      <c r="I863" s="82"/>
      <c r="J863" s="82"/>
      <c r="K863" s="82"/>
      <c r="L863" s="82"/>
      <c r="M863" s="82"/>
      <c r="N863" s="82"/>
      <c r="O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</row>
    <row r="864" spans="3:28" ht="13.2" x14ac:dyDescent="0.55000000000000004">
      <c r="C864" s="82"/>
      <c r="D864" s="82"/>
      <c r="E864" s="82"/>
      <c r="F864" s="82"/>
      <c r="G864" s="82"/>
      <c r="H864" s="82"/>
      <c r="I864" s="82"/>
      <c r="J864" s="82"/>
      <c r="K864" s="82"/>
      <c r="L864" s="82"/>
      <c r="M864" s="82"/>
      <c r="N864" s="82"/>
      <c r="O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</row>
    <row r="865" spans="3:28" ht="13.2" x14ac:dyDescent="0.55000000000000004">
      <c r="C865" s="82"/>
      <c r="D865" s="82"/>
      <c r="E865" s="82"/>
      <c r="F865" s="82"/>
      <c r="G865" s="82"/>
      <c r="H865" s="82"/>
      <c r="I865" s="82"/>
      <c r="J865" s="82"/>
      <c r="K865" s="82"/>
      <c r="L865" s="82"/>
      <c r="M865" s="82"/>
      <c r="N865" s="82"/>
      <c r="O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</row>
    <row r="866" spans="3:28" ht="13.2" x14ac:dyDescent="0.55000000000000004">
      <c r="C866" s="82"/>
      <c r="D866" s="82"/>
      <c r="E866" s="82"/>
      <c r="F866" s="82"/>
      <c r="G866" s="82"/>
      <c r="H866" s="82"/>
      <c r="I866" s="82"/>
      <c r="J866" s="82"/>
      <c r="K866" s="82"/>
      <c r="L866" s="82"/>
      <c r="M866" s="82"/>
      <c r="N866" s="82"/>
      <c r="O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</row>
    <row r="867" spans="3:28" ht="13.2" x14ac:dyDescent="0.55000000000000004">
      <c r="C867" s="82"/>
      <c r="D867" s="82"/>
      <c r="E867" s="82"/>
      <c r="F867" s="82"/>
      <c r="G867" s="82"/>
      <c r="H867" s="82"/>
      <c r="I867" s="82"/>
      <c r="J867" s="82"/>
      <c r="K867" s="82"/>
      <c r="L867" s="82"/>
      <c r="M867" s="82"/>
      <c r="N867" s="82"/>
      <c r="O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</row>
    <row r="868" spans="3:28" ht="13.2" x14ac:dyDescent="0.55000000000000004">
      <c r="C868" s="82"/>
      <c r="D868" s="82"/>
      <c r="E868" s="82"/>
      <c r="F868" s="82"/>
      <c r="G868" s="82"/>
      <c r="H868" s="82"/>
      <c r="I868" s="82"/>
      <c r="J868" s="82"/>
      <c r="K868" s="82"/>
      <c r="L868" s="82"/>
      <c r="M868" s="82"/>
      <c r="N868" s="82"/>
      <c r="O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</row>
    <row r="869" spans="3:28" ht="13.2" x14ac:dyDescent="0.55000000000000004">
      <c r="C869" s="82"/>
      <c r="D869" s="82"/>
      <c r="E869" s="82"/>
      <c r="F869" s="82"/>
      <c r="G869" s="82"/>
      <c r="H869" s="82"/>
      <c r="I869" s="82"/>
      <c r="J869" s="82"/>
      <c r="K869" s="82"/>
      <c r="L869" s="82"/>
      <c r="M869" s="82"/>
      <c r="N869" s="82"/>
      <c r="O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</row>
    <row r="870" spans="3:28" ht="13.2" x14ac:dyDescent="0.55000000000000004"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2"/>
      <c r="N870" s="82"/>
      <c r="O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</row>
    <row r="871" spans="3:28" ht="13.2" x14ac:dyDescent="0.55000000000000004">
      <c r="C871" s="82"/>
      <c r="D871" s="82"/>
      <c r="E871" s="82"/>
      <c r="F871" s="82"/>
      <c r="G871" s="82"/>
      <c r="H871" s="82"/>
      <c r="I871" s="82"/>
      <c r="J871" s="82"/>
      <c r="K871" s="82"/>
      <c r="L871" s="82"/>
      <c r="M871" s="82"/>
      <c r="N871" s="82"/>
      <c r="O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</row>
    <row r="872" spans="3:28" ht="13.2" x14ac:dyDescent="0.55000000000000004">
      <c r="C872" s="82"/>
      <c r="D872" s="82"/>
      <c r="E872" s="82"/>
      <c r="F872" s="82"/>
      <c r="G872" s="82"/>
      <c r="H872" s="82"/>
      <c r="I872" s="82"/>
      <c r="J872" s="82"/>
      <c r="K872" s="82"/>
      <c r="L872" s="82"/>
      <c r="M872" s="82"/>
      <c r="N872" s="82"/>
      <c r="O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</row>
    <row r="873" spans="3:28" ht="13.2" x14ac:dyDescent="0.55000000000000004">
      <c r="C873" s="82"/>
      <c r="D873" s="82"/>
      <c r="E873" s="82"/>
      <c r="F873" s="82"/>
      <c r="G873" s="82"/>
      <c r="H873" s="82"/>
      <c r="I873" s="82"/>
      <c r="J873" s="82"/>
      <c r="K873" s="82"/>
      <c r="L873" s="82"/>
      <c r="M873" s="82"/>
      <c r="N873" s="82"/>
      <c r="O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</row>
    <row r="874" spans="3:28" ht="13.2" x14ac:dyDescent="0.55000000000000004"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2"/>
      <c r="N874" s="82"/>
      <c r="O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</row>
    <row r="875" spans="3:28" ht="13.2" x14ac:dyDescent="0.55000000000000004">
      <c r="C875" s="82"/>
      <c r="D875" s="82"/>
      <c r="E875" s="82"/>
      <c r="F875" s="82"/>
      <c r="G875" s="82"/>
      <c r="H875" s="82"/>
      <c r="I875" s="82"/>
      <c r="J875" s="82"/>
      <c r="K875" s="82"/>
      <c r="L875" s="82"/>
      <c r="M875" s="82"/>
      <c r="N875" s="82"/>
      <c r="O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</row>
    <row r="876" spans="3:28" ht="13.2" x14ac:dyDescent="0.55000000000000004">
      <c r="C876" s="82"/>
      <c r="D876" s="82"/>
      <c r="E876" s="82"/>
      <c r="F876" s="82"/>
      <c r="G876" s="82"/>
      <c r="H876" s="82"/>
      <c r="I876" s="82"/>
      <c r="J876" s="82"/>
      <c r="K876" s="82"/>
      <c r="L876" s="82"/>
      <c r="M876" s="82"/>
      <c r="N876" s="82"/>
      <c r="O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</row>
    <row r="877" spans="3:28" ht="13.2" x14ac:dyDescent="0.55000000000000004">
      <c r="C877" s="82"/>
      <c r="D877" s="82"/>
      <c r="E877" s="82"/>
      <c r="F877" s="82"/>
      <c r="G877" s="82"/>
      <c r="H877" s="82"/>
      <c r="I877" s="82"/>
      <c r="J877" s="82"/>
      <c r="K877" s="82"/>
      <c r="L877" s="82"/>
      <c r="M877" s="82"/>
      <c r="N877" s="82"/>
      <c r="O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</row>
    <row r="878" spans="3:28" ht="13.2" x14ac:dyDescent="0.55000000000000004">
      <c r="C878" s="82"/>
      <c r="D878" s="82"/>
      <c r="E878" s="82"/>
      <c r="F878" s="82"/>
      <c r="G878" s="82"/>
      <c r="H878" s="82"/>
      <c r="I878" s="82"/>
      <c r="J878" s="82"/>
      <c r="K878" s="82"/>
      <c r="L878" s="82"/>
      <c r="M878" s="82"/>
      <c r="N878" s="82"/>
      <c r="O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</row>
    <row r="879" spans="3:28" ht="13.2" x14ac:dyDescent="0.55000000000000004">
      <c r="C879" s="82"/>
      <c r="D879" s="82"/>
      <c r="E879" s="82"/>
      <c r="F879" s="82"/>
      <c r="G879" s="82"/>
      <c r="H879" s="82"/>
      <c r="I879" s="82"/>
      <c r="J879" s="82"/>
      <c r="K879" s="82"/>
      <c r="L879" s="82"/>
      <c r="M879" s="82"/>
      <c r="N879" s="82"/>
      <c r="O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</row>
    <row r="880" spans="3:28" ht="13.2" x14ac:dyDescent="0.55000000000000004">
      <c r="C880" s="82"/>
      <c r="D880" s="82"/>
      <c r="E880" s="82"/>
      <c r="F880" s="82"/>
      <c r="G880" s="82"/>
      <c r="H880" s="82"/>
      <c r="I880" s="82"/>
      <c r="J880" s="82"/>
      <c r="K880" s="82"/>
      <c r="L880" s="82"/>
      <c r="M880" s="82"/>
      <c r="N880" s="82"/>
      <c r="O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</row>
    <row r="881" spans="3:28" ht="13.2" x14ac:dyDescent="0.55000000000000004">
      <c r="C881" s="82"/>
      <c r="D881" s="82"/>
      <c r="E881" s="82"/>
      <c r="F881" s="82"/>
      <c r="G881" s="82"/>
      <c r="H881" s="82"/>
      <c r="I881" s="82"/>
      <c r="J881" s="82"/>
      <c r="K881" s="82"/>
      <c r="L881" s="82"/>
      <c r="M881" s="82"/>
      <c r="N881" s="82"/>
      <c r="O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</row>
    <row r="882" spans="3:28" ht="13.2" x14ac:dyDescent="0.55000000000000004">
      <c r="C882" s="82"/>
      <c r="D882" s="82"/>
      <c r="E882" s="82"/>
      <c r="F882" s="82"/>
      <c r="G882" s="82"/>
      <c r="H882" s="82"/>
      <c r="I882" s="82"/>
      <c r="J882" s="82"/>
      <c r="K882" s="82"/>
      <c r="L882" s="82"/>
      <c r="M882" s="82"/>
      <c r="N882" s="82"/>
      <c r="O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</row>
    <row r="883" spans="3:28" ht="13.2" x14ac:dyDescent="0.55000000000000004">
      <c r="C883" s="82"/>
      <c r="D883" s="82"/>
      <c r="E883" s="82"/>
      <c r="F883" s="82"/>
      <c r="G883" s="82"/>
      <c r="H883" s="82"/>
      <c r="I883" s="82"/>
      <c r="J883" s="82"/>
      <c r="K883" s="82"/>
      <c r="L883" s="82"/>
      <c r="M883" s="82"/>
      <c r="N883" s="82"/>
      <c r="O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</row>
    <row r="884" spans="3:28" ht="13.2" x14ac:dyDescent="0.55000000000000004">
      <c r="C884" s="82"/>
      <c r="D884" s="82"/>
      <c r="E884" s="82"/>
      <c r="F884" s="82"/>
      <c r="G884" s="82"/>
      <c r="H884" s="82"/>
      <c r="I884" s="82"/>
      <c r="J884" s="82"/>
      <c r="K884" s="82"/>
      <c r="L884" s="82"/>
      <c r="M884" s="82"/>
      <c r="N884" s="82"/>
      <c r="O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</row>
    <row r="885" spans="3:28" ht="13.2" x14ac:dyDescent="0.55000000000000004">
      <c r="C885" s="82"/>
      <c r="D885" s="82"/>
      <c r="E885" s="82"/>
      <c r="F885" s="82"/>
      <c r="G885" s="82"/>
      <c r="H885" s="82"/>
      <c r="I885" s="82"/>
      <c r="J885" s="82"/>
      <c r="K885" s="82"/>
      <c r="L885" s="82"/>
      <c r="M885" s="82"/>
      <c r="N885" s="82"/>
      <c r="O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</row>
    <row r="886" spans="3:28" ht="13.2" x14ac:dyDescent="0.55000000000000004">
      <c r="C886" s="82"/>
      <c r="D886" s="82"/>
      <c r="E886" s="82"/>
      <c r="F886" s="82"/>
      <c r="G886" s="82"/>
      <c r="H886" s="82"/>
      <c r="I886" s="82"/>
      <c r="J886" s="82"/>
      <c r="K886" s="82"/>
      <c r="L886" s="82"/>
      <c r="M886" s="82"/>
      <c r="N886" s="82"/>
      <c r="O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</row>
    <row r="887" spans="3:28" ht="13.2" x14ac:dyDescent="0.55000000000000004">
      <c r="C887" s="82"/>
      <c r="D887" s="82"/>
      <c r="E887" s="82"/>
      <c r="F887" s="82"/>
      <c r="G887" s="82"/>
      <c r="H887" s="82"/>
      <c r="I887" s="82"/>
      <c r="J887" s="82"/>
      <c r="K887" s="82"/>
      <c r="L887" s="82"/>
      <c r="M887" s="82"/>
      <c r="N887" s="82"/>
      <c r="O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</row>
    <row r="888" spans="3:28" ht="13.2" x14ac:dyDescent="0.55000000000000004"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2"/>
      <c r="N888" s="82"/>
      <c r="O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</row>
    <row r="889" spans="3:28" ht="13.2" x14ac:dyDescent="0.55000000000000004">
      <c r="C889" s="82"/>
      <c r="D889" s="82"/>
      <c r="E889" s="82"/>
      <c r="F889" s="82"/>
      <c r="G889" s="82"/>
      <c r="H889" s="82"/>
      <c r="I889" s="82"/>
      <c r="J889" s="82"/>
      <c r="K889" s="82"/>
      <c r="L889" s="82"/>
      <c r="M889" s="82"/>
      <c r="N889" s="82"/>
      <c r="O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</row>
    <row r="890" spans="3:28" ht="13.2" x14ac:dyDescent="0.55000000000000004"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2"/>
      <c r="N890" s="82"/>
      <c r="O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</row>
    <row r="891" spans="3:28" ht="13.2" x14ac:dyDescent="0.55000000000000004">
      <c r="C891" s="82"/>
      <c r="D891" s="82"/>
      <c r="E891" s="82"/>
      <c r="F891" s="82"/>
      <c r="G891" s="82"/>
      <c r="H891" s="82"/>
      <c r="I891" s="82"/>
      <c r="J891" s="82"/>
      <c r="K891" s="82"/>
      <c r="L891" s="82"/>
      <c r="M891" s="82"/>
      <c r="N891" s="82"/>
      <c r="O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</row>
    <row r="892" spans="3:28" ht="13.2" x14ac:dyDescent="0.55000000000000004"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2"/>
      <c r="N892" s="82"/>
      <c r="O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</row>
    <row r="893" spans="3:28" ht="13.2" x14ac:dyDescent="0.55000000000000004">
      <c r="C893" s="82"/>
      <c r="D893" s="82"/>
      <c r="E893" s="82"/>
      <c r="F893" s="82"/>
      <c r="G893" s="82"/>
      <c r="H893" s="82"/>
      <c r="I893" s="82"/>
      <c r="J893" s="82"/>
      <c r="K893" s="82"/>
      <c r="L893" s="82"/>
      <c r="M893" s="82"/>
      <c r="N893" s="82"/>
      <c r="O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</row>
    <row r="894" spans="3:28" ht="13.2" x14ac:dyDescent="0.55000000000000004"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2"/>
      <c r="N894" s="82"/>
      <c r="O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</row>
    <row r="895" spans="3:28" ht="13.2" x14ac:dyDescent="0.55000000000000004">
      <c r="C895" s="82"/>
      <c r="D895" s="82"/>
      <c r="E895" s="82"/>
      <c r="F895" s="82"/>
      <c r="G895" s="82"/>
      <c r="H895" s="82"/>
      <c r="I895" s="82"/>
      <c r="J895" s="82"/>
      <c r="K895" s="82"/>
      <c r="L895" s="82"/>
      <c r="M895" s="82"/>
      <c r="N895" s="82"/>
      <c r="O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</row>
    <row r="896" spans="3:28" ht="13.2" x14ac:dyDescent="0.55000000000000004">
      <c r="C896" s="82"/>
      <c r="D896" s="82"/>
      <c r="E896" s="82"/>
      <c r="F896" s="82"/>
      <c r="G896" s="82"/>
      <c r="H896" s="82"/>
      <c r="I896" s="82"/>
      <c r="J896" s="82"/>
      <c r="K896" s="82"/>
      <c r="L896" s="82"/>
      <c r="M896" s="82"/>
      <c r="N896" s="82"/>
      <c r="O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</row>
    <row r="897" spans="3:28" ht="13.2" x14ac:dyDescent="0.55000000000000004">
      <c r="C897" s="82"/>
      <c r="D897" s="82"/>
      <c r="E897" s="82"/>
      <c r="F897" s="82"/>
      <c r="G897" s="82"/>
      <c r="H897" s="82"/>
      <c r="I897" s="82"/>
      <c r="J897" s="82"/>
      <c r="K897" s="82"/>
      <c r="L897" s="82"/>
      <c r="M897" s="82"/>
      <c r="N897" s="82"/>
      <c r="O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</row>
    <row r="898" spans="3:28" ht="13.2" x14ac:dyDescent="0.55000000000000004">
      <c r="C898" s="82"/>
      <c r="D898" s="82"/>
      <c r="E898" s="82"/>
      <c r="F898" s="82"/>
      <c r="G898" s="82"/>
      <c r="H898" s="82"/>
      <c r="I898" s="82"/>
      <c r="J898" s="82"/>
      <c r="K898" s="82"/>
      <c r="L898" s="82"/>
      <c r="M898" s="82"/>
      <c r="N898" s="82"/>
      <c r="O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</row>
    <row r="899" spans="3:28" ht="13.2" x14ac:dyDescent="0.55000000000000004">
      <c r="C899" s="82"/>
      <c r="D899" s="82"/>
      <c r="E899" s="82"/>
      <c r="F899" s="82"/>
      <c r="G899" s="82"/>
      <c r="H899" s="82"/>
      <c r="I899" s="82"/>
      <c r="J899" s="82"/>
      <c r="K899" s="82"/>
      <c r="L899" s="82"/>
      <c r="M899" s="82"/>
      <c r="N899" s="82"/>
      <c r="O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</row>
    <row r="900" spans="3:28" ht="13.2" x14ac:dyDescent="0.55000000000000004">
      <c r="C900" s="82"/>
      <c r="D900" s="82"/>
      <c r="E900" s="82"/>
      <c r="F900" s="82"/>
      <c r="G900" s="82"/>
      <c r="H900" s="82"/>
      <c r="I900" s="82"/>
      <c r="J900" s="82"/>
      <c r="K900" s="82"/>
      <c r="L900" s="82"/>
      <c r="M900" s="82"/>
      <c r="N900" s="82"/>
      <c r="O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</row>
    <row r="901" spans="3:28" ht="13.2" x14ac:dyDescent="0.55000000000000004">
      <c r="C901" s="82"/>
      <c r="D901" s="82"/>
      <c r="E901" s="82"/>
      <c r="F901" s="82"/>
      <c r="G901" s="82"/>
      <c r="H901" s="82"/>
      <c r="I901" s="82"/>
      <c r="J901" s="82"/>
      <c r="K901" s="82"/>
      <c r="L901" s="82"/>
      <c r="M901" s="82"/>
      <c r="N901" s="82"/>
      <c r="O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</row>
    <row r="902" spans="3:28" ht="13.2" x14ac:dyDescent="0.55000000000000004">
      <c r="C902" s="82"/>
      <c r="D902" s="82"/>
      <c r="E902" s="82"/>
      <c r="F902" s="82"/>
      <c r="G902" s="82"/>
      <c r="H902" s="82"/>
      <c r="I902" s="82"/>
      <c r="J902" s="82"/>
      <c r="K902" s="82"/>
      <c r="L902" s="82"/>
      <c r="M902" s="82"/>
      <c r="N902" s="82"/>
      <c r="O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</row>
    <row r="903" spans="3:28" ht="13.2" x14ac:dyDescent="0.55000000000000004">
      <c r="C903" s="82"/>
      <c r="D903" s="82"/>
      <c r="E903" s="82"/>
      <c r="F903" s="82"/>
      <c r="G903" s="82"/>
      <c r="H903" s="82"/>
      <c r="I903" s="82"/>
      <c r="J903" s="82"/>
      <c r="K903" s="82"/>
      <c r="L903" s="82"/>
      <c r="M903" s="82"/>
      <c r="N903" s="82"/>
      <c r="O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</row>
    <row r="904" spans="3:28" ht="13.2" x14ac:dyDescent="0.55000000000000004">
      <c r="C904" s="82"/>
      <c r="D904" s="82"/>
      <c r="E904" s="82"/>
      <c r="F904" s="82"/>
      <c r="G904" s="82"/>
      <c r="H904" s="82"/>
      <c r="I904" s="82"/>
      <c r="J904" s="82"/>
      <c r="K904" s="82"/>
      <c r="L904" s="82"/>
      <c r="M904" s="82"/>
      <c r="N904" s="82"/>
      <c r="O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</row>
    <row r="905" spans="3:28" ht="13.2" x14ac:dyDescent="0.55000000000000004">
      <c r="C905" s="82"/>
      <c r="D905" s="82"/>
      <c r="E905" s="82"/>
      <c r="F905" s="82"/>
      <c r="G905" s="82"/>
      <c r="H905" s="82"/>
      <c r="I905" s="82"/>
      <c r="J905" s="82"/>
      <c r="K905" s="82"/>
      <c r="L905" s="82"/>
      <c r="M905" s="82"/>
      <c r="N905" s="82"/>
      <c r="O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</row>
    <row r="906" spans="3:28" ht="13.2" x14ac:dyDescent="0.55000000000000004">
      <c r="C906" s="82"/>
      <c r="D906" s="82"/>
      <c r="E906" s="82"/>
      <c r="F906" s="82"/>
      <c r="G906" s="82"/>
      <c r="H906" s="82"/>
      <c r="I906" s="82"/>
      <c r="J906" s="82"/>
      <c r="K906" s="82"/>
      <c r="L906" s="82"/>
      <c r="M906" s="82"/>
      <c r="N906" s="82"/>
      <c r="O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</row>
    <row r="907" spans="3:28" ht="13.2" x14ac:dyDescent="0.55000000000000004">
      <c r="C907" s="82"/>
      <c r="D907" s="82"/>
      <c r="E907" s="82"/>
      <c r="F907" s="82"/>
      <c r="G907" s="82"/>
      <c r="H907" s="82"/>
      <c r="I907" s="82"/>
      <c r="J907" s="82"/>
      <c r="K907" s="82"/>
      <c r="L907" s="82"/>
      <c r="M907" s="82"/>
      <c r="N907" s="82"/>
      <c r="O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</row>
    <row r="908" spans="3:28" ht="13.2" x14ac:dyDescent="0.55000000000000004"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2"/>
      <c r="N908" s="82"/>
      <c r="O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</row>
    <row r="909" spans="3:28" ht="13.2" x14ac:dyDescent="0.55000000000000004">
      <c r="C909" s="82"/>
      <c r="D909" s="82"/>
      <c r="E909" s="82"/>
      <c r="F909" s="82"/>
      <c r="G909" s="82"/>
      <c r="H909" s="82"/>
      <c r="I909" s="82"/>
      <c r="J909" s="82"/>
      <c r="K909" s="82"/>
      <c r="L909" s="82"/>
      <c r="M909" s="82"/>
      <c r="N909" s="82"/>
      <c r="O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</row>
    <row r="910" spans="3:28" ht="13.2" x14ac:dyDescent="0.55000000000000004"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2"/>
      <c r="N910" s="82"/>
      <c r="O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</row>
    <row r="911" spans="3:28" ht="13.2" x14ac:dyDescent="0.55000000000000004">
      <c r="C911" s="82"/>
      <c r="D911" s="82"/>
      <c r="E911" s="82"/>
      <c r="F911" s="82"/>
      <c r="G911" s="82"/>
      <c r="H911" s="82"/>
      <c r="I911" s="82"/>
      <c r="J911" s="82"/>
      <c r="K911" s="82"/>
      <c r="L911" s="82"/>
      <c r="M911" s="82"/>
      <c r="N911" s="82"/>
      <c r="O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</row>
    <row r="912" spans="3:28" ht="13.2" x14ac:dyDescent="0.55000000000000004"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2"/>
      <c r="N912" s="82"/>
      <c r="O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</row>
    <row r="913" spans="3:28" ht="13.2" x14ac:dyDescent="0.55000000000000004">
      <c r="C913" s="82"/>
      <c r="D913" s="82"/>
      <c r="E913" s="82"/>
      <c r="F913" s="82"/>
      <c r="G913" s="82"/>
      <c r="H913" s="82"/>
      <c r="I913" s="82"/>
      <c r="J913" s="82"/>
      <c r="K913" s="82"/>
      <c r="L913" s="82"/>
      <c r="M913" s="82"/>
      <c r="N913" s="82"/>
      <c r="O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</row>
    <row r="914" spans="3:28" ht="13.2" x14ac:dyDescent="0.55000000000000004">
      <c r="C914" s="82"/>
      <c r="D914" s="82"/>
      <c r="E914" s="82"/>
      <c r="F914" s="82"/>
      <c r="G914" s="82"/>
      <c r="H914" s="82"/>
      <c r="I914" s="82"/>
      <c r="J914" s="82"/>
      <c r="K914" s="82"/>
      <c r="L914" s="82"/>
      <c r="M914" s="82"/>
      <c r="N914" s="82"/>
      <c r="O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</row>
    <row r="915" spans="3:28" ht="13.2" x14ac:dyDescent="0.55000000000000004">
      <c r="C915" s="82"/>
      <c r="D915" s="82"/>
      <c r="E915" s="82"/>
      <c r="F915" s="82"/>
      <c r="G915" s="82"/>
      <c r="H915" s="82"/>
      <c r="I915" s="82"/>
      <c r="J915" s="82"/>
      <c r="K915" s="82"/>
      <c r="L915" s="82"/>
      <c r="M915" s="82"/>
      <c r="N915" s="82"/>
      <c r="O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</row>
    <row r="916" spans="3:28" ht="13.2" x14ac:dyDescent="0.55000000000000004">
      <c r="C916" s="82"/>
      <c r="D916" s="82"/>
      <c r="E916" s="82"/>
      <c r="F916" s="82"/>
      <c r="G916" s="82"/>
      <c r="H916" s="82"/>
      <c r="I916" s="82"/>
      <c r="J916" s="82"/>
      <c r="K916" s="82"/>
      <c r="L916" s="82"/>
      <c r="M916" s="82"/>
      <c r="N916" s="82"/>
      <c r="O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</row>
    <row r="917" spans="3:28" ht="13.2" x14ac:dyDescent="0.55000000000000004">
      <c r="C917" s="82"/>
      <c r="D917" s="82"/>
      <c r="E917" s="82"/>
      <c r="F917" s="82"/>
      <c r="G917" s="82"/>
      <c r="H917" s="82"/>
      <c r="I917" s="82"/>
      <c r="J917" s="82"/>
      <c r="K917" s="82"/>
      <c r="L917" s="82"/>
      <c r="M917" s="82"/>
      <c r="N917" s="82"/>
      <c r="O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</row>
    <row r="918" spans="3:28" ht="13.2" x14ac:dyDescent="0.55000000000000004">
      <c r="C918" s="82"/>
      <c r="D918" s="82"/>
      <c r="E918" s="82"/>
      <c r="F918" s="82"/>
      <c r="G918" s="82"/>
      <c r="H918" s="82"/>
      <c r="I918" s="82"/>
      <c r="J918" s="82"/>
      <c r="K918" s="82"/>
      <c r="L918" s="82"/>
      <c r="M918" s="82"/>
      <c r="N918" s="82"/>
      <c r="O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</row>
    <row r="919" spans="3:28" ht="13.2" x14ac:dyDescent="0.55000000000000004">
      <c r="C919" s="82"/>
      <c r="D919" s="82"/>
      <c r="E919" s="82"/>
      <c r="F919" s="82"/>
      <c r="G919" s="82"/>
      <c r="H919" s="82"/>
      <c r="I919" s="82"/>
      <c r="J919" s="82"/>
      <c r="K919" s="82"/>
      <c r="L919" s="82"/>
      <c r="M919" s="82"/>
      <c r="N919" s="82"/>
      <c r="O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</row>
    <row r="920" spans="3:28" ht="13.2" x14ac:dyDescent="0.55000000000000004">
      <c r="C920" s="82"/>
      <c r="D920" s="82"/>
      <c r="E920" s="82"/>
      <c r="F920" s="82"/>
      <c r="G920" s="82"/>
      <c r="H920" s="82"/>
      <c r="I920" s="82"/>
      <c r="J920" s="82"/>
      <c r="K920" s="82"/>
      <c r="L920" s="82"/>
      <c r="M920" s="82"/>
      <c r="N920" s="82"/>
      <c r="O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</row>
    <row r="921" spans="3:28" ht="13.2" x14ac:dyDescent="0.55000000000000004">
      <c r="C921" s="82"/>
      <c r="D921" s="82"/>
      <c r="E921" s="82"/>
      <c r="F921" s="82"/>
      <c r="G921" s="82"/>
      <c r="H921" s="82"/>
      <c r="I921" s="82"/>
      <c r="J921" s="82"/>
      <c r="K921" s="82"/>
      <c r="L921" s="82"/>
      <c r="M921" s="82"/>
      <c r="N921" s="82"/>
      <c r="O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</row>
    <row r="922" spans="3:28" ht="13.2" x14ac:dyDescent="0.55000000000000004">
      <c r="C922" s="82"/>
      <c r="D922" s="82"/>
      <c r="E922" s="82"/>
      <c r="F922" s="82"/>
      <c r="G922" s="82"/>
      <c r="H922" s="82"/>
      <c r="I922" s="82"/>
      <c r="J922" s="82"/>
      <c r="K922" s="82"/>
      <c r="L922" s="82"/>
      <c r="M922" s="82"/>
      <c r="N922" s="82"/>
      <c r="O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</row>
    <row r="923" spans="3:28" ht="13.2" x14ac:dyDescent="0.55000000000000004">
      <c r="C923" s="82"/>
      <c r="D923" s="82"/>
      <c r="E923" s="82"/>
      <c r="F923" s="82"/>
      <c r="G923" s="82"/>
      <c r="H923" s="82"/>
      <c r="I923" s="82"/>
      <c r="J923" s="82"/>
      <c r="K923" s="82"/>
      <c r="L923" s="82"/>
      <c r="M923" s="82"/>
      <c r="N923" s="82"/>
      <c r="O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</row>
    <row r="924" spans="3:28" ht="13.2" x14ac:dyDescent="0.55000000000000004">
      <c r="C924" s="82"/>
      <c r="D924" s="82"/>
      <c r="E924" s="82"/>
      <c r="F924" s="82"/>
      <c r="G924" s="82"/>
      <c r="H924" s="82"/>
      <c r="I924" s="82"/>
      <c r="J924" s="82"/>
      <c r="K924" s="82"/>
      <c r="L924" s="82"/>
      <c r="M924" s="82"/>
      <c r="N924" s="82"/>
      <c r="O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</row>
    <row r="925" spans="3:28" ht="13.2" x14ac:dyDescent="0.55000000000000004">
      <c r="C925" s="82"/>
      <c r="D925" s="82"/>
      <c r="E925" s="82"/>
      <c r="F925" s="82"/>
      <c r="G925" s="82"/>
      <c r="H925" s="82"/>
      <c r="I925" s="82"/>
      <c r="J925" s="82"/>
      <c r="K925" s="82"/>
      <c r="L925" s="82"/>
      <c r="M925" s="82"/>
      <c r="N925" s="82"/>
      <c r="O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</row>
    <row r="926" spans="3:28" ht="13.2" x14ac:dyDescent="0.55000000000000004"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2"/>
      <c r="N926" s="82"/>
      <c r="O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</row>
    <row r="927" spans="3:28" ht="13.2" x14ac:dyDescent="0.55000000000000004">
      <c r="C927" s="82"/>
      <c r="D927" s="82"/>
      <c r="E927" s="82"/>
      <c r="F927" s="82"/>
      <c r="G927" s="82"/>
      <c r="H927" s="82"/>
      <c r="I927" s="82"/>
      <c r="J927" s="82"/>
      <c r="K927" s="82"/>
      <c r="L927" s="82"/>
      <c r="M927" s="82"/>
      <c r="N927" s="82"/>
      <c r="O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</row>
    <row r="928" spans="3:28" ht="13.2" x14ac:dyDescent="0.55000000000000004"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2"/>
      <c r="N928" s="82"/>
      <c r="O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</row>
    <row r="929" spans="3:28" ht="13.2" x14ac:dyDescent="0.55000000000000004">
      <c r="C929" s="82"/>
      <c r="D929" s="82"/>
      <c r="E929" s="82"/>
      <c r="F929" s="82"/>
      <c r="G929" s="82"/>
      <c r="H929" s="82"/>
      <c r="I929" s="82"/>
      <c r="J929" s="82"/>
      <c r="K929" s="82"/>
      <c r="L929" s="82"/>
      <c r="M929" s="82"/>
      <c r="N929" s="82"/>
      <c r="O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</row>
    <row r="930" spans="3:28" ht="13.2" x14ac:dyDescent="0.55000000000000004"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2"/>
      <c r="N930" s="82"/>
      <c r="O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</row>
    <row r="931" spans="3:28" ht="13.2" x14ac:dyDescent="0.55000000000000004">
      <c r="C931" s="82"/>
      <c r="D931" s="82"/>
      <c r="E931" s="82"/>
      <c r="F931" s="82"/>
      <c r="G931" s="82"/>
      <c r="H931" s="82"/>
      <c r="I931" s="82"/>
      <c r="J931" s="82"/>
      <c r="K931" s="82"/>
      <c r="L931" s="82"/>
      <c r="M931" s="82"/>
      <c r="N931" s="82"/>
      <c r="O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</row>
    <row r="932" spans="3:28" ht="13.2" x14ac:dyDescent="0.55000000000000004"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2"/>
      <c r="N932" s="82"/>
      <c r="O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</row>
    <row r="933" spans="3:28" ht="13.2" x14ac:dyDescent="0.55000000000000004">
      <c r="C933" s="82"/>
      <c r="D933" s="82"/>
      <c r="E933" s="82"/>
      <c r="F933" s="82"/>
      <c r="G933" s="82"/>
      <c r="H933" s="82"/>
      <c r="I933" s="82"/>
      <c r="J933" s="82"/>
      <c r="K933" s="82"/>
      <c r="L933" s="82"/>
      <c r="M933" s="82"/>
      <c r="N933" s="82"/>
      <c r="O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</row>
    <row r="934" spans="3:28" ht="13.2" x14ac:dyDescent="0.55000000000000004">
      <c r="C934" s="82"/>
      <c r="D934" s="82"/>
      <c r="E934" s="82"/>
      <c r="F934" s="82"/>
      <c r="G934" s="82"/>
      <c r="H934" s="82"/>
      <c r="I934" s="82"/>
      <c r="J934" s="82"/>
      <c r="K934" s="82"/>
      <c r="L934" s="82"/>
      <c r="M934" s="82"/>
      <c r="N934" s="82"/>
      <c r="O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</row>
    <row r="935" spans="3:28" ht="13.2" x14ac:dyDescent="0.55000000000000004">
      <c r="C935" s="82"/>
      <c r="D935" s="82"/>
      <c r="E935" s="82"/>
      <c r="F935" s="82"/>
      <c r="G935" s="82"/>
      <c r="H935" s="82"/>
      <c r="I935" s="82"/>
      <c r="J935" s="82"/>
      <c r="K935" s="82"/>
      <c r="L935" s="82"/>
      <c r="M935" s="82"/>
      <c r="N935" s="82"/>
      <c r="O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</row>
    <row r="936" spans="3:28" ht="13.2" x14ac:dyDescent="0.55000000000000004">
      <c r="C936" s="82"/>
      <c r="D936" s="82"/>
      <c r="E936" s="82"/>
      <c r="F936" s="82"/>
      <c r="G936" s="82"/>
      <c r="H936" s="82"/>
      <c r="I936" s="82"/>
      <c r="J936" s="82"/>
      <c r="K936" s="82"/>
      <c r="L936" s="82"/>
      <c r="M936" s="82"/>
      <c r="N936" s="82"/>
      <c r="O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</row>
    <row r="937" spans="3:28" ht="13.2" x14ac:dyDescent="0.55000000000000004">
      <c r="C937" s="82"/>
      <c r="D937" s="82"/>
      <c r="E937" s="82"/>
      <c r="F937" s="82"/>
      <c r="G937" s="82"/>
      <c r="H937" s="82"/>
      <c r="I937" s="82"/>
      <c r="J937" s="82"/>
      <c r="K937" s="82"/>
      <c r="L937" s="82"/>
      <c r="M937" s="82"/>
      <c r="N937" s="82"/>
      <c r="O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</row>
    <row r="938" spans="3:28" ht="13.2" x14ac:dyDescent="0.55000000000000004">
      <c r="C938" s="82"/>
      <c r="D938" s="82"/>
      <c r="E938" s="82"/>
      <c r="F938" s="82"/>
      <c r="G938" s="82"/>
      <c r="H938" s="82"/>
      <c r="I938" s="82"/>
      <c r="J938" s="82"/>
      <c r="K938" s="82"/>
      <c r="L938" s="82"/>
      <c r="M938" s="82"/>
      <c r="N938" s="82"/>
      <c r="O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</row>
    <row r="939" spans="3:28" ht="13.2" x14ac:dyDescent="0.55000000000000004">
      <c r="C939" s="82"/>
      <c r="D939" s="82"/>
      <c r="E939" s="82"/>
      <c r="F939" s="82"/>
      <c r="G939" s="82"/>
      <c r="H939" s="82"/>
      <c r="I939" s="82"/>
      <c r="J939" s="82"/>
      <c r="K939" s="82"/>
      <c r="L939" s="82"/>
      <c r="M939" s="82"/>
      <c r="N939" s="82"/>
      <c r="O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</row>
    <row r="940" spans="3:28" ht="13.2" x14ac:dyDescent="0.55000000000000004">
      <c r="C940" s="82"/>
      <c r="D940" s="82"/>
      <c r="E940" s="82"/>
      <c r="F940" s="82"/>
      <c r="G940" s="82"/>
      <c r="H940" s="82"/>
      <c r="I940" s="82"/>
      <c r="J940" s="82"/>
      <c r="K940" s="82"/>
      <c r="L940" s="82"/>
      <c r="M940" s="82"/>
      <c r="N940" s="82"/>
      <c r="O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</row>
    <row r="941" spans="3:28" ht="13.2" x14ac:dyDescent="0.55000000000000004">
      <c r="C941" s="82"/>
      <c r="D941" s="82"/>
      <c r="E941" s="82"/>
      <c r="F941" s="82"/>
      <c r="G941" s="82"/>
      <c r="H941" s="82"/>
      <c r="I941" s="82"/>
      <c r="J941" s="82"/>
      <c r="K941" s="82"/>
      <c r="L941" s="82"/>
      <c r="M941" s="82"/>
      <c r="N941" s="82"/>
      <c r="O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</row>
    <row r="942" spans="3:28" ht="13.2" x14ac:dyDescent="0.55000000000000004">
      <c r="C942" s="82"/>
      <c r="D942" s="82"/>
      <c r="E942" s="82"/>
      <c r="F942" s="82"/>
      <c r="G942" s="82"/>
      <c r="H942" s="82"/>
      <c r="I942" s="82"/>
      <c r="J942" s="82"/>
      <c r="K942" s="82"/>
      <c r="L942" s="82"/>
      <c r="M942" s="82"/>
      <c r="N942" s="82"/>
      <c r="O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</row>
    <row r="943" spans="3:28" ht="13.2" x14ac:dyDescent="0.55000000000000004">
      <c r="C943" s="82"/>
      <c r="D943" s="82"/>
      <c r="E943" s="82"/>
      <c r="F943" s="82"/>
      <c r="G943" s="82"/>
      <c r="H943" s="82"/>
      <c r="I943" s="82"/>
      <c r="J943" s="82"/>
      <c r="K943" s="82"/>
      <c r="L943" s="82"/>
      <c r="M943" s="82"/>
      <c r="N943" s="82"/>
      <c r="O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</row>
    <row r="944" spans="3:28" ht="13.2" x14ac:dyDescent="0.55000000000000004">
      <c r="C944" s="82"/>
      <c r="D944" s="82"/>
      <c r="E944" s="82"/>
      <c r="F944" s="82"/>
      <c r="G944" s="82"/>
      <c r="H944" s="82"/>
      <c r="I944" s="82"/>
      <c r="J944" s="82"/>
      <c r="K944" s="82"/>
      <c r="L944" s="82"/>
      <c r="M944" s="82"/>
      <c r="N944" s="82"/>
      <c r="O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</row>
    <row r="945" spans="3:28" ht="13.2" x14ac:dyDescent="0.55000000000000004">
      <c r="C945" s="82"/>
      <c r="D945" s="82"/>
      <c r="E945" s="82"/>
      <c r="F945" s="82"/>
      <c r="G945" s="82"/>
      <c r="H945" s="82"/>
      <c r="I945" s="82"/>
      <c r="J945" s="82"/>
      <c r="K945" s="82"/>
      <c r="L945" s="82"/>
      <c r="M945" s="82"/>
      <c r="N945" s="82"/>
      <c r="O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</row>
    <row r="946" spans="3:28" ht="13.2" x14ac:dyDescent="0.55000000000000004"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2"/>
      <c r="N946" s="82"/>
      <c r="O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</row>
    <row r="947" spans="3:28" ht="13.2" x14ac:dyDescent="0.55000000000000004">
      <c r="C947" s="82"/>
      <c r="D947" s="82"/>
      <c r="E947" s="82"/>
      <c r="F947" s="82"/>
      <c r="G947" s="82"/>
      <c r="H947" s="82"/>
      <c r="I947" s="82"/>
      <c r="J947" s="82"/>
      <c r="K947" s="82"/>
      <c r="L947" s="82"/>
      <c r="M947" s="82"/>
      <c r="N947" s="82"/>
      <c r="O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</row>
    <row r="948" spans="3:28" ht="13.2" x14ac:dyDescent="0.55000000000000004"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2"/>
      <c r="N948" s="82"/>
      <c r="O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</row>
    <row r="949" spans="3:28" ht="13.2" x14ac:dyDescent="0.55000000000000004">
      <c r="C949" s="82"/>
      <c r="D949" s="82"/>
      <c r="E949" s="82"/>
      <c r="F949" s="82"/>
      <c r="G949" s="82"/>
      <c r="H949" s="82"/>
      <c r="I949" s="82"/>
      <c r="J949" s="82"/>
      <c r="K949" s="82"/>
      <c r="L949" s="82"/>
      <c r="M949" s="82"/>
      <c r="N949" s="82"/>
      <c r="O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</row>
    <row r="950" spans="3:28" ht="13.2" x14ac:dyDescent="0.55000000000000004"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2"/>
      <c r="N950" s="82"/>
      <c r="O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</row>
    <row r="951" spans="3:28" ht="13.2" x14ac:dyDescent="0.55000000000000004">
      <c r="C951" s="82"/>
      <c r="D951" s="82"/>
      <c r="E951" s="82"/>
      <c r="F951" s="82"/>
      <c r="G951" s="82"/>
      <c r="H951" s="82"/>
      <c r="I951" s="82"/>
      <c r="J951" s="82"/>
      <c r="K951" s="82"/>
      <c r="L951" s="82"/>
      <c r="M951" s="82"/>
      <c r="N951" s="82"/>
      <c r="O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</row>
    <row r="952" spans="3:28" ht="13.2" x14ac:dyDescent="0.55000000000000004">
      <c r="C952" s="82"/>
      <c r="D952" s="82"/>
      <c r="E952" s="82"/>
      <c r="F952" s="82"/>
      <c r="G952" s="82"/>
      <c r="H952" s="82"/>
      <c r="I952" s="82"/>
      <c r="J952" s="82"/>
      <c r="K952" s="82"/>
      <c r="L952" s="82"/>
      <c r="M952" s="82"/>
      <c r="N952" s="82"/>
      <c r="O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</row>
    <row r="953" spans="3:28" ht="13.2" x14ac:dyDescent="0.55000000000000004">
      <c r="C953" s="82"/>
      <c r="D953" s="82"/>
      <c r="E953" s="82"/>
      <c r="F953" s="82"/>
      <c r="G953" s="82"/>
      <c r="H953" s="82"/>
      <c r="I953" s="82"/>
      <c r="J953" s="82"/>
      <c r="K953" s="82"/>
      <c r="L953" s="82"/>
      <c r="M953" s="82"/>
      <c r="N953" s="82"/>
      <c r="O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</row>
    <row r="954" spans="3:28" ht="13.2" x14ac:dyDescent="0.55000000000000004">
      <c r="C954" s="82"/>
      <c r="D954" s="82"/>
      <c r="E954" s="82"/>
      <c r="F954" s="82"/>
      <c r="G954" s="82"/>
      <c r="H954" s="82"/>
      <c r="I954" s="82"/>
      <c r="J954" s="82"/>
      <c r="K954" s="82"/>
      <c r="L954" s="82"/>
      <c r="M954" s="82"/>
      <c r="N954" s="82"/>
      <c r="O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</row>
    <row r="955" spans="3:28" ht="13.2" x14ac:dyDescent="0.55000000000000004">
      <c r="C955" s="82"/>
      <c r="D955" s="82"/>
      <c r="E955" s="82"/>
      <c r="F955" s="82"/>
      <c r="G955" s="82"/>
      <c r="H955" s="82"/>
      <c r="I955" s="82"/>
      <c r="J955" s="82"/>
      <c r="K955" s="82"/>
      <c r="L955" s="82"/>
      <c r="M955" s="82"/>
      <c r="N955" s="82"/>
      <c r="O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</row>
    <row r="956" spans="3:28" ht="13.2" x14ac:dyDescent="0.55000000000000004">
      <c r="C956" s="82"/>
      <c r="D956" s="82"/>
      <c r="E956" s="82"/>
      <c r="F956" s="82"/>
      <c r="G956" s="82"/>
      <c r="H956" s="82"/>
      <c r="I956" s="82"/>
      <c r="J956" s="82"/>
      <c r="K956" s="82"/>
      <c r="L956" s="82"/>
      <c r="M956" s="82"/>
      <c r="N956" s="82"/>
      <c r="O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</row>
    <row r="957" spans="3:28" ht="13.2" x14ac:dyDescent="0.55000000000000004">
      <c r="C957" s="82"/>
      <c r="D957" s="82"/>
      <c r="E957" s="82"/>
      <c r="F957" s="82"/>
      <c r="G957" s="82"/>
      <c r="H957" s="82"/>
      <c r="I957" s="82"/>
      <c r="J957" s="82"/>
      <c r="K957" s="82"/>
      <c r="L957" s="82"/>
      <c r="M957" s="82"/>
      <c r="N957" s="82"/>
      <c r="O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</row>
    <row r="958" spans="3:28" ht="13.2" x14ac:dyDescent="0.55000000000000004">
      <c r="C958" s="82"/>
      <c r="D958" s="82"/>
      <c r="E958" s="82"/>
      <c r="F958" s="82"/>
      <c r="G958" s="82"/>
      <c r="H958" s="82"/>
      <c r="I958" s="82"/>
      <c r="J958" s="82"/>
      <c r="K958" s="82"/>
      <c r="L958" s="82"/>
      <c r="M958" s="82"/>
      <c r="N958" s="82"/>
      <c r="O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</row>
    <row r="959" spans="3:28" ht="13.2" x14ac:dyDescent="0.55000000000000004">
      <c r="C959" s="82"/>
      <c r="D959" s="82"/>
      <c r="E959" s="82"/>
      <c r="F959" s="82"/>
      <c r="G959" s="82"/>
      <c r="H959" s="82"/>
      <c r="I959" s="82"/>
      <c r="J959" s="82"/>
      <c r="K959" s="82"/>
      <c r="L959" s="82"/>
      <c r="M959" s="82"/>
      <c r="N959" s="82"/>
      <c r="O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</row>
    <row r="960" spans="3:28" ht="13.2" x14ac:dyDescent="0.55000000000000004">
      <c r="C960" s="82"/>
      <c r="D960" s="82"/>
      <c r="E960" s="82"/>
      <c r="F960" s="82"/>
      <c r="G960" s="82"/>
      <c r="H960" s="82"/>
      <c r="I960" s="82"/>
      <c r="J960" s="82"/>
      <c r="K960" s="82"/>
      <c r="L960" s="82"/>
      <c r="M960" s="82"/>
      <c r="N960" s="82"/>
      <c r="O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</row>
    <row r="961" spans="3:28" ht="13.2" x14ac:dyDescent="0.55000000000000004">
      <c r="C961" s="82"/>
      <c r="D961" s="82"/>
      <c r="E961" s="82"/>
      <c r="F961" s="82"/>
      <c r="G961" s="82"/>
      <c r="H961" s="82"/>
      <c r="I961" s="82"/>
      <c r="J961" s="82"/>
      <c r="K961" s="82"/>
      <c r="L961" s="82"/>
      <c r="M961" s="82"/>
      <c r="N961" s="82"/>
      <c r="O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</row>
    <row r="962" spans="3:28" ht="13.2" x14ac:dyDescent="0.55000000000000004">
      <c r="C962" s="82"/>
      <c r="D962" s="82"/>
      <c r="E962" s="82"/>
      <c r="F962" s="82"/>
      <c r="G962" s="82"/>
      <c r="H962" s="82"/>
      <c r="I962" s="82"/>
      <c r="J962" s="82"/>
      <c r="K962" s="82"/>
      <c r="L962" s="82"/>
      <c r="M962" s="82"/>
      <c r="N962" s="82"/>
      <c r="O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</row>
    <row r="963" spans="3:28" ht="13.2" x14ac:dyDescent="0.55000000000000004">
      <c r="C963" s="82"/>
      <c r="D963" s="82"/>
      <c r="E963" s="82"/>
      <c r="F963" s="82"/>
      <c r="G963" s="82"/>
      <c r="H963" s="82"/>
      <c r="I963" s="82"/>
      <c r="J963" s="82"/>
      <c r="K963" s="82"/>
      <c r="L963" s="82"/>
      <c r="M963" s="82"/>
      <c r="N963" s="82"/>
      <c r="O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</row>
    <row r="964" spans="3:28" ht="13.2" x14ac:dyDescent="0.55000000000000004">
      <c r="C964" s="82"/>
      <c r="D964" s="82"/>
      <c r="E964" s="82"/>
      <c r="F964" s="82"/>
      <c r="G964" s="82"/>
      <c r="H964" s="82"/>
      <c r="I964" s="82"/>
      <c r="J964" s="82"/>
      <c r="K964" s="82"/>
      <c r="L964" s="82"/>
      <c r="M964" s="82"/>
      <c r="N964" s="82"/>
      <c r="O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</row>
    <row r="965" spans="3:28" ht="13.2" x14ac:dyDescent="0.55000000000000004">
      <c r="C965" s="82"/>
      <c r="D965" s="82"/>
      <c r="E965" s="82"/>
      <c r="F965" s="82"/>
      <c r="G965" s="82"/>
      <c r="H965" s="82"/>
      <c r="I965" s="82"/>
      <c r="J965" s="82"/>
      <c r="K965" s="82"/>
      <c r="L965" s="82"/>
      <c r="M965" s="82"/>
      <c r="N965" s="82"/>
      <c r="O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</row>
    <row r="966" spans="3:28" ht="13.2" x14ac:dyDescent="0.55000000000000004"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2"/>
      <c r="N966" s="82"/>
      <c r="O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</row>
    <row r="967" spans="3:28" ht="13.2" x14ac:dyDescent="0.55000000000000004">
      <c r="C967" s="82"/>
      <c r="D967" s="82"/>
      <c r="E967" s="82"/>
      <c r="F967" s="82"/>
      <c r="G967" s="82"/>
      <c r="H967" s="82"/>
      <c r="I967" s="82"/>
      <c r="J967" s="82"/>
      <c r="K967" s="82"/>
      <c r="L967" s="82"/>
      <c r="M967" s="82"/>
      <c r="N967" s="82"/>
      <c r="O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</row>
    <row r="968" spans="3:28" ht="13.2" x14ac:dyDescent="0.55000000000000004"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2"/>
      <c r="N968" s="82"/>
      <c r="O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</row>
    <row r="969" spans="3:28" ht="13.2" x14ac:dyDescent="0.55000000000000004">
      <c r="C969" s="82"/>
      <c r="D969" s="82"/>
      <c r="E969" s="82"/>
      <c r="F969" s="82"/>
      <c r="G969" s="82"/>
      <c r="H969" s="82"/>
      <c r="I969" s="82"/>
      <c r="J969" s="82"/>
      <c r="K969" s="82"/>
      <c r="L969" s="82"/>
      <c r="M969" s="82"/>
      <c r="N969" s="82"/>
      <c r="O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</row>
    <row r="970" spans="3:28" ht="13.2" x14ac:dyDescent="0.55000000000000004"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2"/>
      <c r="N970" s="82"/>
      <c r="O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</row>
    <row r="971" spans="3:28" ht="13.2" x14ac:dyDescent="0.55000000000000004">
      <c r="C971" s="82"/>
      <c r="D971" s="82"/>
      <c r="E971" s="82"/>
      <c r="F971" s="82"/>
      <c r="G971" s="82"/>
      <c r="H971" s="82"/>
      <c r="I971" s="82"/>
      <c r="J971" s="82"/>
      <c r="K971" s="82"/>
      <c r="L971" s="82"/>
      <c r="M971" s="82"/>
      <c r="N971" s="82"/>
      <c r="O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</row>
    <row r="972" spans="3:28" ht="13.2" x14ac:dyDescent="0.55000000000000004">
      <c r="C972" s="82"/>
      <c r="D972" s="82"/>
      <c r="E972" s="82"/>
      <c r="F972" s="82"/>
      <c r="G972" s="82"/>
      <c r="H972" s="82"/>
      <c r="I972" s="82"/>
      <c r="J972" s="82"/>
      <c r="K972" s="82"/>
      <c r="L972" s="82"/>
      <c r="M972" s="82"/>
      <c r="N972" s="82"/>
      <c r="O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</row>
    <row r="973" spans="3:28" ht="13.2" x14ac:dyDescent="0.55000000000000004">
      <c r="C973" s="82"/>
      <c r="D973" s="82"/>
      <c r="E973" s="82"/>
      <c r="F973" s="82"/>
      <c r="G973" s="82"/>
      <c r="H973" s="82"/>
      <c r="I973" s="82"/>
      <c r="J973" s="82"/>
      <c r="K973" s="82"/>
      <c r="L973" s="82"/>
      <c r="M973" s="82"/>
      <c r="N973" s="82"/>
      <c r="O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</row>
    <row r="974" spans="3:28" ht="13.2" x14ac:dyDescent="0.55000000000000004">
      <c r="C974" s="82"/>
      <c r="D974" s="82"/>
      <c r="E974" s="82"/>
      <c r="F974" s="82"/>
      <c r="G974" s="82"/>
      <c r="H974" s="82"/>
      <c r="I974" s="82"/>
      <c r="J974" s="82"/>
      <c r="K974" s="82"/>
      <c r="L974" s="82"/>
      <c r="M974" s="82"/>
      <c r="N974" s="82"/>
      <c r="O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</row>
    <row r="975" spans="3:28" ht="13.2" x14ac:dyDescent="0.55000000000000004">
      <c r="C975" s="82"/>
      <c r="D975" s="82"/>
      <c r="E975" s="82"/>
      <c r="F975" s="82"/>
      <c r="G975" s="82"/>
      <c r="H975" s="82"/>
      <c r="I975" s="82"/>
      <c r="J975" s="82"/>
      <c r="K975" s="82"/>
      <c r="L975" s="82"/>
      <c r="M975" s="82"/>
      <c r="N975" s="82"/>
      <c r="O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</row>
    <row r="976" spans="3:28" ht="13.2" x14ac:dyDescent="0.55000000000000004">
      <c r="C976" s="82"/>
      <c r="D976" s="82"/>
      <c r="E976" s="82"/>
      <c r="F976" s="82"/>
      <c r="G976" s="82"/>
      <c r="H976" s="82"/>
      <c r="I976" s="82"/>
      <c r="J976" s="82"/>
      <c r="K976" s="82"/>
      <c r="L976" s="82"/>
      <c r="M976" s="82"/>
      <c r="N976" s="82"/>
      <c r="O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</row>
    <row r="977" spans="3:28" ht="13.2" x14ac:dyDescent="0.55000000000000004">
      <c r="C977" s="82"/>
      <c r="D977" s="82"/>
      <c r="E977" s="82"/>
      <c r="F977" s="82"/>
      <c r="G977" s="82"/>
      <c r="H977" s="82"/>
      <c r="I977" s="82"/>
      <c r="J977" s="82"/>
      <c r="K977" s="82"/>
      <c r="L977" s="82"/>
      <c r="M977" s="82"/>
      <c r="N977" s="82"/>
      <c r="O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</row>
    <row r="978" spans="3:28" ht="13.2" x14ac:dyDescent="0.55000000000000004">
      <c r="C978" s="82"/>
      <c r="D978" s="82"/>
      <c r="E978" s="82"/>
      <c r="F978" s="82"/>
      <c r="G978" s="82"/>
      <c r="H978" s="82"/>
      <c r="I978" s="82"/>
      <c r="J978" s="82"/>
      <c r="K978" s="82"/>
      <c r="L978" s="82"/>
      <c r="M978" s="82"/>
      <c r="N978" s="82"/>
      <c r="O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</row>
    <row r="979" spans="3:28" ht="13.2" x14ac:dyDescent="0.55000000000000004">
      <c r="C979" s="82"/>
      <c r="D979" s="82"/>
      <c r="E979" s="82"/>
      <c r="F979" s="82"/>
      <c r="G979" s="82"/>
      <c r="H979" s="82"/>
      <c r="I979" s="82"/>
      <c r="J979" s="82"/>
      <c r="K979" s="82"/>
      <c r="L979" s="82"/>
      <c r="M979" s="82"/>
      <c r="N979" s="82"/>
      <c r="O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</row>
    <row r="980" spans="3:28" ht="13.2" x14ac:dyDescent="0.55000000000000004">
      <c r="C980" s="82"/>
      <c r="D980" s="82"/>
      <c r="E980" s="82"/>
      <c r="F980" s="82"/>
      <c r="G980" s="82"/>
      <c r="H980" s="82"/>
      <c r="I980" s="82"/>
      <c r="J980" s="82"/>
      <c r="K980" s="82"/>
      <c r="L980" s="82"/>
      <c r="M980" s="82"/>
      <c r="N980" s="82"/>
      <c r="O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</row>
    <row r="981" spans="3:28" ht="13.2" x14ac:dyDescent="0.55000000000000004">
      <c r="C981" s="82"/>
      <c r="D981" s="82"/>
      <c r="E981" s="82"/>
      <c r="F981" s="82"/>
      <c r="G981" s="82"/>
      <c r="H981" s="82"/>
      <c r="I981" s="82"/>
      <c r="J981" s="82"/>
      <c r="K981" s="82"/>
      <c r="L981" s="82"/>
      <c r="M981" s="82"/>
      <c r="N981" s="82"/>
      <c r="O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</row>
    <row r="982" spans="3:28" ht="13.2" x14ac:dyDescent="0.55000000000000004">
      <c r="C982" s="82"/>
      <c r="D982" s="82"/>
      <c r="E982" s="82"/>
      <c r="F982" s="82"/>
      <c r="G982" s="82"/>
      <c r="H982" s="82"/>
      <c r="I982" s="82"/>
      <c r="J982" s="82"/>
      <c r="K982" s="82"/>
      <c r="L982" s="82"/>
      <c r="M982" s="82"/>
      <c r="N982" s="82"/>
      <c r="O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</row>
    <row r="983" spans="3:28" ht="13.2" x14ac:dyDescent="0.55000000000000004">
      <c r="C983" s="82"/>
      <c r="D983" s="82"/>
      <c r="E983" s="82"/>
      <c r="F983" s="82"/>
      <c r="G983" s="82"/>
      <c r="H983" s="82"/>
      <c r="I983" s="82"/>
      <c r="J983" s="82"/>
      <c r="K983" s="82"/>
      <c r="L983" s="82"/>
      <c r="M983" s="82"/>
      <c r="N983" s="82"/>
      <c r="O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</row>
    <row r="984" spans="3:28" ht="13.2" x14ac:dyDescent="0.55000000000000004">
      <c r="C984" s="82"/>
      <c r="D984" s="82"/>
      <c r="E984" s="82"/>
      <c r="F984" s="82"/>
      <c r="G984" s="82"/>
      <c r="H984" s="82"/>
      <c r="I984" s="82"/>
      <c r="J984" s="82"/>
      <c r="K984" s="82"/>
      <c r="L984" s="82"/>
      <c r="M984" s="82"/>
      <c r="N984" s="82"/>
      <c r="O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</row>
    <row r="985" spans="3:28" ht="13.2" x14ac:dyDescent="0.55000000000000004">
      <c r="C985" s="82"/>
      <c r="D985" s="82"/>
      <c r="E985" s="82"/>
      <c r="F985" s="82"/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</row>
    <row r="986" spans="3:28" ht="13.2" x14ac:dyDescent="0.55000000000000004">
      <c r="C986" s="82"/>
      <c r="D986" s="82"/>
      <c r="E986" s="82"/>
      <c r="F986" s="82"/>
      <c r="G986" s="82"/>
      <c r="H986" s="82"/>
      <c r="I986" s="82"/>
      <c r="J986" s="82"/>
      <c r="K986" s="82"/>
      <c r="L986" s="82"/>
      <c r="M986" s="82"/>
      <c r="N986" s="82"/>
      <c r="O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</row>
    <row r="987" spans="3:28" ht="13.2" x14ac:dyDescent="0.55000000000000004">
      <c r="C987" s="82"/>
      <c r="D987" s="82"/>
      <c r="E987" s="82"/>
      <c r="F987" s="82"/>
      <c r="G987" s="82"/>
      <c r="H987" s="82"/>
      <c r="I987" s="82"/>
      <c r="J987" s="82"/>
      <c r="K987" s="82"/>
      <c r="L987" s="82"/>
      <c r="M987" s="82"/>
      <c r="N987" s="82"/>
      <c r="O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</row>
    <row r="988" spans="3:28" ht="13.2" x14ac:dyDescent="0.55000000000000004">
      <c r="C988" s="82"/>
      <c r="D988" s="82"/>
      <c r="E988" s="82"/>
      <c r="F988" s="82"/>
      <c r="G988" s="82"/>
      <c r="H988" s="82"/>
      <c r="I988" s="82"/>
      <c r="J988" s="82"/>
      <c r="K988" s="82"/>
      <c r="L988" s="82"/>
      <c r="M988" s="82"/>
      <c r="N988" s="82"/>
      <c r="O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</row>
    <row r="989" spans="3:28" ht="13.2" x14ac:dyDescent="0.55000000000000004">
      <c r="C989" s="82"/>
      <c r="D989" s="82"/>
      <c r="E989" s="82"/>
      <c r="F989" s="82"/>
      <c r="G989" s="82"/>
      <c r="H989" s="82"/>
      <c r="I989" s="82"/>
      <c r="J989" s="82"/>
      <c r="K989" s="82"/>
      <c r="L989" s="82"/>
      <c r="M989" s="82"/>
      <c r="N989" s="82"/>
      <c r="O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</row>
    <row r="990" spans="3:28" ht="13.2" x14ac:dyDescent="0.55000000000000004">
      <c r="C990" s="82"/>
      <c r="D990" s="82"/>
      <c r="E990" s="82"/>
      <c r="F990" s="82"/>
      <c r="G990" s="82"/>
      <c r="H990" s="82"/>
      <c r="I990" s="82"/>
      <c r="J990" s="82"/>
      <c r="K990" s="82"/>
      <c r="L990" s="82"/>
      <c r="M990" s="82"/>
      <c r="N990" s="82"/>
      <c r="O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</row>
    <row r="991" spans="3:28" ht="13.2" x14ac:dyDescent="0.55000000000000004">
      <c r="C991" s="82"/>
      <c r="D991" s="82"/>
      <c r="E991" s="82"/>
      <c r="F991" s="82"/>
      <c r="G991" s="82"/>
      <c r="H991" s="82"/>
      <c r="I991" s="82"/>
      <c r="J991" s="82"/>
      <c r="K991" s="82"/>
      <c r="L991" s="82"/>
      <c r="M991" s="82"/>
      <c r="N991" s="82"/>
      <c r="O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</row>
    <row r="992" spans="3:28" ht="13.2" x14ac:dyDescent="0.55000000000000004">
      <c r="C992" s="82"/>
      <c r="D992" s="82"/>
      <c r="E992" s="82"/>
      <c r="F992" s="82"/>
      <c r="G992" s="82"/>
      <c r="H992" s="82"/>
      <c r="I992" s="82"/>
      <c r="J992" s="82"/>
      <c r="K992" s="82"/>
      <c r="L992" s="82"/>
      <c r="M992" s="82"/>
      <c r="N992" s="82"/>
      <c r="O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</row>
    <row r="993" spans="3:28" ht="13.2" x14ac:dyDescent="0.55000000000000004">
      <c r="C993" s="82"/>
      <c r="D993" s="82"/>
      <c r="E993" s="82"/>
      <c r="F993" s="82"/>
      <c r="G993" s="82"/>
      <c r="H993" s="82"/>
      <c r="I993" s="82"/>
      <c r="J993" s="82"/>
      <c r="K993" s="82"/>
      <c r="L993" s="82"/>
      <c r="M993" s="82"/>
      <c r="N993" s="82"/>
      <c r="O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</row>
    <row r="994" spans="3:28" ht="13.2" x14ac:dyDescent="0.55000000000000004">
      <c r="C994" s="82"/>
      <c r="D994" s="82"/>
      <c r="E994" s="82"/>
      <c r="F994" s="82"/>
      <c r="G994" s="82"/>
      <c r="H994" s="82"/>
      <c r="I994" s="82"/>
      <c r="J994" s="82"/>
      <c r="K994" s="82"/>
      <c r="L994" s="82"/>
      <c r="M994" s="82"/>
      <c r="N994" s="82"/>
      <c r="O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</row>
    <row r="995" spans="3:28" ht="13.2" x14ac:dyDescent="0.55000000000000004">
      <c r="C995" s="82"/>
      <c r="D995" s="82"/>
      <c r="E995" s="82"/>
      <c r="F995" s="82"/>
      <c r="G995" s="82"/>
      <c r="H995" s="82"/>
      <c r="I995" s="82"/>
      <c r="J995" s="82"/>
      <c r="K995" s="82"/>
      <c r="L995" s="82"/>
      <c r="M995" s="82"/>
      <c r="N995" s="82"/>
      <c r="O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</row>
    <row r="996" spans="3:28" ht="13.2" x14ac:dyDescent="0.55000000000000004">
      <c r="C996" s="82"/>
      <c r="D996" s="82"/>
      <c r="E996" s="82"/>
      <c r="F996" s="82"/>
      <c r="G996" s="82"/>
      <c r="H996" s="82"/>
      <c r="I996" s="82"/>
      <c r="J996" s="82"/>
      <c r="K996" s="82"/>
      <c r="L996" s="82"/>
      <c r="M996" s="82"/>
      <c r="N996" s="82"/>
      <c r="O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</row>
    <row r="997" spans="3:28" ht="13.2" x14ac:dyDescent="0.55000000000000004">
      <c r="C997" s="82"/>
      <c r="D997" s="82"/>
      <c r="E997" s="82"/>
      <c r="F997" s="82"/>
      <c r="G997" s="82"/>
      <c r="H997" s="82"/>
      <c r="I997" s="82"/>
      <c r="J997" s="82"/>
      <c r="K997" s="82"/>
      <c r="L997" s="82"/>
      <c r="M997" s="82"/>
      <c r="N997" s="82"/>
      <c r="O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</row>
    <row r="998" spans="3:28" ht="13.2" x14ac:dyDescent="0.55000000000000004">
      <c r="C998" s="82"/>
      <c r="D998" s="82"/>
      <c r="E998" s="82"/>
      <c r="F998" s="82"/>
      <c r="G998" s="82"/>
      <c r="H998" s="82"/>
      <c r="I998" s="82"/>
      <c r="J998" s="82"/>
      <c r="K998" s="82"/>
      <c r="L998" s="82"/>
      <c r="M998" s="82"/>
      <c r="N998" s="82"/>
      <c r="O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</row>
    <row r="999" spans="3:28" ht="13.2" x14ac:dyDescent="0.55000000000000004">
      <c r="C999" s="82"/>
      <c r="D999" s="82"/>
      <c r="E999" s="82"/>
      <c r="F999" s="82"/>
      <c r="G999" s="82"/>
      <c r="H999" s="82"/>
      <c r="I999" s="82"/>
      <c r="J999" s="82"/>
      <c r="K999" s="82"/>
      <c r="L999" s="82"/>
      <c r="M999" s="82"/>
      <c r="N999" s="82"/>
      <c r="O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</row>
    <row r="1000" spans="3:28" ht="13.2" x14ac:dyDescent="0.55000000000000004">
      <c r="C1000" s="82"/>
      <c r="D1000" s="82"/>
      <c r="E1000" s="82"/>
      <c r="F1000" s="82"/>
      <c r="G1000" s="82"/>
      <c r="H1000" s="82"/>
      <c r="I1000" s="82"/>
      <c r="J1000" s="82"/>
      <c r="K1000" s="82"/>
      <c r="L1000" s="82"/>
      <c r="M1000" s="82"/>
      <c r="N1000" s="82"/>
      <c r="O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</row>
    <row r="1001" spans="3:28" ht="13.2" x14ac:dyDescent="0.55000000000000004">
      <c r="C1001" s="82"/>
      <c r="D1001" s="82"/>
      <c r="E1001" s="82"/>
      <c r="F1001" s="82"/>
      <c r="G1001" s="82"/>
      <c r="H1001" s="82"/>
      <c r="I1001" s="82"/>
      <c r="J1001" s="82"/>
      <c r="K1001" s="82"/>
      <c r="L1001" s="82"/>
      <c r="M1001" s="82"/>
      <c r="N1001" s="82"/>
      <c r="O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</row>
    <row r="1002" spans="3:28" ht="13.2" x14ac:dyDescent="0.55000000000000004">
      <c r="C1002" s="82"/>
      <c r="D1002" s="82"/>
      <c r="E1002" s="82"/>
      <c r="F1002" s="82"/>
      <c r="G1002" s="82"/>
      <c r="H1002" s="82"/>
      <c r="I1002" s="82"/>
      <c r="J1002" s="82"/>
      <c r="K1002" s="82"/>
      <c r="L1002" s="82"/>
      <c r="M1002" s="82"/>
      <c r="N1002" s="82"/>
      <c r="O1002" s="82"/>
      <c r="P1002" s="82"/>
      <c r="Q1002" s="82"/>
      <c r="W1002" s="82"/>
      <c r="X1002" s="82"/>
      <c r="Y1002" s="82"/>
      <c r="Z1002" s="82"/>
      <c r="AA1002" s="82"/>
      <c r="AB1002" s="82"/>
    </row>
    <row r="1003" spans="3:28" ht="13.2" x14ac:dyDescent="0.55000000000000004">
      <c r="C1003" s="82"/>
      <c r="D1003" s="82"/>
      <c r="E1003" s="82"/>
      <c r="F1003" s="82"/>
      <c r="G1003" s="82"/>
      <c r="H1003" s="82"/>
      <c r="I1003" s="82"/>
      <c r="J1003" s="82"/>
      <c r="K1003" s="82"/>
      <c r="L1003" s="82"/>
      <c r="M1003" s="82"/>
      <c r="N1003" s="82"/>
      <c r="O1003" s="82"/>
      <c r="P1003" s="82"/>
      <c r="Q1003" s="82"/>
      <c r="W1003" s="82"/>
      <c r="X1003" s="82"/>
      <c r="Y1003" s="82"/>
      <c r="Z1003" s="82"/>
      <c r="AA1003" s="82"/>
      <c r="AB1003" s="82"/>
    </row>
    <row r="1004" spans="3:28" ht="13.2" x14ac:dyDescent="0.55000000000000004">
      <c r="C1004" s="82"/>
      <c r="D1004" s="82"/>
      <c r="E1004" s="82"/>
      <c r="F1004" s="82"/>
      <c r="G1004" s="82"/>
      <c r="H1004" s="82"/>
      <c r="I1004" s="82"/>
      <c r="J1004" s="82"/>
      <c r="K1004" s="82"/>
      <c r="L1004" s="82"/>
      <c r="M1004" s="82"/>
      <c r="N1004" s="82"/>
      <c r="O1004" s="82"/>
      <c r="P1004" s="82"/>
      <c r="Q1004" s="82"/>
      <c r="W1004" s="82"/>
      <c r="X1004" s="82"/>
      <c r="Y1004" s="82"/>
      <c r="Z1004" s="82"/>
      <c r="AA1004" s="82"/>
      <c r="AB1004" s="82"/>
    </row>
    <row r="1005" spans="3:28" ht="13.2" x14ac:dyDescent="0.55000000000000004">
      <c r="C1005" s="82"/>
      <c r="D1005" s="82"/>
      <c r="E1005" s="82"/>
      <c r="F1005" s="82"/>
      <c r="G1005" s="82"/>
      <c r="H1005" s="82"/>
      <c r="I1005" s="82"/>
      <c r="J1005" s="82"/>
      <c r="K1005" s="82"/>
      <c r="L1005" s="82"/>
      <c r="M1005" s="82"/>
      <c r="N1005" s="82"/>
      <c r="O1005" s="82"/>
      <c r="P1005" s="82"/>
      <c r="Q1005" s="82"/>
      <c r="W1005" s="82"/>
      <c r="X1005" s="82"/>
      <c r="Y1005" s="82"/>
      <c r="Z1005" s="82"/>
      <c r="AA1005" s="82"/>
      <c r="AB1005" s="82"/>
    </row>
    <row r="1006" spans="3:28" ht="13.2" x14ac:dyDescent="0.55000000000000004">
      <c r="C1006" s="82"/>
      <c r="D1006" s="82"/>
      <c r="E1006" s="82"/>
      <c r="F1006" s="82"/>
      <c r="G1006" s="82"/>
      <c r="H1006" s="82"/>
      <c r="I1006" s="82"/>
      <c r="J1006" s="82"/>
      <c r="K1006" s="82"/>
      <c r="L1006" s="82"/>
      <c r="M1006" s="82"/>
      <c r="N1006" s="82"/>
      <c r="O1006" s="82"/>
      <c r="P1006" s="82"/>
      <c r="Q1006" s="82"/>
      <c r="W1006" s="82"/>
      <c r="X1006" s="82"/>
      <c r="Y1006" s="82"/>
      <c r="Z1006" s="82"/>
      <c r="AA1006" s="82"/>
      <c r="AB1006" s="82"/>
    </row>
    <row r="1007" spans="3:28" ht="13.2" x14ac:dyDescent="0.55000000000000004">
      <c r="C1007" s="82"/>
      <c r="D1007" s="82"/>
      <c r="E1007" s="82"/>
      <c r="F1007" s="82"/>
      <c r="G1007" s="82"/>
      <c r="H1007" s="82"/>
      <c r="I1007" s="82"/>
      <c r="J1007" s="82"/>
      <c r="K1007" s="82"/>
      <c r="L1007" s="82"/>
      <c r="M1007" s="82"/>
      <c r="N1007" s="82"/>
      <c r="O1007" s="82"/>
      <c r="P1007" s="82"/>
      <c r="Q1007" s="82"/>
      <c r="W1007" s="82"/>
      <c r="X1007" s="82"/>
      <c r="Y1007" s="82"/>
      <c r="Z1007" s="82"/>
      <c r="AA1007" s="82"/>
      <c r="AB1007" s="82"/>
    </row>
    <row r="1008" spans="3:28" ht="13.2" x14ac:dyDescent="0.55000000000000004">
      <c r="C1008" s="82"/>
      <c r="D1008" s="82"/>
      <c r="E1008" s="82"/>
      <c r="F1008" s="82"/>
      <c r="G1008" s="82"/>
      <c r="H1008" s="82"/>
      <c r="I1008" s="82"/>
      <c r="J1008" s="82"/>
      <c r="K1008" s="82"/>
      <c r="L1008" s="82"/>
      <c r="M1008" s="82"/>
      <c r="N1008" s="82"/>
      <c r="O1008" s="82"/>
      <c r="P1008" s="82"/>
      <c r="Q1008" s="82"/>
      <c r="W1008" s="82"/>
      <c r="X1008" s="82"/>
      <c r="Y1008" s="82"/>
      <c r="Z1008" s="82"/>
      <c r="AA1008" s="82"/>
      <c r="AB1008" s="82"/>
    </row>
    <row r="1009" spans="3:28" ht="13.2" x14ac:dyDescent="0.55000000000000004">
      <c r="C1009" s="82"/>
      <c r="D1009" s="82"/>
      <c r="E1009" s="82"/>
      <c r="F1009" s="82"/>
      <c r="G1009" s="82"/>
      <c r="H1009" s="82"/>
      <c r="I1009" s="82"/>
      <c r="J1009" s="82"/>
      <c r="K1009" s="82"/>
      <c r="L1009" s="82"/>
      <c r="M1009" s="82"/>
      <c r="N1009" s="82"/>
      <c r="O1009" s="82"/>
      <c r="P1009" s="82"/>
      <c r="Q1009" s="82"/>
      <c r="W1009" s="82"/>
      <c r="X1009" s="82"/>
      <c r="Y1009" s="82"/>
      <c r="Z1009" s="82"/>
      <c r="AA1009" s="82"/>
      <c r="AB1009" s="82"/>
    </row>
    <row r="1010" spans="3:28" ht="13.2" x14ac:dyDescent="0.55000000000000004">
      <c r="C1010" s="82"/>
      <c r="D1010" s="82"/>
      <c r="E1010" s="82"/>
      <c r="F1010" s="82"/>
      <c r="G1010" s="82"/>
      <c r="H1010" s="82"/>
      <c r="I1010" s="82"/>
      <c r="J1010" s="82"/>
      <c r="K1010" s="82"/>
      <c r="L1010" s="82"/>
      <c r="M1010" s="82"/>
      <c r="N1010" s="82"/>
      <c r="O1010" s="82"/>
      <c r="P1010" s="82"/>
      <c r="Q1010" s="82"/>
      <c r="W1010" s="82"/>
      <c r="X1010" s="82"/>
      <c r="Y1010" s="82"/>
      <c r="Z1010" s="82"/>
      <c r="AA1010" s="82"/>
      <c r="AB1010" s="82"/>
    </row>
    <row r="1011" spans="3:28" ht="13.2" x14ac:dyDescent="0.55000000000000004">
      <c r="C1011" s="82"/>
      <c r="D1011" s="82"/>
      <c r="E1011" s="82"/>
      <c r="F1011" s="82"/>
      <c r="G1011" s="82"/>
      <c r="H1011" s="82"/>
      <c r="I1011" s="82"/>
      <c r="J1011" s="82"/>
      <c r="K1011" s="82"/>
      <c r="L1011" s="82"/>
      <c r="M1011" s="82"/>
      <c r="N1011" s="82"/>
      <c r="O1011" s="82"/>
      <c r="P1011" s="82"/>
      <c r="Q1011" s="82"/>
      <c r="W1011" s="82"/>
      <c r="X1011" s="82"/>
      <c r="Y1011" s="82"/>
      <c r="Z1011" s="82"/>
      <c r="AA1011" s="82"/>
      <c r="AB1011" s="82"/>
    </row>
    <row r="1012" spans="3:28" ht="13.2" x14ac:dyDescent="0.55000000000000004">
      <c r="C1012" s="82"/>
      <c r="D1012" s="82"/>
      <c r="E1012" s="82"/>
      <c r="F1012" s="82"/>
      <c r="G1012" s="82"/>
      <c r="H1012" s="82"/>
      <c r="I1012" s="82"/>
      <c r="J1012" s="82"/>
      <c r="K1012" s="82"/>
      <c r="L1012" s="82"/>
      <c r="M1012" s="82"/>
      <c r="N1012" s="82"/>
      <c r="O1012" s="82"/>
      <c r="P1012" s="82"/>
      <c r="Q1012" s="82"/>
      <c r="W1012" s="82"/>
      <c r="X1012" s="82"/>
      <c r="Y1012" s="82"/>
      <c r="Z1012" s="82"/>
      <c r="AA1012" s="82"/>
      <c r="AB1012" s="82"/>
    </row>
    <row r="1013" spans="3:28" ht="13.2" x14ac:dyDescent="0.55000000000000004">
      <c r="C1013" s="82"/>
      <c r="D1013" s="82"/>
      <c r="E1013" s="82"/>
      <c r="F1013" s="82"/>
      <c r="G1013" s="82"/>
      <c r="H1013" s="82"/>
      <c r="I1013" s="82"/>
      <c r="J1013" s="82"/>
      <c r="K1013" s="82"/>
      <c r="L1013" s="82"/>
      <c r="M1013" s="82"/>
      <c r="P1013" s="82"/>
      <c r="Q1013" s="82"/>
      <c r="W1013" s="82"/>
      <c r="X1013" s="82"/>
      <c r="Y1013" s="82"/>
      <c r="Z1013" s="82"/>
      <c r="AA1013" s="82"/>
      <c r="AB1013" s="82"/>
    </row>
    <row r="1014" spans="3:28" ht="13.2" x14ac:dyDescent="0.55000000000000004">
      <c r="C1014" s="82"/>
      <c r="D1014" s="82"/>
      <c r="E1014" s="82"/>
      <c r="F1014" s="82"/>
      <c r="G1014" s="82"/>
      <c r="H1014" s="82"/>
      <c r="I1014" s="82"/>
      <c r="J1014" s="82"/>
      <c r="K1014" s="82"/>
      <c r="L1014" s="82"/>
      <c r="M1014" s="82"/>
      <c r="P1014" s="82"/>
      <c r="Q1014" s="82"/>
      <c r="W1014" s="82"/>
      <c r="X1014" s="82"/>
      <c r="Y1014" s="82"/>
      <c r="Z1014" s="82"/>
      <c r="AA1014" s="82"/>
      <c r="AB1014" s="82"/>
    </row>
    <row r="1015" spans="3:28" ht="13.2" x14ac:dyDescent="0.55000000000000004">
      <c r="P1015" s="82"/>
      <c r="Q1015" s="82"/>
      <c r="W1015" s="82"/>
      <c r="X1015" s="82"/>
      <c r="Y1015" s="82"/>
      <c r="Z1015" s="82"/>
      <c r="AA1015" s="82"/>
      <c r="AB1015" s="82"/>
    </row>
  </sheetData>
  <mergeCells count="41">
    <mergeCell ref="D61:O61"/>
    <mergeCell ref="D62:O62"/>
    <mergeCell ref="C63:O63"/>
    <mergeCell ref="D64:O64"/>
    <mergeCell ref="D31:F31"/>
    <mergeCell ref="D32:F32"/>
    <mergeCell ref="D33:F33"/>
    <mergeCell ref="C35:O35"/>
    <mergeCell ref="C56:O56"/>
    <mergeCell ref="D60:O60"/>
    <mergeCell ref="E24:O24"/>
    <mergeCell ref="C26:O26"/>
    <mergeCell ref="D27:F27"/>
    <mergeCell ref="D28:F28"/>
    <mergeCell ref="D29:F29"/>
    <mergeCell ref="D30:F30"/>
    <mergeCell ref="E18:O18"/>
    <mergeCell ref="E19:O19"/>
    <mergeCell ref="E20:O20"/>
    <mergeCell ref="E21:O21"/>
    <mergeCell ref="E22:O22"/>
    <mergeCell ref="E23:O23"/>
    <mergeCell ref="L11:M11"/>
    <mergeCell ref="E12:F12"/>
    <mergeCell ref="I12:J12"/>
    <mergeCell ref="C15:O15"/>
    <mergeCell ref="D16:O16"/>
    <mergeCell ref="E17:O17"/>
    <mergeCell ref="E9:F9"/>
    <mergeCell ref="I9:J9"/>
    <mergeCell ref="E10:F10"/>
    <mergeCell ref="I10:J10"/>
    <mergeCell ref="E11:F11"/>
    <mergeCell ref="I11:J11"/>
    <mergeCell ref="C3:O3"/>
    <mergeCell ref="C5:O5"/>
    <mergeCell ref="E7:F7"/>
    <mergeCell ref="I7:J7"/>
    <mergeCell ref="E8:F8"/>
    <mergeCell ref="I8:J8"/>
    <mergeCell ref="L8:M8"/>
  </mergeCells>
  <conditionalFormatting sqref="I12:J12">
    <cfRule type="expression" dxfId="2" priority="1">
      <formula>AND(ISNUMBER($I$12), I12&lt;=50)</formula>
    </cfRule>
    <cfRule type="expression" dxfId="1" priority="2">
      <formula>AND(ISNUMBER($I$12), I12&lt;=1000)</formula>
    </cfRule>
    <cfRule type="expression" dxfId="0" priority="3">
      <formula>AND(ISNUMBER($I$12), I12&gt;1000)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3</xdr:col>
                    <xdr:colOff>346710</xdr:colOff>
                    <xdr:row>15</xdr:row>
                    <xdr:rowOff>179070</xdr:rowOff>
                  </from>
                  <to>
                    <xdr:col>3</xdr:col>
                    <xdr:colOff>571500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346710</xdr:colOff>
                    <xdr:row>16</xdr:row>
                    <xdr:rowOff>186690</xdr:rowOff>
                  </from>
                  <to>
                    <xdr:col>3</xdr:col>
                    <xdr:colOff>571500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346710</xdr:colOff>
                    <xdr:row>17</xdr:row>
                    <xdr:rowOff>179070</xdr:rowOff>
                  </from>
                  <to>
                    <xdr:col>3</xdr:col>
                    <xdr:colOff>571500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3</xdr:col>
                    <xdr:colOff>346710</xdr:colOff>
                    <xdr:row>18</xdr:row>
                    <xdr:rowOff>167640</xdr:rowOff>
                  </from>
                  <to>
                    <xdr:col>3</xdr:col>
                    <xdr:colOff>571500</xdr:colOff>
                    <xdr:row>20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3</xdr:col>
                    <xdr:colOff>346710</xdr:colOff>
                    <xdr:row>19</xdr:row>
                    <xdr:rowOff>175260</xdr:rowOff>
                  </from>
                  <to>
                    <xdr:col>3</xdr:col>
                    <xdr:colOff>571500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3</xdr:col>
                    <xdr:colOff>346710</xdr:colOff>
                    <xdr:row>20</xdr:row>
                    <xdr:rowOff>175260</xdr:rowOff>
                  </from>
                  <to>
                    <xdr:col>3</xdr:col>
                    <xdr:colOff>571500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3</xdr:col>
                    <xdr:colOff>346710</xdr:colOff>
                    <xdr:row>21</xdr:row>
                    <xdr:rowOff>171450</xdr:rowOff>
                  </from>
                  <to>
                    <xdr:col>3</xdr:col>
                    <xdr:colOff>571500</xdr:colOff>
                    <xdr:row>23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3</xdr:col>
                    <xdr:colOff>346710</xdr:colOff>
                    <xdr:row>22</xdr:row>
                    <xdr:rowOff>171450</xdr:rowOff>
                  </from>
                  <to>
                    <xdr:col>3</xdr:col>
                    <xdr:colOff>571500</xdr:colOff>
                    <xdr:row>24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Copeland - Pro Glass Works</dc:creator>
  <cp:lastModifiedBy>Matt Copeland - Pro Glass Works</cp:lastModifiedBy>
  <dcterms:created xsi:type="dcterms:W3CDTF">2025-11-19T17:14:15Z</dcterms:created>
  <dcterms:modified xsi:type="dcterms:W3CDTF">2025-11-19T17:16:26Z</dcterms:modified>
</cp:coreProperties>
</file>